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16.xml" ContentType="application/vnd.openxmlformats-officedocument.drawingml.chartshapes+xml"/>
  <Override PartName="/xl/charts/chart11.xml" ContentType="application/vnd.openxmlformats-officedocument.drawingml.chart+xml"/>
  <Override PartName="/xl/theme/themeOverride11.xml" ContentType="application/vnd.openxmlformats-officedocument.themeOverride+xml"/>
  <Override PartName="/xl/drawings/drawing17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belz\The Brookings Institution\Hutchins Center Team - Documents\Projects\Fiscal Impact\04-26-2019\"/>
    </mc:Choice>
  </mc:AlternateContent>
  <xr:revisionPtr revIDLastSave="1103" documentId="11_8816A8957BC8D45630C7EBE9D5ADB6A704CF5834" xr6:coauthVersionLast="36" xr6:coauthVersionMax="40" xr10:uidLastSave="{9E4CDDBD-B451-4BB4-AE34-48F670666D0F}"/>
  <bookViews>
    <workbookView xWindow="3585" yWindow="285" windowWidth="21600" windowHeight="11385" tabRatio="717" firstSheet="1" activeTab="4" xr2:uid="{00000000-000D-0000-FFFF-FFFF00000000}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4.USE">'Real Structures'!$K$2:$M$4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_DLX9.USE">'Change in Employment'!$R$2:$T$4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7" i="3" l="1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V6" i="3" l="1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" i="3"/>
  <c r="I122" i="3"/>
  <c r="O6" i="15"/>
  <c r="E44" i="15"/>
  <c r="W50" i="3" l="1"/>
  <c r="A95" i="17"/>
  <c r="A56" i="21" l="1"/>
  <c r="A57" i="21"/>
  <c r="A58" i="21"/>
  <c r="A59" i="21"/>
  <c r="G69" i="4"/>
  <c r="J69" i="4"/>
  <c r="I115" i="3"/>
  <c r="L115" i="3"/>
  <c r="E1" i="9" l="1"/>
  <c r="E53" i="9" s="1"/>
  <c r="C49" i="24" s="1"/>
  <c r="E1" i="7"/>
  <c r="F54" i="7" s="1"/>
  <c r="C49" i="39" s="1"/>
  <c r="D1" i="8"/>
  <c r="D57" i="8" s="1"/>
  <c r="E51" i="22" s="1"/>
  <c r="E45" i="7"/>
  <c r="B40" i="39" s="1"/>
  <c r="E46" i="7"/>
  <c r="B41" i="39" s="1"/>
  <c r="E47" i="7"/>
  <c r="B42" i="39" s="1"/>
  <c r="E48" i="7"/>
  <c r="B43" i="39" s="1"/>
  <c r="E49" i="7"/>
  <c r="B44" i="39" s="1"/>
  <c r="E50" i="7"/>
  <c r="E51" i="7"/>
  <c r="E52" i="7"/>
  <c r="E53" i="7"/>
  <c r="B48" i="39" s="1"/>
  <c r="E54" i="7"/>
  <c r="B49" i="39" s="1"/>
  <c r="E55" i="7"/>
  <c r="B50" i="39" s="1"/>
  <c r="E56" i="7"/>
  <c r="B51" i="39" s="1"/>
  <c r="E7" i="7"/>
  <c r="B2" i="39" s="1"/>
  <c r="E8" i="7"/>
  <c r="E9" i="7"/>
  <c r="E10" i="7"/>
  <c r="B5" i="39" s="1"/>
  <c r="E11" i="7"/>
  <c r="B6" i="39" s="1"/>
  <c r="E12" i="7"/>
  <c r="B7" i="39" s="1"/>
  <c r="E13" i="7"/>
  <c r="B8" i="39" s="1"/>
  <c r="E14" i="7"/>
  <c r="B9" i="39" s="1"/>
  <c r="E15" i="7"/>
  <c r="B10" i="39" s="1"/>
  <c r="E16" i="7"/>
  <c r="E17" i="7"/>
  <c r="B12" i="39" s="1"/>
  <c r="E18" i="7"/>
  <c r="E19" i="7"/>
  <c r="B14" i="39" s="1"/>
  <c r="E20" i="7"/>
  <c r="B15" i="39" s="1"/>
  <c r="E21" i="7"/>
  <c r="B16" i="39" s="1"/>
  <c r="E22" i="7"/>
  <c r="B17" i="39" s="1"/>
  <c r="E23" i="7"/>
  <c r="B18" i="39" s="1"/>
  <c r="E24" i="7"/>
  <c r="E25" i="7"/>
  <c r="B20" i="39" s="1"/>
  <c r="E26" i="7"/>
  <c r="B21" i="39" s="1"/>
  <c r="E27" i="7"/>
  <c r="B22" i="39" s="1"/>
  <c r="E28" i="7"/>
  <c r="B23" i="39" s="1"/>
  <c r="E29" i="7"/>
  <c r="B24" i="39" s="1"/>
  <c r="E30" i="7"/>
  <c r="B25" i="39" s="1"/>
  <c r="E31" i="7"/>
  <c r="B26" i="39" s="1"/>
  <c r="E32" i="7"/>
  <c r="E33" i="7"/>
  <c r="E34" i="7"/>
  <c r="B29" i="39" s="1"/>
  <c r="E35" i="7"/>
  <c r="B30" i="39" s="1"/>
  <c r="E36" i="7"/>
  <c r="B31" i="39" s="1"/>
  <c r="E37" i="7"/>
  <c r="B32" i="39" s="1"/>
  <c r="E38" i="7"/>
  <c r="B33" i="39" s="1"/>
  <c r="E39" i="7"/>
  <c r="B34" i="39" s="1"/>
  <c r="E40" i="7"/>
  <c r="E41" i="7"/>
  <c r="B36" i="39" s="1"/>
  <c r="E42" i="7"/>
  <c r="B37" i="39" s="1"/>
  <c r="E43" i="7"/>
  <c r="B38" i="39" s="1"/>
  <c r="E44" i="7"/>
  <c r="B39" i="39" s="1"/>
  <c r="D45" i="9"/>
  <c r="B41" i="24" s="1"/>
  <c r="D46" i="9"/>
  <c r="B42" i="24" s="1"/>
  <c r="D47" i="9"/>
  <c r="B43" i="24" s="1"/>
  <c r="D48" i="9"/>
  <c r="D49" i="9"/>
  <c r="D50" i="9"/>
  <c r="B46" i="24" s="1"/>
  <c r="D51" i="9"/>
  <c r="B47" i="24" s="1"/>
  <c r="D52" i="9"/>
  <c r="B48" i="24" s="1"/>
  <c r="D53" i="9"/>
  <c r="B49" i="24" s="1"/>
  <c r="D54" i="9"/>
  <c r="B50" i="24" s="1"/>
  <c r="D55" i="9"/>
  <c r="B51" i="24" s="1"/>
  <c r="D6" i="9"/>
  <c r="D7" i="9"/>
  <c r="B3" i="24" s="1"/>
  <c r="D8" i="9"/>
  <c r="B4" i="24" s="1"/>
  <c r="D9" i="9"/>
  <c r="B5" i="24" s="1"/>
  <c r="D10" i="9"/>
  <c r="B6" i="24" s="1"/>
  <c r="D11" i="9"/>
  <c r="B7" i="24" s="1"/>
  <c r="D12" i="9"/>
  <c r="B8" i="24" s="1"/>
  <c r="D13" i="9"/>
  <c r="B9" i="24" s="1"/>
  <c r="D14" i="9"/>
  <c r="D15" i="9"/>
  <c r="D16" i="9"/>
  <c r="B12" i="24" s="1"/>
  <c r="D17" i="9"/>
  <c r="B13" i="24" s="1"/>
  <c r="D18" i="9"/>
  <c r="B14" i="24" s="1"/>
  <c r="D19" i="9"/>
  <c r="B15" i="24" s="1"/>
  <c r="D20" i="9"/>
  <c r="B16" i="24" s="1"/>
  <c r="D21" i="9"/>
  <c r="B17" i="24" s="1"/>
  <c r="D22" i="9"/>
  <c r="D23" i="9"/>
  <c r="D24" i="9"/>
  <c r="B20" i="24" s="1"/>
  <c r="D25" i="9"/>
  <c r="B21" i="24" s="1"/>
  <c r="D26" i="9"/>
  <c r="B22" i="24" s="1"/>
  <c r="D27" i="9"/>
  <c r="B23" i="24" s="1"/>
  <c r="D28" i="9"/>
  <c r="B24" i="24" s="1"/>
  <c r="D29" i="9"/>
  <c r="B25" i="24" s="1"/>
  <c r="D30" i="9"/>
  <c r="D31" i="9"/>
  <c r="B27" i="24" s="1"/>
  <c r="D32" i="9"/>
  <c r="B28" i="24" s="1"/>
  <c r="D33" i="9"/>
  <c r="B29" i="24" s="1"/>
  <c r="D34" i="9"/>
  <c r="B30" i="24" s="1"/>
  <c r="D35" i="9"/>
  <c r="B31" i="24" s="1"/>
  <c r="D36" i="9"/>
  <c r="B32" i="24" s="1"/>
  <c r="D37" i="9"/>
  <c r="B33" i="24" s="1"/>
  <c r="D38" i="9"/>
  <c r="D39" i="9"/>
  <c r="B35" i="24" s="1"/>
  <c r="D40" i="9"/>
  <c r="B36" i="24" s="1"/>
  <c r="D41" i="9"/>
  <c r="B37" i="24" s="1"/>
  <c r="D42" i="9"/>
  <c r="B38" i="24" s="1"/>
  <c r="D43" i="9"/>
  <c r="B39" i="24" s="1"/>
  <c r="D44" i="9"/>
  <c r="B40" i="24" s="1"/>
  <c r="I93" i="3"/>
  <c r="L93" i="3"/>
  <c r="J9" i="4"/>
  <c r="J10" i="4"/>
  <c r="J11" i="4"/>
  <c r="J12" i="4"/>
  <c r="J13" i="4"/>
  <c r="J14" i="4"/>
  <c r="J15" i="4"/>
  <c r="C2" i="21" s="1"/>
  <c r="J16" i="4"/>
  <c r="J17" i="4"/>
  <c r="J18" i="4"/>
  <c r="C5" i="21" s="1"/>
  <c r="J19" i="4"/>
  <c r="C6" i="21" s="1"/>
  <c r="J20" i="4"/>
  <c r="C7" i="21" s="1"/>
  <c r="J21" i="4"/>
  <c r="C8" i="21" s="1"/>
  <c r="J22" i="4"/>
  <c r="C9" i="21" s="1"/>
  <c r="J23" i="4"/>
  <c r="C10" i="21" s="1"/>
  <c r="J24" i="4"/>
  <c r="J25" i="4"/>
  <c r="J26" i="4"/>
  <c r="J27" i="4"/>
  <c r="C14" i="21" s="1"/>
  <c r="J28" i="4"/>
  <c r="C15" i="21" s="1"/>
  <c r="J29" i="4"/>
  <c r="C16" i="21" s="1"/>
  <c r="J30" i="4"/>
  <c r="C17" i="21" s="1"/>
  <c r="J31" i="4"/>
  <c r="C18" i="21" s="1"/>
  <c r="J32" i="4"/>
  <c r="J33" i="4"/>
  <c r="J34" i="4"/>
  <c r="C21" i="21" s="1"/>
  <c r="J35" i="4"/>
  <c r="C22" i="21" s="1"/>
  <c r="J36" i="4"/>
  <c r="C23" i="21" s="1"/>
  <c r="J37" i="4"/>
  <c r="C24" i="21" s="1"/>
  <c r="J38" i="4"/>
  <c r="C25" i="21" s="1"/>
  <c r="J39" i="4"/>
  <c r="C26" i="21" s="1"/>
  <c r="J40" i="4"/>
  <c r="J41" i="4"/>
  <c r="C28" i="21" s="1"/>
  <c r="J42" i="4"/>
  <c r="C29" i="21" s="1"/>
  <c r="J43" i="4"/>
  <c r="C30" i="21" s="1"/>
  <c r="J44" i="4"/>
  <c r="C31" i="21" s="1"/>
  <c r="J45" i="4"/>
  <c r="C32" i="21" s="1"/>
  <c r="J46" i="4"/>
  <c r="C33" i="21" s="1"/>
  <c r="J47" i="4"/>
  <c r="C34" i="21" s="1"/>
  <c r="J48" i="4"/>
  <c r="J49" i="4"/>
  <c r="C36" i="21" s="1"/>
  <c r="J50" i="4"/>
  <c r="C37" i="21" s="1"/>
  <c r="J51" i="4"/>
  <c r="C38" i="21" s="1"/>
  <c r="J52" i="4"/>
  <c r="C39" i="21" s="1"/>
  <c r="J53" i="4"/>
  <c r="C40" i="21" s="1"/>
  <c r="J54" i="4"/>
  <c r="C41" i="21" s="1"/>
  <c r="J55" i="4"/>
  <c r="C42" i="21" s="1"/>
  <c r="J56" i="4"/>
  <c r="J57" i="4"/>
  <c r="J58" i="4"/>
  <c r="C45" i="21" s="1"/>
  <c r="J59" i="4"/>
  <c r="C46" i="21" s="1"/>
  <c r="J60" i="4"/>
  <c r="C47" i="21" s="1"/>
  <c r="J61" i="4"/>
  <c r="C48" i="21" s="1"/>
  <c r="J62" i="4"/>
  <c r="C49" i="21" s="1"/>
  <c r="J63" i="4"/>
  <c r="C50" i="21" s="1"/>
  <c r="J64" i="4"/>
  <c r="J65" i="4"/>
  <c r="C52" i="21" s="1"/>
  <c r="J66" i="4"/>
  <c r="C53" i="21" s="1"/>
  <c r="J67" i="4"/>
  <c r="C54" i="21" s="1"/>
  <c r="J68" i="4"/>
  <c r="C55" i="21" s="1"/>
  <c r="C56" i="21"/>
  <c r="J70" i="4"/>
  <c r="C57" i="21" s="1"/>
  <c r="J71" i="4"/>
  <c r="C58" i="21" s="1"/>
  <c r="J72" i="4"/>
  <c r="J73" i="4"/>
  <c r="C60" i="21" s="1"/>
  <c r="J74" i="4"/>
  <c r="C61" i="21" s="1"/>
  <c r="J75" i="4"/>
  <c r="C62" i="21" s="1"/>
  <c r="J76" i="4"/>
  <c r="C63" i="21" s="1"/>
  <c r="J77" i="4"/>
  <c r="C64" i="21" s="1"/>
  <c r="J78" i="4"/>
  <c r="C65" i="21" s="1"/>
  <c r="J79" i="4"/>
  <c r="C66" i="21" s="1"/>
  <c r="J80" i="4"/>
  <c r="J81" i="4"/>
  <c r="C68" i="21" s="1"/>
  <c r="J82" i="4"/>
  <c r="C69" i="21" s="1"/>
  <c r="J83" i="4"/>
  <c r="C70" i="21" s="1"/>
  <c r="J84" i="4"/>
  <c r="C71" i="21" s="1"/>
  <c r="J8" i="4"/>
  <c r="H125" i="4"/>
  <c r="H113" i="4"/>
  <c r="I116" i="4" s="1"/>
  <c r="B103" i="21" s="1"/>
  <c r="H107" i="4"/>
  <c r="H99" i="4"/>
  <c r="H93" i="4"/>
  <c r="H81" i="4"/>
  <c r="G65" i="4"/>
  <c r="G126" i="4"/>
  <c r="H126" i="4"/>
  <c r="G125" i="4"/>
  <c r="G124" i="4"/>
  <c r="H124" i="4"/>
  <c r="G123" i="4"/>
  <c r="H123" i="4" s="1"/>
  <c r="I126" i="4" s="1"/>
  <c r="B113" i="21" s="1"/>
  <c r="G122" i="4"/>
  <c r="G121" i="4"/>
  <c r="H121" i="4" s="1"/>
  <c r="G120" i="4"/>
  <c r="H120" i="4" s="1"/>
  <c r="G119" i="4"/>
  <c r="H119" i="4" s="1"/>
  <c r="G118" i="4"/>
  <c r="H118" i="4" s="1"/>
  <c r="G117" i="4"/>
  <c r="H117" i="4" s="1"/>
  <c r="G116" i="4"/>
  <c r="H116" i="4"/>
  <c r="G115" i="4"/>
  <c r="H115" i="4" s="1"/>
  <c r="G114" i="4"/>
  <c r="H114" i="4"/>
  <c r="I117" i="4" s="1"/>
  <c r="B104" i="21" s="1"/>
  <c r="G113" i="4"/>
  <c r="G112" i="4"/>
  <c r="H112" i="4"/>
  <c r="I115" i="4" s="1"/>
  <c r="B102" i="21" s="1"/>
  <c r="G111" i="4"/>
  <c r="H111" i="4" s="1"/>
  <c r="G110" i="4"/>
  <c r="H110" i="4"/>
  <c r="G109" i="4"/>
  <c r="G108" i="4"/>
  <c r="H108" i="4"/>
  <c r="G107" i="4"/>
  <c r="G106" i="4"/>
  <c r="H106" i="4" s="1"/>
  <c r="G105" i="4"/>
  <c r="H105" i="4" s="1"/>
  <c r="G104" i="4"/>
  <c r="G103" i="4"/>
  <c r="H103" i="4" s="1"/>
  <c r="G102" i="4"/>
  <c r="H102" i="4"/>
  <c r="G101" i="4"/>
  <c r="H101" i="4" s="1"/>
  <c r="G100" i="4"/>
  <c r="H100" i="4" s="1"/>
  <c r="G99" i="4"/>
  <c r="G98" i="4"/>
  <c r="H98" i="4"/>
  <c r="G97" i="4"/>
  <c r="G96" i="4"/>
  <c r="H96" i="4"/>
  <c r="I99" i="4" s="1"/>
  <c r="B86" i="21" s="1"/>
  <c r="G95" i="4"/>
  <c r="G94" i="4"/>
  <c r="H94" i="4"/>
  <c r="G93" i="4"/>
  <c r="H97" i="4" s="1"/>
  <c r="G92" i="4"/>
  <c r="H92" i="4"/>
  <c r="G91" i="4"/>
  <c r="H95" i="4" s="1"/>
  <c r="G90" i="4"/>
  <c r="G89" i="4"/>
  <c r="H89" i="4" s="1"/>
  <c r="G88" i="4"/>
  <c r="H88" i="4" s="1"/>
  <c r="G87" i="4"/>
  <c r="H87" i="4" s="1"/>
  <c r="G86" i="4"/>
  <c r="H86" i="4" s="1"/>
  <c r="G85" i="4"/>
  <c r="H85" i="4" s="1"/>
  <c r="G84" i="4"/>
  <c r="H84" i="4"/>
  <c r="G83" i="4"/>
  <c r="H83" i="4" s="1"/>
  <c r="I86" i="4" s="1"/>
  <c r="B73" i="21" s="1"/>
  <c r="G82" i="4"/>
  <c r="H82" i="4"/>
  <c r="G81" i="4"/>
  <c r="G80" i="4"/>
  <c r="H80" i="4"/>
  <c r="G79" i="4"/>
  <c r="H79" i="4" s="1"/>
  <c r="G78" i="4"/>
  <c r="H78" i="4"/>
  <c r="G77" i="4"/>
  <c r="G76" i="4"/>
  <c r="G75" i="4"/>
  <c r="G74" i="4"/>
  <c r="G73" i="4"/>
  <c r="H73" i="4" s="1"/>
  <c r="G72" i="4"/>
  <c r="H76" i="4" s="1"/>
  <c r="I79" i="4" s="1"/>
  <c r="B66" i="21" s="1"/>
  <c r="G71" i="4"/>
  <c r="H75" i="4" s="1"/>
  <c r="I78" i="4" s="1"/>
  <c r="B65" i="21" s="1"/>
  <c r="G70" i="4"/>
  <c r="G68" i="4"/>
  <c r="G67" i="4"/>
  <c r="G66" i="4"/>
  <c r="G64" i="4"/>
  <c r="G63" i="4"/>
  <c r="G62" i="4"/>
  <c r="G61" i="4"/>
  <c r="G60" i="4"/>
  <c r="G59" i="4"/>
  <c r="G58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/>
  <c r="C44" i="21"/>
  <c r="D2" i="18"/>
  <c r="D2" i="17"/>
  <c r="J197" i="25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67" i="21"/>
  <c r="C59" i="21"/>
  <c r="C51" i="21"/>
  <c r="C43" i="21"/>
  <c r="C35" i="21"/>
  <c r="C27" i="21"/>
  <c r="C20" i="21"/>
  <c r="C19" i="21"/>
  <c r="C13" i="21"/>
  <c r="C12" i="21"/>
  <c r="C11" i="21"/>
  <c r="C4" i="21"/>
  <c r="C3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H60" i="4" s="1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L79" i="3"/>
  <c r="L78" i="3"/>
  <c r="B71" i="18" s="1"/>
  <c r="L77" i="3"/>
  <c r="B70" i="18" s="1"/>
  <c r="L76" i="3"/>
  <c r="L75" i="3"/>
  <c r="B68" i="18" s="1"/>
  <c r="L74" i="3"/>
  <c r="B67" i="18" s="1"/>
  <c r="L73" i="3"/>
  <c r="B66" i="18" s="1"/>
  <c r="L72" i="3"/>
  <c r="B65" i="18" s="1"/>
  <c r="L71" i="3"/>
  <c r="L70" i="3"/>
  <c r="B63" i="18" s="1"/>
  <c r="L69" i="3"/>
  <c r="L68" i="3"/>
  <c r="L67" i="3"/>
  <c r="L66" i="3"/>
  <c r="B59" i="18" s="1"/>
  <c r="L65" i="3"/>
  <c r="L64" i="3"/>
  <c r="B57" i="18" s="1"/>
  <c r="L63" i="3"/>
  <c r="L62" i="3"/>
  <c r="L61" i="3"/>
  <c r="B54" i="18" s="1"/>
  <c r="L60" i="3"/>
  <c r="L59" i="3"/>
  <c r="B52" i="18" s="1"/>
  <c r="L58" i="3"/>
  <c r="B51" i="18" s="1"/>
  <c r="L57" i="3"/>
  <c r="B50" i="18" s="1"/>
  <c r="L56" i="3"/>
  <c r="L55" i="3"/>
  <c r="L54" i="3"/>
  <c r="L53" i="3"/>
  <c r="B46" i="18" s="1"/>
  <c r="L52" i="3"/>
  <c r="B45" i="18" s="1"/>
  <c r="L51" i="3"/>
  <c r="L50" i="3"/>
  <c r="L49" i="3"/>
  <c r="L48" i="3"/>
  <c r="L47" i="3"/>
  <c r="B40" i="18" s="1"/>
  <c r="L46" i="3"/>
  <c r="B39" i="18" s="1"/>
  <c r="L45" i="3"/>
  <c r="L44" i="3"/>
  <c r="B37" i="18" s="1"/>
  <c r="L43" i="3"/>
  <c r="L42" i="3"/>
  <c r="L41" i="3"/>
  <c r="B34" i="18" s="1"/>
  <c r="L40" i="3"/>
  <c r="B33" i="18" s="1"/>
  <c r="L39" i="3"/>
  <c r="B32" i="18" s="1"/>
  <c r="L38" i="3"/>
  <c r="B31" i="18" s="1"/>
  <c r="L37" i="3"/>
  <c r="B30" i="18" s="1"/>
  <c r="L36" i="3"/>
  <c r="B29" i="18" s="1"/>
  <c r="L35" i="3"/>
  <c r="B28" i="18" s="1"/>
  <c r="L34" i="3"/>
  <c r="B27" i="18" s="1"/>
  <c r="L33" i="3"/>
  <c r="B26" i="18" s="1"/>
  <c r="L32" i="3"/>
  <c r="B25" i="18" s="1"/>
  <c r="L31" i="3"/>
  <c r="B24" i="18" s="1"/>
  <c r="L30" i="3"/>
  <c r="L29" i="3"/>
  <c r="L28" i="3"/>
  <c r="B21" i="18" s="1"/>
  <c r="L27" i="3"/>
  <c r="B20" i="18" s="1"/>
  <c r="L26" i="3"/>
  <c r="L25" i="3"/>
  <c r="B18" i="18" s="1"/>
  <c r="L24" i="3"/>
  <c r="L23" i="3"/>
  <c r="B16" i="18" s="1"/>
  <c r="L22" i="3"/>
  <c r="L21" i="3"/>
  <c r="L20" i="3"/>
  <c r="B13" i="18" s="1"/>
  <c r="L19" i="3"/>
  <c r="L18" i="3"/>
  <c r="B11" i="18" s="1"/>
  <c r="L17" i="3"/>
  <c r="L16" i="3"/>
  <c r="B9" i="18" s="1"/>
  <c r="L15" i="3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I79" i="3"/>
  <c r="I78" i="3"/>
  <c r="I77" i="3"/>
  <c r="I76" i="3"/>
  <c r="I75" i="3"/>
  <c r="I74" i="3"/>
  <c r="K74" i="3" s="1"/>
  <c r="I73" i="3"/>
  <c r="I72" i="3"/>
  <c r="I71" i="3"/>
  <c r="I70" i="3"/>
  <c r="I69" i="3"/>
  <c r="I68" i="3"/>
  <c r="I67" i="3"/>
  <c r="I66" i="3"/>
  <c r="K66" i="3" s="1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K26" i="3" s="1"/>
  <c r="I25" i="3"/>
  <c r="I24" i="3"/>
  <c r="I23" i="3"/>
  <c r="I22" i="3"/>
  <c r="I21" i="3"/>
  <c r="I20" i="3"/>
  <c r="I19" i="3"/>
  <c r="I18" i="3"/>
  <c r="B11" i="17" s="1"/>
  <c r="I17" i="3"/>
  <c r="B10" i="17" s="1"/>
  <c r="I16" i="3"/>
  <c r="B9" i="17" s="1"/>
  <c r="I15" i="3"/>
  <c r="B8" i="17" s="1"/>
  <c r="I14" i="3"/>
  <c r="B7" i="17" s="1"/>
  <c r="I13" i="3"/>
  <c r="I12" i="3"/>
  <c r="B5" i="17" s="1"/>
  <c r="I11" i="3"/>
  <c r="B4" i="17" s="1"/>
  <c r="I10" i="3"/>
  <c r="B3" i="17" s="1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L104" i="3"/>
  <c r="B97" i="18" s="1"/>
  <c r="L133" i="3"/>
  <c r="B126" i="18" s="1"/>
  <c r="L132" i="3"/>
  <c r="B125" i="18" s="1"/>
  <c r="L131" i="3"/>
  <c r="B124" i="18" s="1"/>
  <c r="L130" i="3"/>
  <c r="B123" i="18" s="1"/>
  <c r="L129" i="3"/>
  <c r="B122" i="18" s="1"/>
  <c r="L128" i="3"/>
  <c r="B121" i="18" s="1"/>
  <c r="L127" i="3"/>
  <c r="L126" i="3"/>
  <c r="B119" i="18" s="1"/>
  <c r="L125" i="3"/>
  <c r="B118" i="18" s="1"/>
  <c r="L124" i="3"/>
  <c r="B117" i="18" s="1"/>
  <c r="L123" i="3"/>
  <c r="B116" i="18" s="1"/>
  <c r="L122" i="3"/>
  <c r="B115" i="18" s="1"/>
  <c r="L121" i="3"/>
  <c r="B114" i="18" s="1"/>
  <c r="L120" i="3"/>
  <c r="L119" i="3"/>
  <c r="B112" i="18" s="1"/>
  <c r="L118" i="3"/>
  <c r="B111" i="18" s="1"/>
  <c r="L117" i="3"/>
  <c r="L116" i="3"/>
  <c r="B109" i="18" s="1"/>
  <c r="B108" i="18"/>
  <c r="L114" i="3"/>
  <c r="B107" i="18" s="1"/>
  <c r="L113" i="3"/>
  <c r="B106" i="18" s="1"/>
  <c r="L112" i="3"/>
  <c r="B105" i="18" s="1"/>
  <c r="L111" i="3"/>
  <c r="L110" i="3"/>
  <c r="B103" i="18" s="1"/>
  <c r="L109" i="3"/>
  <c r="B102" i="18" s="1"/>
  <c r="L108" i="3"/>
  <c r="B101" i="18" s="1"/>
  <c r="L107" i="3"/>
  <c r="B100" i="18" s="1"/>
  <c r="L106" i="3"/>
  <c r="B99" i="18" s="1"/>
  <c r="L105" i="3"/>
  <c r="B98" i="18" s="1"/>
  <c r="L103" i="3"/>
  <c r="B96" i="18" s="1"/>
  <c r="L102" i="3"/>
  <c r="L101" i="3"/>
  <c r="L100" i="3"/>
  <c r="L99" i="3"/>
  <c r="B92" i="18" s="1"/>
  <c r="L98" i="3"/>
  <c r="B91" i="18" s="1"/>
  <c r="L97" i="3"/>
  <c r="L96" i="3"/>
  <c r="B89" i="18" s="1"/>
  <c r="L95" i="3"/>
  <c r="B88" i="18" s="1"/>
  <c r="L94" i="3"/>
  <c r="B87" i="18" s="1"/>
  <c r="L92" i="3"/>
  <c r="L91" i="3"/>
  <c r="B84" i="18" s="1"/>
  <c r="L90" i="3"/>
  <c r="L89" i="3"/>
  <c r="L88" i="3"/>
  <c r="B81" i="18" s="1"/>
  <c r="L87" i="3"/>
  <c r="B80" i="18" s="1"/>
  <c r="L86" i="3"/>
  <c r="L85" i="3"/>
  <c r="B78" i="18" s="1"/>
  <c r="L84" i="3"/>
  <c r="L83" i="3"/>
  <c r="L82" i="3"/>
  <c r="L81" i="3"/>
  <c r="L80" i="3"/>
  <c r="B73" i="18" s="1"/>
  <c r="J7" i="3"/>
  <c r="I7" i="3"/>
  <c r="J8" i="3" s="1"/>
  <c r="I133" i="3"/>
  <c r="B126" i="17" s="1"/>
  <c r="I132" i="3"/>
  <c r="B125" i="17" s="1"/>
  <c r="I131" i="3"/>
  <c r="I130" i="3"/>
  <c r="I129" i="3"/>
  <c r="I128" i="3"/>
  <c r="I127" i="3"/>
  <c r="K127" i="3" s="1"/>
  <c r="I126" i="3"/>
  <c r="I125" i="3"/>
  <c r="I124" i="3"/>
  <c r="I123" i="3"/>
  <c r="B115" i="17"/>
  <c r="I121" i="3"/>
  <c r="I120" i="3"/>
  <c r="I119" i="3"/>
  <c r="I118" i="3"/>
  <c r="I117" i="3"/>
  <c r="I116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2" i="3"/>
  <c r="I91" i="3"/>
  <c r="K91" i="3" s="1"/>
  <c r="I90" i="3"/>
  <c r="I89" i="3"/>
  <c r="I88" i="3"/>
  <c r="I87" i="3"/>
  <c r="I86" i="3"/>
  <c r="I85" i="3"/>
  <c r="I84" i="3"/>
  <c r="I83" i="3"/>
  <c r="I82" i="3"/>
  <c r="K82" i="3" s="1"/>
  <c r="I81" i="3"/>
  <c r="I80" i="3"/>
  <c r="A1" i="3"/>
  <c r="G48" i="4"/>
  <c r="G47" i="4"/>
  <c r="G46" i="4"/>
  <c r="G45" i="4"/>
  <c r="G44" i="4"/>
  <c r="G43" i="4"/>
  <c r="G42" i="4"/>
  <c r="G41" i="4"/>
  <c r="G40" i="4"/>
  <c r="G39" i="4"/>
  <c r="G38" i="4"/>
  <c r="B45" i="24"/>
  <c r="B44" i="24"/>
  <c r="B34" i="24"/>
  <c r="B26" i="24"/>
  <c r="B19" i="24"/>
  <c r="B18" i="24"/>
  <c r="B11" i="24"/>
  <c r="B10" i="24"/>
  <c r="B2" i="24"/>
  <c r="B47" i="39"/>
  <c r="B46" i="39"/>
  <c r="B45" i="39"/>
  <c r="B35" i="39"/>
  <c r="B28" i="39"/>
  <c r="B27" i="39"/>
  <c r="B19" i="39"/>
  <c r="B13" i="39"/>
  <c r="B11" i="39"/>
  <c r="B4" i="39"/>
  <c r="B3" i="39"/>
  <c r="B120" i="17"/>
  <c r="B123" i="17"/>
  <c r="B108" i="17"/>
  <c r="B86" i="18"/>
  <c r="M132" i="3" l="1"/>
  <c r="C125" i="18" s="1"/>
  <c r="J131" i="3"/>
  <c r="C124" i="17" s="1"/>
  <c r="K130" i="3"/>
  <c r="M133" i="3"/>
  <c r="C126" i="18" s="1"/>
  <c r="J132" i="3"/>
  <c r="C125" i="17" s="1"/>
  <c r="B121" i="17"/>
  <c r="K128" i="3"/>
  <c r="B122" i="17"/>
  <c r="K129" i="3"/>
  <c r="M129" i="3"/>
  <c r="C122" i="18" s="1"/>
  <c r="K106" i="3"/>
  <c r="M128" i="3"/>
  <c r="C121" i="18" s="1"/>
  <c r="H74" i="4"/>
  <c r="I77" i="4" s="1"/>
  <c r="B64" i="21" s="1"/>
  <c r="K81" i="3"/>
  <c r="H70" i="4"/>
  <c r="K113" i="3"/>
  <c r="H71" i="4"/>
  <c r="I82" i="4"/>
  <c r="B69" i="21" s="1"/>
  <c r="I81" i="4"/>
  <c r="I95" i="4"/>
  <c r="B82" i="21" s="1"/>
  <c r="I118" i="4"/>
  <c r="B105" i="21" s="1"/>
  <c r="I97" i="4"/>
  <c r="B84" i="21" s="1"/>
  <c r="I98" i="4"/>
  <c r="B85" i="21" s="1"/>
  <c r="I88" i="4"/>
  <c r="B75" i="21" s="1"/>
  <c r="I87" i="4"/>
  <c r="B74" i="21" s="1"/>
  <c r="I101" i="4"/>
  <c r="B88" i="21" s="1"/>
  <c r="I119" i="4"/>
  <c r="B106" i="21" s="1"/>
  <c r="I84" i="4"/>
  <c r="B71" i="21" s="1"/>
  <c r="I89" i="4"/>
  <c r="B76" i="21" s="1"/>
  <c r="I100" i="4"/>
  <c r="B87" i="21" s="1"/>
  <c r="I108" i="4"/>
  <c r="B95" i="21" s="1"/>
  <c r="I114" i="4"/>
  <c r="B101" i="21" s="1"/>
  <c r="I113" i="4"/>
  <c r="B100" i="21" s="1"/>
  <c r="I96" i="4"/>
  <c r="B83" i="21" s="1"/>
  <c r="I120" i="4"/>
  <c r="B107" i="21" s="1"/>
  <c r="I83" i="4"/>
  <c r="B70" i="21" s="1"/>
  <c r="I103" i="4"/>
  <c r="B90" i="21" s="1"/>
  <c r="I102" i="4"/>
  <c r="B89" i="21" s="1"/>
  <c r="I121" i="4"/>
  <c r="B108" i="21" s="1"/>
  <c r="H91" i="4"/>
  <c r="I94" i="4" s="1"/>
  <c r="B81" i="21" s="1"/>
  <c r="M131" i="3"/>
  <c r="C124" i="18" s="1"/>
  <c r="K104" i="3"/>
  <c r="J130" i="3"/>
  <c r="C123" i="17" s="1"/>
  <c r="J133" i="3"/>
  <c r="C126" i="17" s="1"/>
  <c r="M130" i="3"/>
  <c r="C123" i="18" s="1"/>
  <c r="K27" i="3"/>
  <c r="I85" i="4"/>
  <c r="B72" i="21" s="1"/>
  <c r="H77" i="4"/>
  <c r="I80" i="4" s="1"/>
  <c r="B67" i="21" s="1"/>
  <c r="H109" i="4"/>
  <c r="B124" i="17"/>
  <c r="H90" i="4"/>
  <c r="I93" i="4" s="1"/>
  <c r="B80" i="21" s="1"/>
  <c r="H104" i="4"/>
  <c r="I107" i="4" s="1"/>
  <c r="B94" i="21" s="1"/>
  <c r="H122" i="4"/>
  <c r="I125" i="4" s="1"/>
  <c r="B112" i="21" s="1"/>
  <c r="J129" i="3"/>
  <c r="C122" i="17" s="1"/>
  <c r="K99" i="3"/>
  <c r="K100" i="3"/>
  <c r="K25" i="3"/>
  <c r="K33" i="3"/>
  <c r="K49" i="3"/>
  <c r="B27" i="17"/>
  <c r="K34" i="3"/>
  <c r="B43" i="17"/>
  <c r="K50" i="3"/>
  <c r="K87" i="3"/>
  <c r="B89" i="17"/>
  <c r="K96" i="3"/>
  <c r="B105" i="17"/>
  <c r="K112" i="3"/>
  <c r="B114" i="17"/>
  <c r="K121" i="3"/>
  <c r="B17" i="17"/>
  <c r="K24" i="3"/>
  <c r="B25" i="17"/>
  <c r="K32" i="3"/>
  <c r="B33" i="17"/>
  <c r="K40" i="3"/>
  <c r="B41" i="17"/>
  <c r="K48" i="3"/>
  <c r="B49" i="17"/>
  <c r="K56" i="3"/>
  <c r="B57" i="17"/>
  <c r="K64" i="3"/>
  <c r="B65" i="17"/>
  <c r="K72" i="3"/>
  <c r="B73" i="17"/>
  <c r="K80" i="3"/>
  <c r="B81" i="17"/>
  <c r="K88" i="3"/>
  <c r="B90" i="17"/>
  <c r="K97" i="3"/>
  <c r="B98" i="17"/>
  <c r="K105" i="3"/>
  <c r="B34" i="17"/>
  <c r="K41" i="3"/>
  <c r="B50" i="17"/>
  <c r="K57" i="3"/>
  <c r="B58" i="17"/>
  <c r="K65" i="3"/>
  <c r="B66" i="17"/>
  <c r="K73" i="3"/>
  <c r="B82" i="17"/>
  <c r="K89" i="3"/>
  <c r="B107" i="17"/>
  <c r="K114" i="3"/>
  <c r="B109" i="17"/>
  <c r="K116" i="3"/>
  <c r="B12" i="17"/>
  <c r="K19" i="3"/>
  <c r="B36" i="17"/>
  <c r="K43" i="3"/>
  <c r="B60" i="17"/>
  <c r="K67" i="3"/>
  <c r="B110" i="17"/>
  <c r="K117" i="3"/>
  <c r="B29" i="17"/>
  <c r="K36" i="3"/>
  <c r="K68" i="3"/>
  <c r="K84" i="3"/>
  <c r="B85" i="17"/>
  <c r="K92" i="3"/>
  <c r="B94" i="17"/>
  <c r="K101" i="3"/>
  <c r="B102" i="17"/>
  <c r="K109" i="3"/>
  <c r="B111" i="17"/>
  <c r="K118" i="3"/>
  <c r="B119" i="17"/>
  <c r="K126" i="3"/>
  <c r="B14" i="17"/>
  <c r="K21" i="3"/>
  <c r="B22" i="17"/>
  <c r="K29" i="3"/>
  <c r="B30" i="17"/>
  <c r="K37" i="3"/>
  <c r="B38" i="17"/>
  <c r="K45" i="3"/>
  <c r="B46" i="17"/>
  <c r="K53" i="3"/>
  <c r="B54" i="17"/>
  <c r="K61" i="3"/>
  <c r="B62" i="17"/>
  <c r="K69" i="3"/>
  <c r="B70" i="17"/>
  <c r="K77" i="3"/>
  <c r="B91" i="17"/>
  <c r="K98" i="3"/>
  <c r="B116" i="17"/>
  <c r="K123" i="3"/>
  <c r="B35" i="17"/>
  <c r="K42" i="3"/>
  <c r="B83" i="17"/>
  <c r="K90" i="3"/>
  <c r="B117" i="17"/>
  <c r="K124" i="3"/>
  <c r="B44" i="17"/>
  <c r="K51" i="3"/>
  <c r="B52" i="17"/>
  <c r="K59" i="3"/>
  <c r="B68" i="17"/>
  <c r="K75" i="3"/>
  <c r="B76" i="17"/>
  <c r="K83" i="3"/>
  <c r="B101" i="17"/>
  <c r="K108" i="3"/>
  <c r="B13" i="17"/>
  <c r="K20" i="3"/>
  <c r="K52" i="3"/>
  <c r="K76" i="3"/>
  <c r="B78" i="17"/>
  <c r="K85" i="3"/>
  <c r="B87" i="17"/>
  <c r="K94" i="3"/>
  <c r="B95" i="17"/>
  <c r="K102" i="3"/>
  <c r="B103" i="17"/>
  <c r="K110" i="3"/>
  <c r="K122" i="3"/>
  <c r="B112" i="17"/>
  <c r="K119" i="3"/>
  <c r="J128" i="3"/>
  <c r="C121" i="17" s="1"/>
  <c r="B15" i="17"/>
  <c r="K22" i="3"/>
  <c r="B23" i="17"/>
  <c r="K30" i="3"/>
  <c r="B31" i="17"/>
  <c r="K38" i="3"/>
  <c r="K46" i="3"/>
  <c r="K54" i="3"/>
  <c r="B55" i="17"/>
  <c r="K62" i="3"/>
  <c r="B63" i="17"/>
  <c r="K70" i="3"/>
  <c r="K78" i="3"/>
  <c r="H59" i="4"/>
  <c r="B51" i="17"/>
  <c r="K58" i="3"/>
  <c r="B100" i="17"/>
  <c r="K107" i="3"/>
  <c r="B28" i="17"/>
  <c r="K35" i="3"/>
  <c r="B118" i="17"/>
  <c r="K125" i="3"/>
  <c r="B21" i="17"/>
  <c r="K28" i="3"/>
  <c r="B37" i="17"/>
  <c r="K44" i="3"/>
  <c r="K60" i="3"/>
  <c r="B79" i="17"/>
  <c r="K86" i="3"/>
  <c r="B88" i="17"/>
  <c r="K95" i="3"/>
  <c r="B96" i="17"/>
  <c r="K103" i="3"/>
  <c r="K111" i="3"/>
  <c r="B113" i="17"/>
  <c r="K120" i="3"/>
  <c r="K23" i="3"/>
  <c r="B24" i="17"/>
  <c r="K31" i="3"/>
  <c r="K39" i="3"/>
  <c r="B40" i="17"/>
  <c r="K47" i="3"/>
  <c r="B48" i="17"/>
  <c r="K55" i="3"/>
  <c r="B56" i="17"/>
  <c r="K63" i="3"/>
  <c r="K71" i="3"/>
  <c r="B72" i="17"/>
  <c r="K79" i="3"/>
  <c r="K93" i="3"/>
  <c r="K115" i="3"/>
  <c r="B120" i="18"/>
  <c r="M127" i="3"/>
  <c r="C120" i="18" s="1"/>
  <c r="H72" i="4"/>
  <c r="I75" i="4" s="1"/>
  <c r="B62" i="21" s="1"/>
  <c r="J126" i="3"/>
  <c r="C119" i="17" s="1"/>
  <c r="J124" i="3"/>
  <c r="C117" i="17" s="1"/>
  <c r="M126" i="3"/>
  <c r="C119" i="18" s="1"/>
  <c r="J127" i="3"/>
  <c r="C120" i="17" s="1"/>
  <c r="M119" i="3"/>
  <c r="C112" i="18" s="1"/>
  <c r="M123" i="3"/>
  <c r="C116" i="18" s="1"/>
  <c r="J125" i="3"/>
  <c r="C118" i="17" s="1"/>
  <c r="M124" i="3"/>
  <c r="C117" i="18" s="1"/>
  <c r="H14" i="4"/>
  <c r="M121" i="3"/>
  <c r="C114" i="18" s="1"/>
  <c r="M125" i="3"/>
  <c r="C118" i="18" s="1"/>
  <c r="M122" i="3"/>
  <c r="C115" i="18" s="1"/>
  <c r="M79" i="3"/>
  <c r="C72" i="18" s="1"/>
  <c r="M117" i="3"/>
  <c r="C110" i="18" s="1"/>
  <c r="J123" i="3"/>
  <c r="C116" i="17" s="1"/>
  <c r="B113" i="18"/>
  <c r="H47" i="4"/>
  <c r="J121" i="3"/>
  <c r="C114" i="17" s="1"/>
  <c r="M120" i="3"/>
  <c r="C113" i="18" s="1"/>
  <c r="J118" i="3"/>
  <c r="C111" i="17" s="1"/>
  <c r="J122" i="3"/>
  <c r="C115" i="17" s="1"/>
  <c r="J120" i="3"/>
  <c r="C113" i="17" s="1"/>
  <c r="M118" i="3"/>
  <c r="C111" i="18" s="1"/>
  <c r="J119" i="3"/>
  <c r="C112" i="17" s="1"/>
  <c r="M95" i="3"/>
  <c r="C88" i="18" s="1"/>
  <c r="M96" i="3"/>
  <c r="C89" i="18" s="1"/>
  <c r="B72" i="18"/>
  <c r="H44" i="4"/>
  <c r="M66" i="3"/>
  <c r="C59" i="18" s="1"/>
  <c r="B110" i="18"/>
  <c r="M20" i="3"/>
  <c r="C13" i="18" s="1"/>
  <c r="M43" i="3"/>
  <c r="C36" i="18" s="1"/>
  <c r="J68" i="3"/>
  <c r="C61" i="17" s="1"/>
  <c r="M58" i="3"/>
  <c r="C51" i="18" s="1"/>
  <c r="M59" i="3"/>
  <c r="C52" i="18" s="1"/>
  <c r="M94" i="3"/>
  <c r="C87" i="18" s="1"/>
  <c r="M74" i="3"/>
  <c r="C67" i="18" s="1"/>
  <c r="M116" i="3"/>
  <c r="C109" i="18" s="1"/>
  <c r="H53" i="4"/>
  <c r="H28" i="4"/>
  <c r="H36" i="4"/>
  <c r="J58" i="3"/>
  <c r="C51" i="17" s="1"/>
  <c r="H23" i="4"/>
  <c r="H31" i="4"/>
  <c r="H40" i="4"/>
  <c r="H48" i="4"/>
  <c r="H15" i="4"/>
  <c r="J20" i="3"/>
  <c r="C13" i="17" s="1"/>
  <c r="B58" i="18"/>
  <c r="J105" i="3"/>
  <c r="C98" i="17" s="1"/>
  <c r="M63" i="3"/>
  <c r="C56" i="18" s="1"/>
  <c r="M73" i="3"/>
  <c r="C66" i="18" s="1"/>
  <c r="M80" i="3"/>
  <c r="C73" i="18" s="1"/>
  <c r="H51" i="4"/>
  <c r="H19" i="4"/>
  <c r="H63" i="4"/>
  <c r="M57" i="3"/>
  <c r="C50" i="18" s="1"/>
  <c r="M64" i="3"/>
  <c r="C57" i="18" s="1"/>
  <c r="M78" i="3"/>
  <c r="C71" i="18" s="1"/>
  <c r="M54" i="3"/>
  <c r="C47" i="18" s="1"/>
  <c r="J38" i="3"/>
  <c r="C31" i="17" s="1"/>
  <c r="M65" i="3"/>
  <c r="C58" i="18" s="1"/>
  <c r="J11" i="3"/>
  <c r="C4" i="17" s="1"/>
  <c r="J25" i="3"/>
  <c r="C18" i="17" s="1"/>
  <c r="B49" i="18"/>
  <c r="B56" i="18"/>
  <c r="J113" i="3"/>
  <c r="C106" i="17" s="1"/>
  <c r="J79" i="3"/>
  <c r="C72" i="17" s="1"/>
  <c r="B12" i="18"/>
  <c r="M32" i="3"/>
  <c r="C25" i="18" s="1"/>
  <c r="J36" i="3"/>
  <c r="C29" i="17" s="1"/>
  <c r="J98" i="3"/>
  <c r="C91" i="17" s="1"/>
  <c r="J115" i="3"/>
  <c r="C108" i="17" s="1"/>
  <c r="M88" i="3"/>
  <c r="C81" i="18" s="1"/>
  <c r="H54" i="4"/>
  <c r="H18" i="4"/>
  <c r="H67" i="4"/>
  <c r="J97" i="3"/>
  <c r="C90" i="17" s="1"/>
  <c r="J51" i="3"/>
  <c r="C44" i="17" s="1"/>
  <c r="J89" i="3"/>
  <c r="C82" i="17" s="1"/>
  <c r="J19" i="3"/>
  <c r="C12" i="17" s="1"/>
  <c r="J80" i="3"/>
  <c r="C73" i="17" s="1"/>
  <c r="H38" i="4"/>
  <c r="H33" i="4"/>
  <c r="H37" i="4"/>
  <c r="J29" i="3"/>
  <c r="C22" i="17" s="1"/>
  <c r="J41" i="3"/>
  <c r="C34" i="17" s="1"/>
  <c r="H61" i="4"/>
  <c r="B55" i="18"/>
  <c r="H39" i="4"/>
  <c r="H26" i="4"/>
  <c r="M55" i="3"/>
  <c r="C48" i="18" s="1"/>
  <c r="B69" i="18"/>
  <c r="H68" i="4"/>
  <c r="J50" i="3"/>
  <c r="C43" i="17" s="1"/>
  <c r="M10" i="3"/>
  <c r="C3" i="18" s="1"/>
  <c r="M23" i="3"/>
  <c r="C16" i="18" s="1"/>
  <c r="B106" i="17"/>
  <c r="B47" i="18"/>
  <c r="M41" i="3"/>
  <c r="C34" i="18" s="1"/>
  <c r="J61" i="3"/>
  <c r="C54" i="17" s="1"/>
  <c r="J45" i="3"/>
  <c r="C38" i="17" s="1"/>
  <c r="M56" i="3"/>
  <c r="C49" i="18" s="1"/>
  <c r="B71" i="17"/>
  <c r="J55" i="3"/>
  <c r="C48" i="17" s="1"/>
  <c r="M34" i="3"/>
  <c r="C27" i="18" s="1"/>
  <c r="B20" i="17"/>
  <c r="H50" i="4"/>
  <c r="H43" i="4"/>
  <c r="J39" i="3"/>
  <c r="C32" i="17" s="1"/>
  <c r="J14" i="3"/>
  <c r="C7" i="17" s="1"/>
  <c r="J90" i="3"/>
  <c r="C83" i="17" s="1"/>
  <c r="M115" i="3"/>
  <c r="C108" i="18" s="1"/>
  <c r="J42" i="3"/>
  <c r="C35" i="17" s="1"/>
  <c r="B53" i="17"/>
  <c r="J31" i="3"/>
  <c r="C24" i="17" s="1"/>
  <c r="B16" i="17"/>
  <c r="J114" i="3"/>
  <c r="C107" i="17" s="1"/>
  <c r="J13" i="3"/>
  <c r="C6" i="17" s="1"/>
  <c r="J40" i="3"/>
  <c r="C33" i="17" s="1"/>
  <c r="J71" i="3"/>
  <c r="C64" i="17" s="1"/>
  <c r="H52" i="4"/>
  <c r="H69" i="4"/>
  <c r="J116" i="3"/>
  <c r="C109" i="17" s="1"/>
  <c r="J117" i="3"/>
  <c r="C110" i="17" s="1"/>
  <c r="J92" i="3"/>
  <c r="C85" i="17" s="1"/>
  <c r="B84" i="17"/>
  <c r="J91" i="3"/>
  <c r="C84" i="17" s="1"/>
  <c r="B23" i="18"/>
  <c r="M31" i="3"/>
  <c r="C24" i="18" s="1"/>
  <c r="H41" i="4"/>
  <c r="H57" i="4"/>
  <c r="M99" i="3"/>
  <c r="C92" i="18" s="1"/>
  <c r="M98" i="3"/>
  <c r="C91" i="18" s="1"/>
  <c r="M60" i="3"/>
  <c r="C53" i="18" s="1"/>
  <c r="M61" i="3"/>
  <c r="C54" i="18" s="1"/>
  <c r="M68" i="3"/>
  <c r="C61" i="18" s="1"/>
  <c r="M67" i="3"/>
  <c r="C60" i="18" s="1"/>
  <c r="B60" i="18"/>
  <c r="H12" i="4"/>
  <c r="B19" i="17"/>
  <c r="J27" i="3"/>
  <c r="C20" i="17" s="1"/>
  <c r="B77" i="18"/>
  <c r="M85" i="3"/>
  <c r="C78" i="18" s="1"/>
  <c r="M107" i="3"/>
  <c r="C100" i="18" s="1"/>
  <c r="B42" i="17"/>
  <c r="B47" i="17"/>
  <c r="J59" i="3"/>
  <c r="C52" i="17" s="1"/>
  <c r="J60" i="3"/>
  <c r="C53" i="17" s="1"/>
  <c r="B48" i="18"/>
  <c r="B61" i="18"/>
  <c r="M69" i="3"/>
  <c r="C62" i="18" s="1"/>
  <c r="M75" i="3"/>
  <c r="C68" i="18" s="1"/>
  <c r="M77" i="3"/>
  <c r="C70" i="18" s="1"/>
  <c r="M76" i="3"/>
  <c r="C69" i="18" s="1"/>
  <c r="J15" i="3"/>
  <c r="C8" i="17" s="1"/>
  <c r="J103" i="3"/>
  <c r="C96" i="17" s="1"/>
  <c r="M113" i="3"/>
  <c r="C106" i="18" s="1"/>
  <c r="B104" i="18"/>
  <c r="B15" i="18"/>
  <c r="H29" i="4"/>
  <c r="B35" i="18"/>
  <c r="M42" i="3"/>
  <c r="C35" i="18" s="1"/>
  <c r="B41" i="18"/>
  <c r="M48" i="3"/>
  <c r="C41" i="18" s="1"/>
  <c r="M49" i="3"/>
  <c r="C42" i="18" s="1"/>
  <c r="H21" i="4"/>
  <c r="H25" i="4"/>
  <c r="B8" i="18"/>
  <c r="M15" i="3"/>
  <c r="C8" i="18" s="1"/>
  <c r="B67" i="17"/>
  <c r="J75" i="3"/>
  <c r="C68" i="17" s="1"/>
  <c r="J74" i="3"/>
  <c r="C67" i="17" s="1"/>
  <c r="J21" i="3"/>
  <c r="C14" i="17" s="1"/>
  <c r="J28" i="3"/>
  <c r="C21" i="17" s="1"/>
  <c r="B6" i="17"/>
  <c r="B18" i="17"/>
  <c r="J26" i="3"/>
  <c r="C19" i="17" s="1"/>
  <c r="J56" i="3"/>
  <c r="C49" i="17" s="1"/>
  <c r="B14" i="18"/>
  <c r="M22" i="3"/>
  <c r="C15" i="18" s="1"/>
  <c r="B22" i="18"/>
  <c r="M29" i="3"/>
  <c r="C22" i="18" s="1"/>
  <c r="M44" i="3"/>
  <c r="C37" i="18" s="1"/>
  <c r="B36" i="18"/>
  <c r="B42" i="18"/>
  <c r="M50" i="3"/>
  <c r="C43" i="18" s="1"/>
  <c r="M11" i="3"/>
  <c r="C4" i="18" s="1"/>
  <c r="H55" i="4"/>
  <c r="H66" i="4"/>
  <c r="H45" i="4"/>
  <c r="J57" i="3"/>
  <c r="C50" i="17" s="1"/>
  <c r="B32" i="17"/>
  <c r="J81" i="3"/>
  <c r="C74" i="17" s="1"/>
  <c r="H22" i="4"/>
  <c r="H30" i="4"/>
  <c r="H34" i="4"/>
  <c r="J16" i="3"/>
  <c r="C9" i="17" s="1"/>
  <c r="J52" i="3"/>
  <c r="C45" i="17" s="1"/>
  <c r="M21" i="3"/>
  <c r="C14" i="18" s="1"/>
  <c r="M27" i="3"/>
  <c r="C20" i="18" s="1"/>
  <c r="H64" i="4"/>
  <c r="M108" i="3"/>
  <c r="C101" i="18" s="1"/>
  <c r="J9" i="3"/>
  <c r="M114" i="3"/>
  <c r="C107" i="18" s="1"/>
  <c r="J62" i="3"/>
  <c r="C55" i="17" s="1"/>
  <c r="J12" i="3"/>
  <c r="C5" i="17" s="1"/>
  <c r="J96" i="3"/>
  <c r="C89" i="17" s="1"/>
  <c r="M33" i="3"/>
  <c r="C26" i="18" s="1"/>
  <c r="H35" i="4"/>
  <c r="H27" i="4"/>
  <c r="M93" i="3"/>
  <c r="C86" i="18" s="1"/>
  <c r="J70" i="3"/>
  <c r="C63" i="17" s="1"/>
  <c r="M16" i="3"/>
  <c r="C9" i="18" s="1"/>
  <c r="J112" i="3"/>
  <c r="C105" i="17" s="1"/>
  <c r="J111" i="3"/>
  <c r="C104" i="17" s="1"/>
  <c r="B104" i="17"/>
  <c r="M81" i="3"/>
  <c r="C74" i="18" s="1"/>
  <c r="M82" i="3"/>
  <c r="C75" i="18" s="1"/>
  <c r="B74" i="18"/>
  <c r="B95" i="18"/>
  <c r="M103" i="3"/>
  <c r="C96" i="18" s="1"/>
  <c r="B26" i="17"/>
  <c r="J33" i="3"/>
  <c r="C26" i="17" s="1"/>
  <c r="J35" i="3"/>
  <c r="C28" i="17" s="1"/>
  <c r="B69" i="17"/>
  <c r="J76" i="3"/>
  <c r="C69" i="17" s="1"/>
  <c r="M17" i="3"/>
  <c r="C10" i="18" s="1"/>
  <c r="M18" i="3"/>
  <c r="C11" i="18" s="1"/>
  <c r="M24" i="3"/>
  <c r="C17" i="18" s="1"/>
  <c r="B17" i="18"/>
  <c r="B38" i="18"/>
  <c r="M47" i="3"/>
  <c r="C40" i="18" s="1"/>
  <c r="M46" i="3"/>
  <c r="C39" i="18" s="1"/>
  <c r="M45" i="3"/>
  <c r="C38" i="18" s="1"/>
  <c r="B44" i="18"/>
  <c r="M52" i="3"/>
  <c r="C45" i="18" s="1"/>
  <c r="M53" i="3"/>
  <c r="C46" i="18" s="1"/>
  <c r="J93" i="3"/>
  <c r="C86" i="17" s="1"/>
  <c r="J94" i="3"/>
  <c r="C87" i="17" s="1"/>
  <c r="B86" i="17"/>
  <c r="J77" i="3"/>
  <c r="C70" i="17" s="1"/>
  <c r="M19" i="3"/>
  <c r="C12" i="18" s="1"/>
  <c r="B99" i="17"/>
  <c r="J106" i="3"/>
  <c r="C99" i="17" s="1"/>
  <c r="J108" i="3"/>
  <c r="C101" i="17" s="1"/>
  <c r="M83" i="3"/>
  <c r="C76" i="18" s="1"/>
  <c r="B75" i="18"/>
  <c r="J23" i="3"/>
  <c r="C16" i="17" s="1"/>
  <c r="J22" i="3"/>
  <c r="C15" i="17" s="1"/>
  <c r="J46" i="3"/>
  <c r="C39" i="17" s="1"/>
  <c r="B39" i="17"/>
  <c r="J47" i="3"/>
  <c r="C40" i="17" s="1"/>
  <c r="B59" i="17"/>
  <c r="J66" i="3"/>
  <c r="C59" i="17" s="1"/>
  <c r="J67" i="3"/>
  <c r="C60" i="17" s="1"/>
  <c r="J72" i="3"/>
  <c r="C65" i="17" s="1"/>
  <c r="B64" i="17"/>
  <c r="J73" i="3"/>
  <c r="C66" i="17" s="1"/>
  <c r="M37" i="3"/>
  <c r="C30" i="18" s="1"/>
  <c r="J107" i="3"/>
  <c r="C100" i="17" s="1"/>
  <c r="B92" i="17"/>
  <c r="J99" i="3"/>
  <c r="C92" i="17" s="1"/>
  <c r="J100" i="3"/>
  <c r="C93" i="17" s="1"/>
  <c r="M38" i="3"/>
  <c r="C31" i="18" s="1"/>
  <c r="M26" i="3"/>
  <c r="C19" i="18" s="1"/>
  <c r="B10" i="18"/>
  <c r="H46" i="4"/>
  <c r="H42" i="4"/>
  <c r="J102" i="3"/>
  <c r="C95" i="17" s="1"/>
  <c r="M105" i="3"/>
  <c r="C98" i="18" s="1"/>
  <c r="M104" i="3"/>
  <c r="C97" i="18" s="1"/>
  <c r="M106" i="3"/>
  <c r="C99" i="18" s="1"/>
  <c r="M12" i="3"/>
  <c r="C5" i="18" s="1"/>
  <c r="J24" i="3"/>
  <c r="C17" i="17" s="1"/>
  <c r="H16" i="4"/>
  <c r="H20" i="4"/>
  <c r="J34" i="3"/>
  <c r="C27" i="17" s="1"/>
  <c r="H32" i="4"/>
  <c r="B77" i="17"/>
  <c r="J86" i="3"/>
  <c r="C79" i="17" s="1"/>
  <c r="J85" i="3"/>
  <c r="C78" i="17" s="1"/>
  <c r="J84" i="3"/>
  <c r="C77" i="17" s="1"/>
  <c r="B93" i="17"/>
  <c r="J101" i="3"/>
  <c r="C94" i="17" s="1"/>
  <c r="M25" i="3"/>
  <c r="C18" i="18" s="1"/>
  <c r="J10" i="3"/>
  <c r="C3" i="17" s="1"/>
  <c r="J78" i="3"/>
  <c r="C71" i="17" s="1"/>
  <c r="H24" i="4"/>
  <c r="J95" i="3"/>
  <c r="C88" i="17" s="1"/>
  <c r="B94" i="18"/>
  <c r="M102" i="3"/>
  <c r="C95" i="18" s="1"/>
  <c r="B43" i="18"/>
  <c r="M51" i="3"/>
  <c r="C44" i="18" s="1"/>
  <c r="M71" i="3"/>
  <c r="C64" i="18" s="1"/>
  <c r="B62" i="18"/>
  <c r="M70" i="3"/>
  <c r="C63" i="18" s="1"/>
  <c r="M84" i="3"/>
  <c r="C77" i="18" s="1"/>
  <c r="B76" i="18"/>
  <c r="B61" i="17"/>
  <c r="M40" i="3"/>
  <c r="C33" i="18" s="1"/>
  <c r="J17" i="3"/>
  <c r="C10" i="17" s="1"/>
  <c r="J18" i="3"/>
  <c r="C11" i="17" s="1"/>
  <c r="M72" i="3"/>
  <c r="C65" i="18" s="1"/>
  <c r="J48" i="3"/>
  <c r="C41" i="17" s="1"/>
  <c r="H49" i="4"/>
  <c r="J88" i="3"/>
  <c r="C81" i="17" s="1"/>
  <c r="J87" i="3"/>
  <c r="C80" i="17" s="1"/>
  <c r="B80" i="17"/>
  <c r="B83" i="18"/>
  <c r="M91" i="3"/>
  <c r="C84" i="18" s="1"/>
  <c r="B90" i="18"/>
  <c r="M110" i="3"/>
  <c r="C103" i="18" s="1"/>
  <c r="M28" i="3"/>
  <c r="C21" i="18" s="1"/>
  <c r="B64" i="18"/>
  <c r="B82" i="18"/>
  <c r="M90" i="3"/>
  <c r="C83" i="18" s="1"/>
  <c r="B45" i="17"/>
  <c r="M109" i="3"/>
  <c r="C102" i="18" s="1"/>
  <c r="B7" i="18"/>
  <c r="M36" i="3"/>
  <c r="C29" i="18" s="1"/>
  <c r="J69" i="3"/>
  <c r="C62" i="17" s="1"/>
  <c r="J53" i="3"/>
  <c r="C46" i="17" s="1"/>
  <c r="J37" i="3"/>
  <c r="C30" i="17" s="1"/>
  <c r="J54" i="3"/>
  <c r="C47" i="17" s="1"/>
  <c r="B19" i="18"/>
  <c r="M92" i="3"/>
  <c r="C85" i="18" s="1"/>
  <c r="B85" i="18"/>
  <c r="B74" i="17"/>
  <c r="J82" i="3"/>
  <c r="C75" i="17" s="1"/>
  <c r="J104" i="3"/>
  <c r="C97" i="17" s="1"/>
  <c r="B97" i="17"/>
  <c r="B79" i="18"/>
  <c r="M87" i="3"/>
  <c r="C80" i="18" s="1"/>
  <c r="M111" i="3"/>
  <c r="C104" i="18" s="1"/>
  <c r="J44" i="3"/>
  <c r="C37" i="17" s="1"/>
  <c r="H65" i="4"/>
  <c r="M14" i="3"/>
  <c r="C7" i="18" s="1"/>
  <c r="M39" i="3"/>
  <c r="C32" i="18" s="1"/>
  <c r="J43" i="3"/>
  <c r="C36" i="17" s="1"/>
  <c r="M97" i="3"/>
  <c r="C90" i="18" s="1"/>
  <c r="B75" i="17"/>
  <c r="J83" i="3"/>
  <c r="C76" i="17" s="1"/>
  <c r="J110" i="3"/>
  <c r="C103" i="17" s="1"/>
  <c r="J109" i="3"/>
  <c r="C102" i="17" s="1"/>
  <c r="M13" i="3"/>
  <c r="C6" i="18" s="1"/>
  <c r="M30" i="3"/>
  <c r="C23" i="18" s="1"/>
  <c r="J63" i="3"/>
  <c r="C56" i="17" s="1"/>
  <c r="J64" i="3"/>
  <c r="C57" i="17" s="1"/>
  <c r="M35" i="3"/>
  <c r="C28" i="18" s="1"/>
  <c r="J65" i="3"/>
  <c r="C58" i="17" s="1"/>
  <c r="J49" i="3"/>
  <c r="C42" i="17" s="1"/>
  <c r="J30" i="3"/>
  <c r="C23" i="17" s="1"/>
  <c r="H56" i="4"/>
  <c r="M86" i="3"/>
  <c r="C79" i="18" s="1"/>
  <c r="M89" i="3"/>
  <c r="C82" i="18" s="1"/>
  <c r="M100" i="3"/>
  <c r="C93" i="18" s="1"/>
  <c r="B93" i="18"/>
  <c r="M101" i="3"/>
  <c r="C94" i="18" s="1"/>
  <c r="M112" i="3"/>
  <c r="C105" i="18" s="1"/>
  <c r="J32" i="3"/>
  <c r="C25" i="17" s="1"/>
  <c r="M62" i="3"/>
  <c r="C55" i="18" s="1"/>
  <c r="B53" i="18"/>
  <c r="H17" i="4"/>
  <c r="H13" i="4"/>
  <c r="H58" i="4"/>
  <c r="H62" i="4"/>
  <c r="E6" i="9"/>
  <c r="C2" i="24" s="1"/>
  <c r="E23" i="9"/>
  <c r="C19" i="24" s="1"/>
  <c r="E7" i="9"/>
  <c r="C3" i="24" s="1"/>
  <c r="E28" i="9"/>
  <c r="C24" i="24" s="1"/>
  <c r="E12" i="9"/>
  <c r="C8" i="24" s="1"/>
  <c r="D18" i="8"/>
  <c r="E12" i="22" s="1"/>
  <c r="C52" i="8"/>
  <c r="C46" i="22" s="1"/>
  <c r="C14" i="8"/>
  <c r="C8" i="22" s="1"/>
  <c r="E8" i="9"/>
  <c r="C4" i="24" s="1"/>
  <c r="F35" i="7"/>
  <c r="C30" i="39" s="1"/>
  <c r="F15" i="7"/>
  <c r="C10" i="39" s="1"/>
  <c r="E24" i="9"/>
  <c r="C20" i="24" s="1"/>
  <c r="E36" i="9"/>
  <c r="C32" i="24" s="1"/>
  <c r="C32" i="8"/>
  <c r="C26" i="22" s="1"/>
  <c r="D36" i="8"/>
  <c r="E30" i="22" s="1"/>
  <c r="E38" i="9"/>
  <c r="C34" i="24" s="1"/>
  <c r="D27" i="8"/>
  <c r="E21" i="22" s="1"/>
  <c r="C42" i="8"/>
  <c r="C36" i="22" s="1"/>
  <c r="E39" i="9"/>
  <c r="C35" i="24" s="1"/>
  <c r="C23" i="8"/>
  <c r="C17" i="22" s="1"/>
  <c r="C9" i="8"/>
  <c r="C3" i="22" s="1"/>
  <c r="C47" i="8"/>
  <c r="C41" i="22" s="1"/>
  <c r="F17" i="7"/>
  <c r="C12" i="39" s="1"/>
  <c r="F18" i="7"/>
  <c r="C13" i="39" s="1"/>
  <c r="F16" i="7"/>
  <c r="C11" i="39" s="1"/>
  <c r="F39" i="7"/>
  <c r="C34" i="39" s="1"/>
  <c r="F25" i="7"/>
  <c r="C20" i="39" s="1"/>
  <c r="F26" i="7"/>
  <c r="C21" i="39" s="1"/>
  <c r="F48" i="7"/>
  <c r="C43" i="39" s="1"/>
  <c r="E20" i="9"/>
  <c r="C16" i="24" s="1"/>
  <c r="E40" i="9"/>
  <c r="C36" i="24" s="1"/>
  <c r="F40" i="7"/>
  <c r="C35" i="39" s="1"/>
  <c r="F7" i="7"/>
  <c r="C2" i="39" s="1"/>
  <c r="F27" i="7"/>
  <c r="C22" i="39" s="1"/>
  <c r="F49" i="7"/>
  <c r="C44" i="39" s="1"/>
  <c r="E22" i="9"/>
  <c r="C18" i="24" s="1"/>
  <c r="E44" i="9"/>
  <c r="C40" i="24" s="1"/>
  <c r="F36" i="7"/>
  <c r="C31" i="39" s="1"/>
  <c r="F47" i="7"/>
  <c r="C42" i="39" s="1"/>
  <c r="F8" i="7"/>
  <c r="C3" i="39" s="1"/>
  <c r="F28" i="7"/>
  <c r="C23" i="39" s="1"/>
  <c r="F50" i="7"/>
  <c r="C45" i="39" s="1"/>
  <c r="D10" i="8"/>
  <c r="E4" i="22" s="1"/>
  <c r="C15" i="8"/>
  <c r="C9" i="22" s="1"/>
  <c r="D19" i="8"/>
  <c r="E13" i="22" s="1"/>
  <c r="C24" i="8"/>
  <c r="C18" i="22" s="1"/>
  <c r="D28" i="8"/>
  <c r="E22" i="22" s="1"/>
  <c r="C33" i="8"/>
  <c r="C27" i="22" s="1"/>
  <c r="C38" i="8"/>
  <c r="C32" i="22" s="1"/>
  <c r="C43" i="8"/>
  <c r="C37" i="22" s="1"/>
  <c r="D48" i="8"/>
  <c r="E42" i="22" s="1"/>
  <c r="C54" i="8"/>
  <c r="C48" i="22" s="1"/>
  <c r="D15" i="8"/>
  <c r="E9" i="22" s="1"/>
  <c r="D24" i="8"/>
  <c r="E18" i="22" s="1"/>
  <c r="C34" i="8"/>
  <c r="C28" i="22" s="1"/>
  <c r="C44" i="8"/>
  <c r="C38" i="22" s="1"/>
  <c r="C49" i="8"/>
  <c r="C43" i="22" s="1"/>
  <c r="F9" i="7"/>
  <c r="C4" i="39" s="1"/>
  <c r="F19" i="7"/>
  <c r="C14" i="39" s="1"/>
  <c r="F31" i="7"/>
  <c r="C26" i="39" s="1"/>
  <c r="F41" i="7"/>
  <c r="C36" i="39" s="1"/>
  <c r="F51" i="7"/>
  <c r="C46" i="39" s="1"/>
  <c r="D11" i="8"/>
  <c r="E5" i="22" s="1"/>
  <c r="D20" i="8"/>
  <c r="E14" i="22" s="1"/>
  <c r="C30" i="8"/>
  <c r="C24" i="22" s="1"/>
  <c r="D39" i="8"/>
  <c r="E33" i="22" s="1"/>
  <c r="C50" i="8"/>
  <c r="C44" i="22" s="1"/>
  <c r="F10" i="7"/>
  <c r="C5" i="39" s="1"/>
  <c r="F32" i="7"/>
  <c r="C27" i="39" s="1"/>
  <c r="F52" i="7"/>
  <c r="C47" i="39" s="1"/>
  <c r="E46" i="9"/>
  <c r="C42" i="24" s="1"/>
  <c r="C12" i="8"/>
  <c r="C6" i="22" s="1"/>
  <c r="D16" i="8"/>
  <c r="E10" i="22" s="1"/>
  <c r="C21" i="8"/>
  <c r="C15" i="22" s="1"/>
  <c r="C26" i="8"/>
  <c r="C20" i="22" s="1"/>
  <c r="D30" i="8"/>
  <c r="E24" i="22" s="1"/>
  <c r="C35" i="8"/>
  <c r="C29" i="22" s="1"/>
  <c r="C40" i="8"/>
  <c r="C34" i="22" s="1"/>
  <c r="C45" i="8"/>
  <c r="C39" i="22" s="1"/>
  <c r="D50" i="8"/>
  <c r="E44" i="22" s="1"/>
  <c r="D55" i="8"/>
  <c r="E49" i="22" s="1"/>
  <c r="F11" i="7"/>
  <c r="C6" i="39" s="1"/>
  <c r="F23" i="7"/>
  <c r="C18" i="39" s="1"/>
  <c r="F33" i="7"/>
  <c r="C28" i="39" s="1"/>
  <c r="F43" i="7"/>
  <c r="C38" i="39" s="1"/>
  <c r="F55" i="7"/>
  <c r="C50" i="39" s="1"/>
  <c r="E15" i="9"/>
  <c r="C11" i="24" s="1"/>
  <c r="E31" i="9"/>
  <c r="C27" i="24" s="1"/>
  <c r="E47" i="9"/>
  <c r="C43" i="24" s="1"/>
  <c r="C10" i="8"/>
  <c r="C4" i="22" s="1"/>
  <c r="D14" i="8"/>
  <c r="E8" i="22" s="1"/>
  <c r="C19" i="8"/>
  <c r="C13" i="22" s="1"/>
  <c r="D23" i="8"/>
  <c r="E17" i="22" s="1"/>
  <c r="C28" i="8"/>
  <c r="C22" i="22" s="1"/>
  <c r="D32" i="8"/>
  <c r="E26" i="22" s="1"/>
  <c r="C37" i="8"/>
  <c r="C31" i="22" s="1"/>
  <c r="D42" i="8"/>
  <c r="E36" i="22" s="1"/>
  <c r="D47" i="8"/>
  <c r="E41" i="22" s="1"/>
  <c r="C53" i="8"/>
  <c r="C47" i="22" s="1"/>
  <c r="C11" i="8"/>
  <c r="C5" i="22" s="1"/>
  <c r="C20" i="8"/>
  <c r="C14" i="22" s="1"/>
  <c r="C29" i="8"/>
  <c r="C23" i="22" s="1"/>
  <c r="D38" i="8"/>
  <c r="E32" i="22" s="1"/>
  <c r="D54" i="8"/>
  <c r="E48" i="22" s="1"/>
  <c r="C16" i="8"/>
  <c r="C10" i="22" s="1"/>
  <c r="C25" i="8"/>
  <c r="C19" i="22" s="1"/>
  <c r="D34" i="8"/>
  <c r="E28" i="22" s="1"/>
  <c r="D44" i="8"/>
  <c r="E38" i="22" s="1"/>
  <c r="C55" i="8"/>
  <c r="C49" i="22" s="1"/>
  <c r="F20" i="7"/>
  <c r="C15" i="39" s="1"/>
  <c r="F42" i="7"/>
  <c r="C37" i="39" s="1"/>
  <c r="E14" i="9"/>
  <c r="C10" i="24" s="1"/>
  <c r="E30" i="9"/>
  <c r="C26" i="24" s="1"/>
  <c r="C8" i="8"/>
  <c r="C2" i="22" s="1"/>
  <c r="D12" i="8"/>
  <c r="E6" i="22" s="1"/>
  <c r="C17" i="8"/>
  <c r="C11" i="22" s="1"/>
  <c r="C22" i="8"/>
  <c r="C16" i="22" s="1"/>
  <c r="D26" i="8"/>
  <c r="E20" i="22" s="1"/>
  <c r="C31" i="8"/>
  <c r="C25" i="22" s="1"/>
  <c r="D35" i="8"/>
  <c r="E29" i="22" s="1"/>
  <c r="D40" i="8"/>
  <c r="E34" i="22" s="1"/>
  <c r="C46" i="8"/>
  <c r="C40" i="22" s="1"/>
  <c r="C51" i="8"/>
  <c r="C45" i="22" s="1"/>
  <c r="C56" i="8"/>
  <c r="C50" i="22" s="1"/>
  <c r="F12" i="7"/>
  <c r="C7" i="39" s="1"/>
  <c r="F24" i="7"/>
  <c r="C19" i="39" s="1"/>
  <c r="F34" i="7"/>
  <c r="C29" i="39" s="1"/>
  <c r="F44" i="7"/>
  <c r="C39" i="39" s="1"/>
  <c r="F56" i="7"/>
  <c r="C51" i="39" s="1"/>
  <c r="E16" i="9"/>
  <c r="C12" i="24" s="1"/>
  <c r="E32" i="9"/>
  <c r="C28" i="24" s="1"/>
  <c r="E48" i="9"/>
  <c r="C44" i="24" s="1"/>
  <c r="D8" i="8"/>
  <c r="E2" i="22" s="1"/>
  <c r="C13" i="8"/>
  <c r="C7" i="22" s="1"/>
  <c r="C18" i="8"/>
  <c r="C12" i="22" s="1"/>
  <c r="D22" i="8"/>
  <c r="E16" i="22" s="1"/>
  <c r="C27" i="8"/>
  <c r="C21" i="22" s="1"/>
  <c r="D31" i="8"/>
  <c r="E25" i="22" s="1"/>
  <c r="C36" i="8"/>
  <c r="C30" i="22" s="1"/>
  <c r="C41" i="8"/>
  <c r="C35" i="22" s="1"/>
  <c r="D46" i="8"/>
  <c r="E40" i="22" s="1"/>
  <c r="D51" i="8"/>
  <c r="E45" i="22" s="1"/>
  <c r="D56" i="8"/>
  <c r="E50" i="22" s="1"/>
  <c r="C39" i="8"/>
  <c r="C33" i="22" s="1"/>
  <c r="D43" i="8"/>
  <c r="E37" i="22" s="1"/>
  <c r="C48" i="8"/>
  <c r="C42" i="22" s="1"/>
  <c r="D52" i="8"/>
  <c r="E46" i="22" s="1"/>
  <c r="C57" i="8"/>
  <c r="C51" i="22" s="1"/>
  <c r="E55" i="9"/>
  <c r="C51" i="24" s="1"/>
  <c r="E52" i="9"/>
  <c r="C48" i="24" s="1"/>
  <c r="E54" i="9"/>
  <c r="C50" i="24" s="1"/>
  <c r="D9" i="8"/>
  <c r="E3" i="22" s="1"/>
  <c r="D13" i="8"/>
  <c r="E7" i="22" s="1"/>
  <c r="D17" i="8"/>
  <c r="E11" i="22" s="1"/>
  <c r="D21" i="8"/>
  <c r="E15" i="22" s="1"/>
  <c r="D25" i="8"/>
  <c r="E19" i="22" s="1"/>
  <c r="D29" i="8"/>
  <c r="E23" i="22" s="1"/>
  <c r="D33" i="8"/>
  <c r="E27" i="22" s="1"/>
  <c r="D37" i="8"/>
  <c r="E31" i="22" s="1"/>
  <c r="D41" i="8"/>
  <c r="E35" i="22" s="1"/>
  <c r="D45" i="8"/>
  <c r="E39" i="22" s="1"/>
  <c r="D49" i="8"/>
  <c r="E43" i="22" s="1"/>
  <c r="D53" i="8"/>
  <c r="E47" i="22" s="1"/>
  <c r="F13" i="7"/>
  <c r="C8" i="39" s="1"/>
  <c r="F21" i="7"/>
  <c r="C16" i="39" s="1"/>
  <c r="F29" i="7"/>
  <c r="C24" i="39" s="1"/>
  <c r="F37" i="7"/>
  <c r="C32" i="39" s="1"/>
  <c r="F45" i="7"/>
  <c r="C40" i="39" s="1"/>
  <c r="F53" i="7"/>
  <c r="C48" i="39" s="1"/>
  <c r="E9" i="9"/>
  <c r="C5" i="24" s="1"/>
  <c r="E17" i="9"/>
  <c r="C13" i="24" s="1"/>
  <c r="E25" i="9"/>
  <c r="C21" i="24" s="1"/>
  <c r="E33" i="9"/>
  <c r="C29" i="24" s="1"/>
  <c r="E41" i="9"/>
  <c r="C37" i="24" s="1"/>
  <c r="E49" i="9"/>
  <c r="C45" i="24" s="1"/>
  <c r="F14" i="7"/>
  <c r="C9" i="39" s="1"/>
  <c r="F22" i="7"/>
  <c r="C17" i="39" s="1"/>
  <c r="F30" i="7"/>
  <c r="C25" i="39" s="1"/>
  <c r="F38" i="7"/>
  <c r="C33" i="39" s="1"/>
  <c r="F46" i="7"/>
  <c r="C41" i="39" s="1"/>
  <c r="E10" i="9"/>
  <c r="C6" i="24" s="1"/>
  <c r="E18" i="9"/>
  <c r="C14" i="24" s="1"/>
  <c r="E26" i="9"/>
  <c r="C22" i="24" s="1"/>
  <c r="E34" i="9"/>
  <c r="C30" i="24" s="1"/>
  <c r="E42" i="9"/>
  <c r="C38" i="24" s="1"/>
  <c r="E50" i="9"/>
  <c r="C46" i="24" s="1"/>
  <c r="E11" i="9"/>
  <c r="C7" i="24" s="1"/>
  <c r="E19" i="9"/>
  <c r="C15" i="24" s="1"/>
  <c r="E27" i="9"/>
  <c r="C23" i="24" s="1"/>
  <c r="E35" i="9"/>
  <c r="C31" i="24" s="1"/>
  <c r="E43" i="9"/>
  <c r="C39" i="24" s="1"/>
  <c r="E51" i="9"/>
  <c r="C47" i="24" s="1"/>
  <c r="E13" i="9"/>
  <c r="C9" i="24" s="1"/>
  <c r="E21" i="9"/>
  <c r="C17" i="24" s="1"/>
  <c r="E29" i="9"/>
  <c r="C25" i="24" s="1"/>
  <c r="E37" i="9"/>
  <c r="C33" i="24" s="1"/>
  <c r="E45" i="9"/>
  <c r="C41" i="24" s="1"/>
  <c r="I76" i="4" l="1"/>
  <c r="B63" i="21" s="1"/>
  <c r="K59" i="4"/>
  <c r="B68" i="21"/>
  <c r="I91" i="4"/>
  <c r="B78" i="21" s="1"/>
  <c r="I124" i="4"/>
  <c r="B111" i="21" s="1"/>
  <c r="I123" i="4"/>
  <c r="B110" i="21" s="1"/>
  <c r="I105" i="4"/>
  <c r="B92" i="21" s="1"/>
  <c r="I112" i="4"/>
  <c r="B99" i="21" s="1"/>
  <c r="I111" i="4"/>
  <c r="B98" i="21" s="1"/>
  <c r="I122" i="4"/>
  <c r="B109" i="21" s="1"/>
  <c r="I109" i="4"/>
  <c r="B96" i="21" s="1"/>
  <c r="I104" i="4"/>
  <c r="B91" i="21" s="1"/>
  <c r="I110" i="4"/>
  <c r="B97" i="21" s="1"/>
  <c r="I90" i="4"/>
  <c r="B77" i="21" s="1"/>
  <c r="I106" i="4"/>
  <c r="B93" i="21" s="1"/>
  <c r="I92" i="4"/>
  <c r="B79" i="21" s="1"/>
  <c r="I73" i="4"/>
  <c r="B60" i="21" s="1"/>
  <c r="I74" i="4"/>
  <c r="B61" i="21" s="1"/>
  <c r="I40" i="4"/>
  <c r="B27" i="21" s="1"/>
  <c r="I70" i="4"/>
  <c r="B57" i="21" s="1"/>
  <c r="I28" i="4"/>
  <c r="B15" i="21" s="1"/>
  <c r="I39" i="4"/>
  <c r="B26" i="21" s="1"/>
  <c r="I41" i="4"/>
  <c r="B28" i="21" s="1"/>
  <c r="I30" i="4"/>
  <c r="B17" i="21" s="1"/>
  <c r="I31" i="4"/>
  <c r="B18" i="21" s="1"/>
  <c r="I36" i="4"/>
  <c r="B23" i="21" s="1"/>
  <c r="I24" i="4"/>
  <c r="B11" i="21" s="1"/>
  <c r="I38" i="4"/>
  <c r="B25" i="21" s="1"/>
  <c r="I53" i="4"/>
  <c r="B40" i="21" s="1"/>
  <c r="I69" i="4"/>
  <c r="B56" i="21" s="1"/>
  <c r="I37" i="4"/>
  <c r="B24" i="21" s="1"/>
  <c r="I54" i="4"/>
  <c r="B41" i="21" s="1"/>
  <c r="I56" i="4"/>
  <c r="B43" i="21" s="1"/>
  <c r="I29" i="4"/>
  <c r="B16" i="21" s="1"/>
  <c r="I43" i="4"/>
  <c r="B30" i="21" s="1"/>
  <c r="I72" i="4"/>
  <c r="B59" i="21" s="1"/>
  <c r="I71" i="4"/>
  <c r="B58" i="21" s="1"/>
  <c r="I32" i="4"/>
  <c r="B19" i="21" s="1"/>
  <c r="I45" i="4"/>
  <c r="B32" i="21" s="1"/>
  <c r="I55" i="4"/>
  <c r="B42" i="21" s="1"/>
  <c r="I22" i="4"/>
  <c r="B9" i="21" s="1"/>
  <c r="I67" i="4"/>
  <c r="B54" i="21" s="1"/>
  <c r="I16" i="4"/>
  <c r="B3" i="21" s="1"/>
  <c r="I20" i="4"/>
  <c r="B7" i="21" s="1"/>
  <c r="I15" i="4"/>
  <c r="B2" i="21" s="1"/>
  <c r="I33" i="4"/>
  <c r="B20" i="21" s="1"/>
  <c r="I49" i="4"/>
  <c r="B36" i="21" s="1"/>
  <c r="I46" i="4"/>
  <c r="B33" i="21" s="1"/>
  <c r="I48" i="4"/>
  <c r="B35" i="21" s="1"/>
  <c r="I47" i="4"/>
  <c r="B34" i="21" s="1"/>
  <c r="I52" i="4"/>
  <c r="B39" i="21" s="1"/>
  <c r="I51" i="4"/>
  <c r="B38" i="21" s="1"/>
  <c r="I68" i="4"/>
  <c r="B55" i="21" s="1"/>
  <c r="I66" i="4"/>
  <c r="B53" i="21" s="1"/>
  <c r="I17" i="4"/>
  <c r="B4" i="21" s="1"/>
  <c r="I44" i="4"/>
  <c r="B31" i="21" s="1"/>
  <c r="I26" i="4"/>
  <c r="B13" i="21" s="1"/>
  <c r="I27" i="4"/>
  <c r="B14" i="21" s="1"/>
  <c r="I25" i="4"/>
  <c r="B12" i="21" s="1"/>
  <c r="I23" i="4"/>
  <c r="B10" i="21" s="1"/>
  <c r="I21" i="4"/>
  <c r="B8" i="21" s="1"/>
  <c r="I57" i="4"/>
  <c r="B44" i="21" s="1"/>
  <c r="I64" i="4"/>
  <c r="B51" i="21" s="1"/>
  <c r="I65" i="4"/>
  <c r="B52" i="21" s="1"/>
  <c r="I63" i="4"/>
  <c r="B50" i="21" s="1"/>
  <c r="I19" i="4"/>
  <c r="B6" i="21" s="1"/>
  <c r="I18" i="4"/>
  <c r="B5" i="21" s="1"/>
  <c r="I62" i="4"/>
  <c r="B49" i="21" s="1"/>
  <c r="I59" i="4"/>
  <c r="B46" i="21" s="1"/>
  <c r="I58" i="4"/>
  <c r="B45" i="21" s="1"/>
  <c r="I35" i="4"/>
  <c r="B22" i="21" s="1"/>
  <c r="I34" i="4"/>
  <c r="B21" i="21" s="1"/>
  <c r="I60" i="4"/>
  <c r="B47" i="21" s="1"/>
  <c r="I61" i="4"/>
  <c r="B48" i="21" s="1"/>
  <c r="I42" i="4"/>
  <c r="B29" i="21" s="1"/>
  <c r="I50" i="4"/>
  <c r="B37" i="21" s="1"/>
</calcChain>
</file>

<file path=xl/sharedStrings.xml><?xml version="1.0" encoding="utf-8"?>
<sst xmlns="http://schemas.openxmlformats.org/spreadsheetml/2006/main" count="982" uniqueCount="524">
  <si>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</si>
  <si>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</si>
  <si>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</si>
  <si>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</si>
  <si>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</si>
  <si>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</si>
  <si>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</si>
  <si>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</si>
  <si>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</si>
  <si>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</si>
  <si>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</si>
  <si>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</si>
  <si>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</si>
  <si>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</si>
  <si>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</si>
  <si>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</si>
  <si>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</si>
  <si>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</si>
  <si>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</si>
  <si>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</si>
  <si>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</si>
  <si>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</si>
  <si>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</si>
  <si>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</si>
  <si>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</si>
  <si>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</si>
  <si>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</si>
  <si>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</si>
  <si>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</si>
  <si>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</si>
  <si>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</si>
  <si>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</si>
  <si>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</si>
  <si>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</si>
  <si>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</si>
  <si>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</si>
  <si>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</si>
  <si>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</si>
  <si>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</si>
  <si>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</si>
  <si>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</si>
  <si>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</si>
  <si>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</si>
  <si>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</si>
  <si>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</si>
  <si>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</si>
  <si>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</si>
  <si>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</si>
  <si>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</si>
  <si>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</si>
  <si>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</si>
  <si>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</si>
  <si>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</si>
  <si>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</si>
  <si>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</si>
  <si>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</si>
  <si>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</si>
  <si>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</si>
  <si>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</si>
  <si>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</si>
  <si>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</si>
  <si>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</si>
  <si>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</si>
  <si>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</si>
  <si>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</si>
  <si>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</si>
  <si>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</si>
  <si>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</si>
  <si>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</si>
  <si>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</si>
  <si>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</si>
  <si>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</si>
  <si>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</si>
  <si>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</si>
  <si>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</si>
  <si>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</si>
  <si>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</si>
  <si>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</si>
  <si>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</si>
  <si>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</si>
  <si>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</si>
  <si>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</si>
  <si>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</si>
  <si>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</si>
  <si>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</si>
  <si>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</si>
  <si>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</si>
  <si>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</si>
  <si>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</si>
  <si>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</si>
  <si>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</si>
  <si>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</si>
  <si>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</si>
  <si>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</si>
  <si>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</si>
  <si>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</si>
  <si>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</si>
  <si>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</si>
  <si>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</si>
  <si>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</si>
  <si>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</si>
  <si>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</si>
  <si>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</si>
  <si>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</si>
  <si>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</si>
  <si>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</si>
  <si>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</si>
  <si>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</si>
  <si>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</si>
  <si>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</si>
  <si>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</si>
  <si>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</si>
  <si>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</si>
  <si>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</si>
  <si>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</si>
  <si>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</si>
  <si>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</si>
  <si>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</si>
  <si>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</si>
  <si>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</si>
  <si>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</si>
  <si>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</si>
  <si>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</si>
  <si>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</si>
  <si>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</si>
  <si>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</si>
  <si>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</si>
  <si>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</si>
  <si>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</si>
  <si>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</si>
  <si>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</si>
  <si>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</si>
  <si>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</si>
  <si>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</si>
  <si>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</si>
  <si>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</si>
  <si>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</si>
  <si>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</si>
  <si>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</si>
  <si>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</si>
  <si>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</si>
  <si>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</si>
  <si>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</si>
  <si>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</si>
  <si>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</si>
  <si>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</si>
  <si>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</si>
  <si>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</si>
  <si>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</si>
  <si>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</si>
  <si>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</si>
  <si>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</si>
  <si>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</si>
  <si>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</si>
  <si>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</si>
  <si>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</si>
  <si>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</si>
  <si>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</si>
  <si>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</si>
  <si>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</si>
  <si>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</si>
  <si>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</si>
  <si>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</si>
  <si>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</si>
  <si>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</si>
  <si>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</si>
  <si>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</si>
  <si>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</si>
  <si>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</si>
  <si>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</si>
  <si>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</si>
  <si>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</si>
  <si>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</si>
  <si>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</si>
  <si>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</si>
  <si>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</si>
  <si>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</si>
  <si>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</si>
  <si>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</si>
  <si>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</si>
  <si>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</si>
  <si>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</si>
  <si>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</si>
  <si>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</si>
  <si>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</si>
  <si>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</si>
  <si>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</si>
  <si>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</si>
  <si>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</si>
  <si>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</si>
  <si>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</si>
  <si>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</si>
  <si>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</si>
  <si>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</si>
  <si>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</si>
  <si>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</si>
  <si>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</si>
  <si>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</si>
  <si>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</si>
  <si>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</si>
  <si>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</si>
  <si>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</si>
  <si>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</si>
  <si>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</si>
  <si>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</si>
  <si>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</si>
  <si>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</si>
  <si>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</si>
  <si>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</si>
  <si>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</si>
  <si>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</si>
  <si>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</si>
  <si>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</si>
  <si>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</si>
  <si>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</si>
  <si>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</si>
  <si>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</si>
  <si>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</si>
  <si>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</si>
  <si>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</si>
  <si>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</si>
  <si>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</si>
  <si>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</si>
  <si>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</si>
  <si>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</si>
  <si>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</si>
  <si>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</si>
  <si>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</si>
  <si>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</si>
  <si>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</si>
  <si>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</si>
  <si>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</si>
  <si>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</si>
  <si>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</si>
  <si>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</si>
  <si>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</si>
  <si>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</si>
  <si>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</si>
  <si>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</si>
  <si>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</si>
  <si>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</si>
  <si>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</si>
  <si>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</si>
  <si>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</si>
  <si>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</si>
  <si>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</si>
  <si>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</si>
  <si>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</si>
  <si>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</si>
  <si>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</si>
  <si>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</si>
  <si>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</si>
  <si>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</si>
  <si>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</si>
  <si>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</si>
  <si>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</si>
  <si>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</si>
  <si>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</si>
  <si>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</si>
  <si>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</si>
  <si>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</si>
  <si>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</si>
  <si>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</si>
  <si>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</si>
  <si>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</si>
  <si>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</si>
  <si>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</si>
  <si>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</si>
  <si>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</si>
  <si>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</si>
  <si>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</si>
  <si>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</si>
  <si>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</si>
  <si>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</si>
  <si>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</si>
  <si>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</si>
  <si>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</si>
  <si>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</si>
  <si>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</si>
  <si>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</si>
  <si>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</si>
  <si>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</si>
  <si>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</si>
  <si>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</si>
  <si>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</si>
  <si>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</si>
  <si>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</si>
  <si>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</si>
  <si>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</si>
  <si>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</si>
  <si>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</si>
  <si>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</si>
  <si>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</si>
  <si>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</si>
  <si>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</si>
  <si>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</si>
  <si>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</si>
  <si>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</si>
  <si>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</si>
  <si>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</si>
  <si>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</si>
  <si>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</si>
  <si>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</si>
  <si>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</si>
  <si>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</si>
  <si>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</si>
  <si>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</si>
  <si>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</si>
  <si>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</si>
  <si>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</si>
  <si>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</si>
  <si>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</si>
  <si>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</si>
  <si>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</si>
  <si>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</si>
  <si>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</si>
  <si>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</si>
  <si>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</si>
  <si>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</si>
  <si>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</si>
  <si>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</si>
  <si>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</si>
  <si>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</si>
  <si>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</si>
  <si>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</si>
  <si>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</si>
  <si>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</si>
  <si>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</si>
  <si>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</si>
  <si>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</si>
  <si>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</si>
  <si>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</si>
  <si>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</si>
  <si>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</si>
  <si>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</si>
  <si>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</si>
  <si>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</si>
  <si>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</si>
  <si>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</si>
  <si>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</si>
  <si>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</si>
  <si>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</si>
  <si>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</si>
  <si>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</si>
  <si>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</si>
  <si>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</si>
  <si>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</si>
  <si>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</si>
  <si>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</si>
  <si>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</si>
  <si>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</si>
  <si>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</si>
  <si>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</si>
  <si>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</si>
  <si>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</si>
  <si>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</si>
  <si>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</si>
  <si>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</si>
  <si>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</si>
  <si>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</si>
  <si>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</si>
  <si>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</si>
  <si>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</si>
  <si>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</si>
  <si>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</si>
  <si>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</si>
  <si>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</si>
  <si>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</si>
  <si>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</si>
  <si>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</si>
  <si>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</si>
  <si>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</si>
  <si>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</si>
  <si>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</si>
  <si>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</si>
  <si>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</si>
  <si>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</si>
  <si>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</si>
  <si>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</si>
  <si>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</si>
  <si>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</si>
  <si>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</si>
  <si>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</si>
  <si>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Monthly NBER Recession/Expansion (+1 or 0)</t>
  </si>
  <si>
    <t>201601</t>
  </si>
  <si>
    <t>FJBLMDP: CBO FJBLMCP: CBO</t>
  </si>
  <si>
    <t>FJBLMDP: CBO Ext Baseline as % of GDP: Outlays: Medicaid, CHIP &amp; Exch Subsidies(FY, %) FJBLMCP: CBO Extended Baseline as % of GDP: Outlays: Medicare (Fiscal Year, %)</t>
  </si>
  <si>
    <t>CBO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</si>
  <si>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</si>
  <si>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</si>
  <si>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</si>
  <si>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</si>
  <si>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RESULT: 1965 HJBDEMMP: 1965 HJBDEMDP: 1965</t>
  </si>
  <si>
    <t>HJBDEMMP: CBO: Federal Mandatory Outlays as a Percentage of GDP: Medicare (Fiscal Year, %) HJBDEMDP: CBO: Federal Mandatory Outlays as a Percentage of GDP: Medicaid (Fiscal Year, %)</t>
  </si>
  <si>
    <t>1965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</si>
  <si>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</si>
  <si>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</si>
  <si>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</si>
  <si>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RESULT: 1965 HJBUDEP: 1965 HJBDEIP: 1965 HJBDEMSP: 1965 HJBDEMMP: 1965 HJBDEMDP: 1965</t>
  </si>
  <si>
    <t>Quarterly NBER Recession/Expansion (+1 or 0)</t>
  </si>
  <si>
    <t>CBO Baseline as % of GDP: Revenues (Fiscal Yr, %)</t>
  </si>
  <si>
    <t>CBO Baseline Projectins as % of GDP: Outlays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</si>
  <si>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</si>
  <si>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</si>
  <si>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</si>
  <si>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</si>
  <si>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</si>
  <si>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</si>
  <si>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</si>
  <si>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National Bureau of Economic Research</t>
  </si>
  <si>
    <t>Q1-1920</t>
  </si>
  <si>
    <t>201602</t>
  </si>
  <si>
    <t>201603</t>
  </si>
  <si>
    <t>2016-Q1</t>
  </si>
  <si>
    <t>Q1-2016</t>
  </si>
  <si>
    <t>2. Go to the Fiscal Impact Workbook and press Control+Shift+D to Update all the Data in that Workbook. Save and Close.</t>
  </si>
  <si>
    <t>1. Go to CBO Monthley Calculations Final and manually enter in the new data. Save and Close.</t>
  </si>
  <si>
    <t>4. Press the" Save CSV Files" Button to save each individual CSV.</t>
  </si>
  <si>
    <t>5. Save this Workbook.</t>
  </si>
  <si>
    <t>6. If all the charts look okay, save as PDF.</t>
  </si>
  <si>
    <t>7. Combine the PDFs into one document.</t>
  </si>
  <si>
    <t>3. Click on the Get Data Button (Below) -- This copies in the updated CBO and Fiscal Impact data, and retrieves all Haver and FRED data in this spreadsheet.</t>
  </si>
  <si>
    <t>201604</t>
  </si>
  <si>
    <t>201605</t>
  </si>
  <si>
    <t>201606</t>
  </si>
  <si>
    <t>RESULT: 2016 FJBLMDP: 2016 FJBLMCP: 2016</t>
  </si>
  <si>
    <t>2016-Q2</t>
  </si>
  <si>
    <t>Q2-2016</t>
  </si>
  <si>
    <t>201607</t>
  </si>
  <si>
    <t>201608</t>
  </si>
  <si>
    <t>201609</t>
  </si>
  <si>
    <t>2016-Q3</t>
  </si>
  <si>
    <t>Q3-2016</t>
  </si>
  <si>
    <t>201610</t>
  </si>
  <si>
    <t>201611</t>
  </si>
  <si>
    <t>201612</t>
  </si>
  <si>
    <t>2016-Q4</t>
  </si>
  <si>
    <t>Q4-2016</t>
  </si>
  <si>
    <t>-1.0</t>
  </si>
  <si>
    <t>1.6</t>
  </si>
  <si>
    <t>-11.4</t>
  </si>
  <si>
    <t>3.3</t>
  </si>
  <si>
    <t>-0.2</t>
  </si>
  <si>
    <t>2.8</t>
  </si>
  <si>
    <t>5.6</t>
  </si>
  <si>
    <t>4.5</t>
  </si>
  <si>
    <t>12.9</t>
  </si>
  <si>
    <t>1.8</t>
  </si>
  <si>
    <t>Q1-2017</t>
  </si>
  <si>
    <t>201701</t>
  </si>
  <si>
    <t>201702</t>
  </si>
  <si>
    <t>201703</t>
  </si>
  <si>
    <t>201704</t>
  </si>
  <si>
    <t>201705</t>
  </si>
  <si>
    <t>201706</t>
  </si>
  <si>
    <t>2017-Q1</t>
  </si>
  <si>
    <t>2017-Q2</t>
  </si>
  <si>
    <t>Q2-2017</t>
  </si>
  <si>
    <t>201707</t>
  </si>
  <si>
    <t>201708</t>
  </si>
  <si>
    <t>201709</t>
  </si>
  <si>
    <t>2017-Q3</t>
  </si>
  <si>
    <t>Q3-2017</t>
  </si>
  <si>
    <t>201710</t>
  </si>
  <si>
    <t>201711</t>
  </si>
  <si>
    <t>Q4-2017</t>
  </si>
  <si>
    <t>201712</t>
  </si>
  <si>
    <t>201801</t>
  </si>
  <si>
    <t>201802</t>
  </si>
  <si>
    <t>201803</t>
  </si>
  <si>
    <t>2017-Q4</t>
  </si>
  <si>
    <t>2018-Q1</t>
  </si>
  <si>
    <t>Q1-2018</t>
  </si>
  <si>
    <t>201804</t>
  </si>
  <si>
    <t>201805</t>
  </si>
  <si>
    <t>2007-Q1 *Q</t>
  </si>
  <si>
    <t>2007-Q1</t>
  </si>
  <si>
    <t>2007-Q2</t>
  </si>
  <si>
    <t>2007-Q3</t>
  </si>
  <si>
    <t>2007-Q4</t>
  </si>
  <si>
    <t>2008-Q1</t>
  </si>
  <si>
    <t>2008-Q2</t>
  </si>
  <si>
    <t>2008-Q3</t>
  </si>
  <si>
    <t>2008-Q4</t>
  </si>
  <si>
    <t>2018-Q2</t>
  </si>
  <si>
    <t>Real State &amp; Local Gross Investment: Structures (SAAR, Bil.Ch.2012$)</t>
  </si>
  <si>
    <t>Q2-2018</t>
  </si>
  <si>
    <t>201806</t>
  </si>
  <si>
    <t>201807</t>
  </si>
  <si>
    <t>201808</t>
  </si>
  <si>
    <t>FJBLMDP: Jun-26-2018 12:45 FJBLMCP: Jun-26-2018 12:45</t>
  </si>
  <si>
    <t>RESULT: 2048 FJBLMDP: 2048 FJBLMCP: 2048</t>
  </si>
  <si>
    <t>Jun-26-2018 12:45</t>
  </si>
  <si>
    <t>2048</t>
  </si>
  <si>
    <t>Bureau of Labor Statistics</t>
  </si>
  <si>
    <t>201809</t>
  </si>
  <si>
    <t>2018-Q3</t>
  </si>
  <si>
    <t>Q3-2018</t>
  </si>
  <si>
    <t>201810</t>
  </si>
  <si>
    <t>GSIH@USNA</t>
  </si>
  <si>
    <t>Real State &amp; Local Govt Gross Investment (SAAR, Bil.Chn.2012$)</t>
  </si>
  <si>
    <t>Dec-18-2018 17:25</t>
  </si>
  <si>
    <t>201811</t>
  </si>
  <si>
    <t>201812</t>
  </si>
  <si>
    <t>201901</t>
  </si>
  <si>
    <t>HJBDEMMP: Jan-29-2019 15:11 HJBDEMDP: Jan-29-2019 15:11</t>
  </si>
  <si>
    <t>RESULT: 2018 HJBDEMMP: 2018 HJBDEMDP: 2018</t>
  </si>
  <si>
    <t>Jan-29-2019 15:11</t>
  </si>
  <si>
    <t>HJBUDEP: Jan-29-2019 15:11 HJBDEIP: Jan-29-2019 15:11 HJBDEMSP: Jan-29-2019 15:11 HJBDEMMP: Jan-29-2019 15:11 HJBDEMDP: Jan-29-2019 15:11</t>
  </si>
  <si>
    <t>RESULT: 2018 HJBUDEP: 2018 HJBDEIP: 2018 HJBDEMSP: 2018 HJBDEMMP: 2018 HJBDEMDP: 2018</t>
  </si>
  <si>
    <t>2018-Q4</t>
  </si>
  <si>
    <t>Jan-28-2019 12:07</t>
  </si>
  <si>
    <t>Apr-05-2019 08:30</t>
  </si>
  <si>
    <t>Apr-05-2019 08:33</t>
  </si>
  <si>
    <t>Apr-01-2019 08:38</t>
  </si>
  <si>
    <t>201902</t>
  </si>
  <si>
    <t>201903</t>
  </si>
  <si>
    <t>HJBUDEP: CBO: Federal Outlays as a Percentage of GDP (Fiscal Year, %) HJBDEIP: CBO: Federal Outlays as a Percentage of GDP: Net Interest (Fiscal Year, %) HJBDEMSP: CBO: Fed Mandatory Outlays as Percent of GDP: Social Security(Fiscal Year, ...</t>
  </si>
  <si>
    <t>Apr-01-2019 08:39</t>
  </si>
  <si>
    <t>2019 [Q1-2019]</t>
  </si>
  <si>
    <t>1920 [Q1-1920]</t>
  </si>
  <si>
    <t>2019-Q1</t>
  </si>
  <si>
    <t>Q4-2018</t>
  </si>
  <si>
    <t>Q1-2019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</si>
</sst>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  <numFmt numFmtId="173" formatCode="0.00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2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3" fillId="0" borderId="0" xfId="1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166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/>
    <xf numFmtId="167" fontId="2" fillId="0" borderId="0" xfId="0" applyNumberFormat="1" applyFont="1"/>
    <xf numFmtId="0" fontId="2" fillId="3" borderId="0" xfId="0" applyFont="1" applyFill="1"/>
    <xf numFmtId="0" fontId="7" fillId="4" borderId="0" xfId="0" applyFont="1" applyFill="1"/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/>
    <xf numFmtId="0" fontId="13" fillId="2" borderId="0" xfId="0" applyFont="1" applyFill="1" applyAlignment="1">
      <alignment horizontal="center"/>
    </xf>
    <xf numFmtId="170" fontId="13" fillId="2" borderId="0" xfId="0" applyNumberFormat="1" applyFont="1" applyFill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/>
    <xf numFmtId="0" fontId="13" fillId="5" borderId="4" xfId="0" applyFont="1" applyFill="1" applyBorder="1"/>
    <xf numFmtId="0" fontId="13" fillId="5" borderId="0" xfId="0" applyFont="1" applyFill="1"/>
    <xf numFmtId="0" fontId="13" fillId="5" borderId="0" xfId="0" applyFont="1" applyFill="1" applyAlignment="1">
      <alignment horizontal="center"/>
    </xf>
    <xf numFmtId="170" fontId="13" fillId="5" borderId="0" xfId="0" applyNumberFormat="1" applyFont="1" applyFill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Alignment="1">
      <alignment horizontal="center"/>
    </xf>
    <xf numFmtId="165" fontId="0" fillId="0" borderId="0" xfId="0" applyNumberFormat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Alignment="1">
      <alignment horizontal="center"/>
    </xf>
    <xf numFmtId="171" fontId="13" fillId="5" borderId="0" xfId="0" applyNumberFormat="1" applyFont="1" applyFill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19" fillId="0" borderId="0" xfId="0" applyFont="1"/>
    <xf numFmtId="1" fontId="2" fillId="0" borderId="0" xfId="0" applyNumberFormat="1" applyFont="1"/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0" fontId="13" fillId="2" borderId="0" xfId="5" applyNumberFormat="1" applyFont="1" applyFill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49" fontId="13" fillId="2" borderId="0" xfId="0" applyNumberFormat="1" applyFont="1" applyFill="1" applyAlignment="1">
      <alignment horizontal="center"/>
    </xf>
    <xf numFmtId="164" fontId="13" fillId="2" borderId="0" xfId="5" applyNumberFormat="1" applyFont="1" applyFill="1" applyAlignment="1">
      <alignment horizontal="center"/>
    </xf>
    <xf numFmtId="2" fontId="0" fillId="0" borderId="0" xfId="0" applyNumberFormat="1"/>
    <xf numFmtId="1" fontId="0" fillId="4" borderId="0" xfId="0" applyNumberFormat="1" applyFill="1"/>
    <xf numFmtId="173" fontId="2" fillId="3" borderId="0" xfId="0" applyNumberFormat="1" applyFont="1" applyFill="1"/>
    <xf numFmtId="173" fontId="20" fillId="3" borderId="0" xfId="0" applyNumberFormat="1" applyFont="1" applyFill="1"/>
    <xf numFmtId="167" fontId="20" fillId="3" borderId="0" xfId="0" applyNumberFormat="1" applyFont="1" applyFill="1"/>
    <xf numFmtId="167" fontId="2" fillId="3" borderId="0" xfId="0" applyNumberFormat="1" applyFon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 xr:uid="{00000000-0005-0000-0000-000002000000}"/>
    <cellStyle name="Normal 3" xfId="2" xr:uid="{00000000-0005-0000-0000-000003000000}"/>
    <cellStyle name="Normal 4" xfId="3" xr:uid="{00000000-0005-0000-0000-000004000000}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7.xml"/><Relationship Id="rId1" Type="http://schemas.openxmlformats.org/officeDocument/2006/relationships/themeOverride" Target="../theme/themeOverrid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-5000</c:v>
                </c:pt>
                <c:pt idx="40">
                  <c:v>6000</c:v>
                </c:pt>
                <c:pt idx="41">
                  <c:v>-4000</c:v>
                </c:pt>
                <c:pt idx="42">
                  <c:v>-10000</c:v>
                </c:pt>
                <c:pt idx="43">
                  <c:v>-17000</c:v>
                </c:pt>
                <c:pt idx="44">
                  <c:v>18000</c:v>
                </c:pt>
                <c:pt idx="45">
                  <c:v>-8000</c:v>
                </c:pt>
                <c:pt idx="46">
                  <c:v>-2000</c:v>
                </c:pt>
                <c:pt idx="47">
                  <c:v>7000</c:v>
                </c:pt>
                <c:pt idx="48">
                  <c:v>-24000</c:v>
                </c:pt>
                <c:pt idx="49">
                  <c:v>-5000</c:v>
                </c:pt>
                <c:pt idx="50">
                  <c:v>7000</c:v>
                </c:pt>
                <c:pt idx="51">
                  <c:v>-18000</c:v>
                </c:pt>
                <c:pt idx="52">
                  <c:v>12000</c:v>
                </c:pt>
                <c:pt idx="53">
                  <c:v>1000</c:v>
                </c:pt>
                <c:pt idx="54">
                  <c:v>-1000</c:v>
                </c:pt>
                <c:pt idx="55">
                  <c:v>14000</c:v>
                </c:pt>
                <c:pt idx="56">
                  <c:v>-20000</c:v>
                </c:pt>
                <c:pt idx="57">
                  <c:v>-15000</c:v>
                </c:pt>
                <c:pt idx="58">
                  <c:v>23000</c:v>
                </c:pt>
                <c:pt idx="59">
                  <c:v>5000</c:v>
                </c:pt>
                <c:pt idx="60">
                  <c:v>9000</c:v>
                </c:pt>
                <c:pt idx="61">
                  <c:v>6000</c:v>
                </c:pt>
                <c:pt idx="62">
                  <c:v>-18000</c:v>
                </c:pt>
                <c:pt idx="63">
                  <c:v>-1000</c:v>
                </c:pt>
                <c:pt idx="64">
                  <c:v>16000</c:v>
                </c:pt>
                <c:pt idx="65">
                  <c:v>11000</c:v>
                </c:pt>
                <c:pt idx="66">
                  <c:v>20000</c:v>
                </c:pt>
                <c:pt idx="67">
                  <c:v>-21000</c:v>
                </c:pt>
                <c:pt idx="68">
                  <c:v>62000</c:v>
                </c:pt>
                <c:pt idx="69">
                  <c:v>4000</c:v>
                </c:pt>
                <c:pt idx="70">
                  <c:v>-50000</c:v>
                </c:pt>
                <c:pt idx="71">
                  <c:v>42000</c:v>
                </c:pt>
                <c:pt idx="72">
                  <c:v>20000</c:v>
                </c:pt>
                <c:pt idx="73">
                  <c:v>10000</c:v>
                </c:pt>
                <c:pt idx="74">
                  <c:v>12000</c:v>
                </c:pt>
                <c:pt idx="75">
                  <c:v>11000</c:v>
                </c:pt>
                <c:pt idx="76">
                  <c:v>17000</c:v>
                </c:pt>
                <c:pt idx="77">
                  <c:v>-10000</c:v>
                </c:pt>
                <c:pt idx="78">
                  <c:v>24000</c:v>
                </c:pt>
                <c:pt idx="79">
                  <c:v>15000</c:v>
                </c:pt>
                <c:pt idx="80">
                  <c:v>-3000</c:v>
                </c:pt>
                <c:pt idx="81">
                  <c:v>37000</c:v>
                </c:pt>
                <c:pt idx="82">
                  <c:v>7000</c:v>
                </c:pt>
                <c:pt idx="83">
                  <c:v>-19000</c:v>
                </c:pt>
                <c:pt idx="84">
                  <c:v>18000</c:v>
                </c:pt>
                <c:pt idx="85">
                  <c:v>11000</c:v>
                </c:pt>
                <c:pt idx="86">
                  <c:v>13000</c:v>
                </c:pt>
                <c:pt idx="87">
                  <c:v>25000</c:v>
                </c:pt>
                <c:pt idx="88">
                  <c:v>15000</c:v>
                </c:pt>
                <c:pt idx="89">
                  <c:v>35000</c:v>
                </c:pt>
                <c:pt idx="90">
                  <c:v>6000</c:v>
                </c:pt>
                <c:pt idx="91">
                  <c:v>-2000</c:v>
                </c:pt>
                <c:pt idx="92">
                  <c:v>1000</c:v>
                </c:pt>
                <c:pt idx="93">
                  <c:v>92000</c:v>
                </c:pt>
                <c:pt idx="94">
                  <c:v>-29000</c:v>
                </c:pt>
                <c:pt idx="95">
                  <c:v>22000</c:v>
                </c:pt>
                <c:pt idx="96">
                  <c:v>-2000</c:v>
                </c:pt>
                <c:pt idx="97">
                  <c:v>-7000</c:v>
                </c:pt>
                <c:pt idx="98">
                  <c:v>6000</c:v>
                </c:pt>
                <c:pt idx="99">
                  <c:v>13000</c:v>
                </c:pt>
                <c:pt idx="100">
                  <c:v>8000</c:v>
                </c:pt>
                <c:pt idx="101">
                  <c:v>11000</c:v>
                </c:pt>
                <c:pt idx="102">
                  <c:v>13000</c:v>
                </c:pt>
                <c:pt idx="103">
                  <c:v>-9000</c:v>
                </c:pt>
                <c:pt idx="104">
                  <c:v>26000</c:v>
                </c:pt>
                <c:pt idx="105">
                  <c:v>12000</c:v>
                </c:pt>
                <c:pt idx="106">
                  <c:v>-2000</c:v>
                </c:pt>
                <c:pt idx="107">
                  <c:v>3000</c:v>
                </c:pt>
                <c:pt idx="108">
                  <c:v>8000</c:v>
                </c:pt>
                <c:pt idx="109">
                  <c:v>15000</c:v>
                </c:pt>
                <c:pt idx="110">
                  <c:v>9000</c:v>
                </c:pt>
                <c:pt idx="111">
                  <c:v>-15000</c:v>
                </c:pt>
                <c:pt idx="112">
                  <c:v>29000</c:v>
                </c:pt>
                <c:pt idx="113">
                  <c:v>9000</c:v>
                </c:pt>
                <c:pt idx="114">
                  <c:v>11000</c:v>
                </c:pt>
                <c:pt idx="115">
                  <c:v>6000</c:v>
                </c:pt>
                <c:pt idx="116">
                  <c:v>24000</c:v>
                </c:pt>
                <c:pt idx="117">
                  <c:v>4000</c:v>
                </c:pt>
                <c:pt idx="118">
                  <c:v>36000</c:v>
                </c:pt>
                <c:pt idx="119">
                  <c:v>-1000</c:v>
                </c:pt>
                <c:pt idx="120">
                  <c:v>-9000</c:v>
                </c:pt>
                <c:pt idx="121">
                  <c:v>-10000</c:v>
                </c:pt>
                <c:pt idx="122">
                  <c:v>9000</c:v>
                </c:pt>
                <c:pt idx="123">
                  <c:v>16000</c:v>
                </c:pt>
                <c:pt idx="124">
                  <c:v>4000</c:v>
                </c:pt>
                <c:pt idx="125">
                  <c:v>16000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2774528"/>
        <c:axId val="1527760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-11666.666666666666</c:v>
                </c:pt>
                <c:pt idx="40">
                  <c:v>-3333.3333333333335</c:v>
                </c:pt>
                <c:pt idx="41">
                  <c:v>-1000</c:v>
                </c:pt>
                <c:pt idx="42">
                  <c:v>-2666.6666666666665</c:v>
                </c:pt>
                <c:pt idx="43">
                  <c:v>-10333.333333333334</c:v>
                </c:pt>
                <c:pt idx="44">
                  <c:v>-3000</c:v>
                </c:pt>
                <c:pt idx="45">
                  <c:v>-2333.3333333333335</c:v>
                </c:pt>
                <c:pt idx="46">
                  <c:v>2666.6666666666665</c:v>
                </c:pt>
                <c:pt idx="47">
                  <c:v>-1000</c:v>
                </c:pt>
                <c:pt idx="48">
                  <c:v>-6333.333333333333</c:v>
                </c:pt>
                <c:pt idx="49">
                  <c:v>-7333.333333333333</c:v>
                </c:pt>
                <c:pt idx="50">
                  <c:v>-7333.333333333333</c:v>
                </c:pt>
                <c:pt idx="51">
                  <c:v>-5333.333333333333</c:v>
                </c:pt>
                <c:pt idx="52">
                  <c:v>333.33333333333331</c:v>
                </c:pt>
                <c:pt idx="53">
                  <c:v>-1666.6666666666667</c:v>
                </c:pt>
                <c:pt idx="54">
                  <c:v>4000</c:v>
                </c:pt>
                <c:pt idx="55">
                  <c:v>4666.666666666667</c:v>
                </c:pt>
                <c:pt idx="56">
                  <c:v>-2333.3333333333335</c:v>
                </c:pt>
                <c:pt idx="57">
                  <c:v>-7000</c:v>
                </c:pt>
                <c:pt idx="58">
                  <c:v>-4000</c:v>
                </c:pt>
                <c:pt idx="59">
                  <c:v>4333.333333333333</c:v>
                </c:pt>
                <c:pt idx="60">
                  <c:v>12333.333333333334</c:v>
                </c:pt>
                <c:pt idx="61">
                  <c:v>6666.666666666667</c:v>
                </c:pt>
                <c:pt idx="62">
                  <c:v>-1000</c:v>
                </c:pt>
                <c:pt idx="63">
                  <c:v>-4333.333333333333</c:v>
                </c:pt>
                <c:pt idx="64">
                  <c:v>-1000</c:v>
                </c:pt>
                <c:pt idx="65">
                  <c:v>8666.6666666666661</c:v>
                </c:pt>
                <c:pt idx="66">
                  <c:v>15666.666666666666</c:v>
                </c:pt>
                <c:pt idx="67">
                  <c:v>3333.3333333333335</c:v>
                </c:pt>
                <c:pt idx="68">
                  <c:v>20333.333333333332</c:v>
                </c:pt>
                <c:pt idx="69">
                  <c:v>15000</c:v>
                </c:pt>
                <c:pt idx="70">
                  <c:v>5333.333333333333</c:v>
                </c:pt>
                <c:pt idx="71">
                  <c:v>-1333.3333333333333</c:v>
                </c:pt>
                <c:pt idx="72">
                  <c:v>4000</c:v>
                </c:pt>
                <c:pt idx="73">
                  <c:v>24000</c:v>
                </c:pt>
                <c:pt idx="74">
                  <c:v>14000</c:v>
                </c:pt>
                <c:pt idx="75">
                  <c:v>11000</c:v>
                </c:pt>
                <c:pt idx="76">
                  <c:v>13333.333333333334</c:v>
                </c:pt>
                <c:pt idx="77">
                  <c:v>6000</c:v>
                </c:pt>
                <c:pt idx="78">
                  <c:v>10333.333333333334</c:v>
                </c:pt>
                <c:pt idx="79">
                  <c:v>9666.6666666666661</c:v>
                </c:pt>
                <c:pt idx="80">
                  <c:v>12000</c:v>
                </c:pt>
                <c:pt idx="81">
                  <c:v>16333.333333333334</c:v>
                </c:pt>
                <c:pt idx="82">
                  <c:v>13666.666666666666</c:v>
                </c:pt>
                <c:pt idx="83">
                  <c:v>8333.3333333333339</c:v>
                </c:pt>
                <c:pt idx="84">
                  <c:v>2000</c:v>
                </c:pt>
                <c:pt idx="85">
                  <c:v>3333.3333333333335</c:v>
                </c:pt>
                <c:pt idx="86">
                  <c:v>14000</c:v>
                </c:pt>
                <c:pt idx="87">
                  <c:v>16333.333333333334</c:v>
                </c:pt>
                <c:pt idx="88">
                  <c:v>17666.666666666668</c:v>
                </c:pt>
                <c:pt idx="89">
                  <c:v>25000</c:v>
                </c:pt>
                <c:pt idx="90">
                  <c:v>18666.666666666668</c:v>
                </c:pt>
                <c:pt idx="91">
                  <c:v>13000</c:v>
                </c:pt>
                <c:pt idx="92">
                  <c:v>1666.6666666666667</c:v>
                </c:pt>
                <c:pt idx="93">
                  <c:v>30333.333333333332</c:v>
                </c:pt>
                <c:pt idx="94">
                  <c:v>21333.333333333332</c:v>
                </c:pt>
                <c:pt idx="95">
                  <c:v>28333.333333333332</c:v>
                </c:pt>
                <c:pt idx="96">
                  <c:v>-3000</c:v>
                </c:pt>
                <c:pt idx="97">
                  <c:v>4333.333333333333</c:v>
                </c:pt>
                <c:pt idx="98">
                  <c:v>-1000</c:v>
                </c:pt>
                <c:pt idx="99">
                  <c:v>4000</c:v>
                </c:pt>
                <c:pt idx="100">
                  <c:v>9000</c:v>
                </c:pt>
                <c:pt idx="101">
                  <c:v>10666.666666666666</c:v>
                </c:pt>
                <c:pt idx="102">
                  <c:v>10666.666666666666</c:v>
                </c:pt>
                <c:pt idx="103">
                  <c:v>5000</c:v>
                </c:pt>
                <c:pt idx="104">
                  <c:v>10000</c:v>
                </c:pt>
                <c:pt idx="105">
                  <c:v>9666.6666666666661</c:v>
                </c:pt>
                <c:pt idx="106">
                  <c:v>12000</c:v>
                </c:pt>
                <c:pt idx="107">
                  <c:v>4333.333333333333</c:v>
                </c:pt>
                <c:pt idx="108">
                  <c:v>3000</c:v>
                </c:pt>
                <c:pt idx="109">
                  <c:v>8666.6666666666661</c:v>
                </c:pt>
                <c:pt idx="110">
                  <c:v>10666.666666666666</c:v>
                </c:pt>
                <c:pt idx="111">
                  <c:v>3000</c:v>
                </c:pt>
                <c:pt idx="112">
                  <c:v>7666.666666666667</c:v>
                </c:pt>
                <c:pt idx="113">
                  <c:v>7666.666666666667</c:v>
                </c:pt>
                <c:pt idx="114">
                  <c:v>16333.333333333334</c:v>
                </c:pt>
                <c:pt idx="115">
                  <c:v>8666.6666666666661</c:v>
                </c:pt>
                <c:pt idx="116">
                  <c:v>13666.666666666666</c:v>
                </c:pt>
                <c:pt idx="117">
                  <c:v>11333.333333333334</c:v>
                </c:pt>
                <c:pt idx="118">
                  <c:v>21333.333333333332</c:v>
                </c:pt>
                <c:pt idx="119">
                  <c:v>13000</c:v>
                </c:pt>
                <c:pt idx="120">
                  <c:v>8666.6666666666661</c:v>
                </c:pt>
                <c:pt idx="121">
                  <c:v>-6666.666666666667</c:v>
                </c:pt>
                <c:pt idx="122">
                  <c:v>-3333.3333333333335</c:v>
                </c:pt>
                <c:pt idx="123">
                  <c:v>5000</c:v>
                </c:pt>
                <c:pt idx="124">
                  <c:v>9666.6666666666661</c:v>
                </c:pt>
                <c:pt idx="125">
                  <c:v>12000</c:v>
                </c:pt>
                <c:pt idx="1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528"/>
        <c:axId val="152776064"/>
      </c:lineChart>
      <c:dateAx>
        <c:axId val="1527745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27745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-5199.9999999998181</c:v>
                </c:pt>
                <c:pt idx="40">
                  <c:v>-2000</c:v>
                </c:pt>
                <c:pt idx="41">
                  <c:v>1000</c:v>
                </c:pt>
                <c:pt idx="42">
                  <c:v>-1500</c:v>
                </c:pt>
                <c:pt idx="43">
                  <c:v>-1100.0000000003638</c:v>
                </c:pt>
                <c:pt idx="44">
                  <c:v>1700.0000000002728</c:v>
                </c:pt>
                <c:pt idx="45">
                  <c:v>-8099.9999999999091</c:v>
                </c:pt>
                <c:pt idx="46">
                  <c:v>7799.9999999997272</c:v>
                </c:pt>
                <c:pt idx="47">
                  <c:v>5700.0000000002728</c:v>
                </c:pt>
                <c:pt idx="48">
                  <c:v>-2700.0000000002728</c:v>
                </c:pt>
                <c:pt idx="49">
                  <c:v>-4500</c:v>
                </c:pt>
                <c:pt idx="50">
                  <c:v>-1199.9999999998181</c:v>
                </c:pt>
                <c:pt idx="51">
                  <c:v>-4300.0000000001819</c:v>
                </c:pt>
                <c:pt idx="52">
                  <c:v>-199.9999999998181</c:v>
                </c:pt>
                <c:pt idx="53">
                  <c:v>-1599.9999999999091</c:v>
                </c:pt>
                <c:pt idx="54">
                  <c:v>-9200.0000000002728</c:v>
                </c:pt>
                <c:pt idx="55">
                  <c:v>-7900.0000000000909</c:v>
                </c:pt>
                <c:pt idx="56">
                  <c:v>-6799.9999999997272</c:v>
                </c:pt>
                <c:pt idx="57">
                  <c:v>-9000</c:v>
                </c:pt>
                <c:pt idx="58">
                  <c:v>-6900.0000000000909</c:v>
                </c:pt>
                <c:pt idx="59">
                  <c:v>-2300.0000000001819</c:v>
                </c:pt>
                <c:pt idx="60">
                  <c:v>-10899.999999999636</c:v>
                </c:pt>
                <c:pt idx="61">
                  <c:v>2799.9999999997272</c:v>
                </c:pt>
                <c:pt idx="62">
                  <c:v>-4400.0000000000909</c:v>
                </c:pt>
                <c:pt idx="63">
                  <c:v>-3399.9999999996362</c:v>
                </c:pt>
                <c:pt idx="64">
                  <c:v>-3900.0000000000909</c:v>
                </c:pt>
                <c:pt idx="65">
                  <c:v>-2000</c:v>
                </c:pt>
                <c:pt idx="66">
                  <c:v>-2400.0000000000909</c:v>
                </c:pt>
                <c:pt idx="67">
                  <c:v>699.9999999998181</c:v>
                </c:pt>
                <c:pt idx="68">
                  <c:v>200.00000000027285</c:v>
                </c:pt>
                <c:pt idx="69">
                  <c:v>2599.9999999999091</c:v>
                </c:pt>
                <c:pt idx="70">
                  <c:v>3599.9999999999091</c:v>
                </c:pt>
                <c:pt idx="71">
                  <c:v>-1400.0000000000909</c:v>
                </c:pt>
                <c:pt idx="72">
                  <c:v>100.0000000003638</c:v>
                </c:pt>
                <c:pt idx="73">
                  <c:v>3699.9999999998181</c:v>
                </c:pt>
                <c:pt idx="74">
                  <c:v>1699.9999999998181</c:v>
                </c:pt>
                <c:pt idx="75">
                  <c:v>3000</c:v>
                </c:pt>
                <c:pt idx="76">
                  <c:v>1800.0000000001819</c:v>
                </c:pt>
                <c:pt idx="77">
                  <c:v>2199.9999999998181</c:v>
                </c:pt>
                <c:pt idx="78">
                  <c:v>1600.0000000003638</c:v>
                </c:pt>
                <c:pt idx="79">
                  <c:v>2899.9999999996362</c:v>
                </c:pt>
                <c:pt idx="80">
                  <c:v>-199.9999999998181</c:v>
                </c:pt>
                <c:pt idx="81">
                  <c:v>3699.9999999998181</c:v>
                </c:pt>
                <c:pt idx="82">
                  <c:v>1400.0000000000909</c:v>
                </c:pt>
                <c:pt idx="83">
                  <c:v>99.999999999909051</c:v>
                </c:pt>
                <c:pt idx="84">
                  <c:v>-3799.9999999997272</c:v>
                </c:pt>
                <c:pt idx="85">
                  <c:v>6199.9999999998181</c:v>
                </c:pt>
                <c:pt idx="86" formatCode="0">
                  <c:v>6000</c:v>
                </c:pt>
                <c:pt idx="87">
                  <c:v>-199.9999999998181</c:v>
                </c:pt>
                <c:pt idx="88">
                  <c:v>1799.9999999997272</c:v>
                </c:pt>
                <c:pt idx="89">
                  <c:v>3300.0000000001819</c:v>
                </c:pt>
                <c:pt idx="90">
                  <c:v>2599.9999999999091</c:v>
                </c:pt>
                <c:pt idx="91">
                  <c:v>4099.9999999999091</c:v>
                </c:pt>
                <c:pt idx="92">
                  <c:v>4900.0000000000909</c:v>
                </c:pt>
                <c:pt idx="93">
                  <c:v>3900.0000000000909</c:v>
                </c:pt>
                <c:pt idx="94">
                  <c:v>-2099.9999999999091</c:v>
                </c:pt>
                <c:pt idx="95">
                  <c:v>3099.9999999999091</c:v>
                </c:pt>
                <c:pt idx="96">
                  <c:v>1300.0000000001819</c:v>
                </c:pt>
                <c:pt idx="97">
                  <c:v>-7100.0000000003638</c:v>
                </c:pt>
                <c:pt idx="98">
                  <c:v>12000</c:v>
                </c:pt>
                <c:pt idx="99">
                  <c:v>-299.99999999972715</c:v>
                </c:pt>
                <c:pt idx="100">
                  <c:v>-1599.9999999999091</c:v>
                </c:pt>
                <c:pt idx="101">
                  <c:v>-4000</c:v>
                </c:pt>
                <c:pt idx="102">
                  <c:v>-4900.0000000000909</c:v>
                </c:pt>
                <c:pt idx="103">
                  <c:v>2900.0000000000909</c:v>
                </c:pt>
                <c:pt idx="104">
                  <c:v>-2000</c:v>
                </c:pt>
                <c:pt idx="105">
                  <c:v>-1600.0000000003638</c:v>
                </c:pt>
                <c:pt idx="106">
                  <c:v>-199.9999999998181</c:v>
                </c:pt>
                <c:pt idx="107">
                  <c:v>-699.9999999998181</c:v>
                </c:pt>
                <c:pt idx="108">
                  <c:v>1199.9999999998181</c:v>
                </c:pt>
                <c:pt idx="109">
                  <c:v>-3199.9999999998181</c:v>
                </c:pt>
                <c:pt idx="110">
                  <c:v>-2000</c:v>
                </c:pt>
                <c:pt idx="111">
                  <c:v>699.9999999998181</c:v>
                </c:pt>
                <c:pt idx="112">
                  <c:v>400.00000000009095</c:v>
                </c:pt>
                <c:pt idx="113">
                  <c:v>900.00000000009095</c:v>
                </c:pt>
                <c:pt idx="114">
                  <c:v>1500</c:v>
                </c:pt>
                <c:pt idx="115">
                  <c:v>699.9999999998181</c:v>
                </c:pt>
                <c:pt idx="116">
                  <c:v>1800.0000000001819</c:v>
                </c:pt>
                <c:pt idx="117">
                  <c:v>799.99999999972715</c:v>
                </c:pt>
                <c:pt idx="118">
                  <c:v>500</c:v>
                </c:pt>
                <c:pt idx="119">
                  <c:v>800.0000000001819</c:v>
                </c:pt>
                <c:pt idx="120">
                  <c:v>2400.0000000000909</c:v>
                </c:pt>
                <c:pt idx="121">
                  <c:v>-300.0000000001819</c:v>
                </c:pt>
                <c:pt idx="122">
                  <c:v>-1099.9999999999091</c:v>
                </c:pt>
                <c:pt idx="123">
                  <c:v>-500</c:v>
                </c:pt>
                <c:pt idx="124">
                  <c:v>799.99999999972715</c:v>
                </c:pt>
                <c:pt idx="125">
                  <c:v>-1500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4850816"/>
        <c:axId val="1548523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-3633.3333333332121</c:v>
                </c:pt>
                <c:pt idx="40" formatCode="0.00">
                  <c:v>-3366.6666666666365</c:v>
                </c:pt>
                <c:pt idx="41" formatCode="0.00">
                  <c:v>-2066.666666666606</c:v>
                </c:pt>
                <c:pt idx="42" formatCode="0.00">
                  <c:v>-833.33333333333337</c:v>
                </c:pt>
                <c:pt idx="43" formatCode="0.00">
                  <c:v>-533.33333333345456</c:v>
                </c:pt>
                <c:pt idx="44" formatCode="0.00">
                  <c:v>-300.0000000000303</c:v>
                </c:pt>
                <c:pt idx="45" formatCode="0.00">
                  <c:v>-2500</c:v>
                </c:pt>
                <c:pt idx="46" formatCode="0.00">
                  <c:v>466.66666666669698</c:v>
                </c:pt>
                <c:pt idx="47" formatCode="0.00">
                  <c:v>1800.0000000000302</c:v>
                </c:pt>
                <c:pt idx="48" formatCode="0.00">
                  <c:v>3599.9999999999091</c:v>
                </c:pt>
                <c:pt idx="49" formatCode="0.00">
                  <c:v>-500</c:v>
                </c:pt>
                <c:pt idx="50" formatCode="0.00">
                  <c:v>-2800.0000000000305</c:v>
                </c:pt>
                <c:pt idx="51" formatCode="0.00">
                  <c:v>-3333.3333333333335</c:v>
                </c:pt>
                <c:pt idx="52" formatCode="0.00">
                  <c:v>-1899.9999999999393</c:v>
                </c:pt>
                <c:pt idx="53" formatCode="0.00">
                  <c:v>-2033.333333333303</c:v>
                </c:pt>
                <c:pt idx="54" formatCode="0.00">
                  <c:v>-3666.6666666666665</c:v>
                </c:pt>
                <c:pt idx="55" formatCode="0.00">
                  <c:v>-6233.333333333424</c:v>
                </c:pt>
                <c:pt idx="56" formatCode="0.00">
                  <c:v>-7966.666666666697</c:v>
                </c:pt>
                <c:pt idx="57" formatCode="0.00">
                  <c:v>-7899.9999999999391</c:v>
                </c:pt>
                <c:pt idx="58" formatCode="0.00">
                  <c:v>-7566.666666666606</c:v>
                </c:pt>
                <c:pt idx="59" formatCode="0.00">
                  <c:v>-6066.6666666667579</c:v>
                </c:pt>
                <c:pt idx="60" formatCode="0.00">
                  <c:v>-6699.99999999997</c:v>
                </c:pt>
                <c:pt idx="61" formatCode="0.00">
                  <c:v>-3466.666666666697</c:v>
                </c:pt>
                <c:pt idx="62" formatCode="0.00">
                  <c:v>-4166.666666666667</c:v>
                </c:pt>
                <c:pt idx="63" formatCode="0.00">
                  <c:v>-1666.6666666666667</c:v>
                </c:pt>
                <c:pt idx="64" formatCode="0.00">
                  <c:v>-3899.9999999999395</c:v>
                </c:pt>
                <c:pt idx="65" formatCode="0.00">
                  <c:v>-3099.9999999999091</c:v>
                </c:pt>
                <c:pt idx="66" formatCode="0.00">
                  <c:v>-2766.6666666667275</c:v>
                </c:pt>
                <c:pt idx="67" formatCode="0.00">
                  <c:v>-1233.3333333334242</c:v>
                </c:pt>
                <c:pt idx="68" formatCode="0.00">
                  <c:v>-500</c:v>
                </c:pt>
                <c:pt idx="69" formatCode="0.00">
                  <c:v>1166.6666666666667</c:v>
                </c:pt>
                <c:pt idx="70" formatCode="0.00">
                  <c:v>2133.3333333333635</c:v>
                </c:pt>
                <c:pt idx="71" formatCode="0.00">
                  <c:v>1599.9999999999091</c:v>
                </c:pt>
                <c:pt idx="72" formatCode="0.00">
                  <c:v>766.66666666672734</c:v>
                </c:pt>
                <c:pt idx="73" formatCode="0.00">
                  <c:v>800.00000000003035</c:v>
                </c:pt>
                <c:pt idx="74" formatCode="0.00">
                  <c:v>1833.3333333333333</c:v>
                </c:pt>
                <c:pt idx="75" formatCode="0.00">
                  <c:v>2799.9999999998786</c:v>
                </c:pt>
                <c:pt idx="76" formatCode="0.00">
                  <c:v>2166.6666666666665</c:v>
                </c:pt>
                <c:pt idx="77" formatCode="0.00">
                  <c:v>2333.3333333333335</c:v>
                </c:pt>
                <c:pt idx="78" formatCode="0.00">
                  <c:v>1866.6666666667879</c:v>
                </c:pt>
                <c:pt idx="79" formatCode="0.00">
                  <c:v>2233.3333333332725</c:v>
                </c:pt>
                <c:pt idx="80" formatCode="0.00">
                  <c:v>1433.333333333394</c:v>
                </c:pt>
                <c:pt idx="81" formatCode="0.00">
                  <c:v>2133.3333333332121</c:v>
                </c:pt>
                <c:pt idx="82" formatCode="0.00">
                  <c:v>1633.3333333333637</c:v>
                </c:pt>
                <c:pt idx="83" formatCode="0.00">
                  <c:v>1733.3333333332728</c:v>
                </c:pt>
                <c:pt idx="84" formatCode="0.00">
                  <c:v>-766.66666666657568</c:v>
                </c:pt>
                <c:pt idx="85" formatCode="0.00">
                  <c:v>833.33333333333337</c:v>
                </c:pt>
                <c:pt idx="86" formatCode="0.00">
                  <c:v>2800.0000000000305</c:v>
                </c:pt>
                <c:pt idx="87" formatCode="0.00">
                  <c:v>4000</c:v>
                </c:pt>
                <c:pt idx="88" formatCode="0.00">
                  <c:v>2533.333333333303</c:v>
                </c:pt>
                <c:pt idx="89" formatCode="0.00">
                  <c:v>1633.3333333333637</c:v>
                </c:pt>
                <c:pt idx="90" formatCode="0.00">
                  <c:v>2566.666666666606</c:v>
                </c:pt>
                <c:pt idx="91" formatCode="0.00">
                  <c:v>3333.3333333333335</c:v>
                </c:pt>
                <c:pt idx="92" formatCode="0.00">
                  <c:v>3866.6666666666365</c:v>
                </c:pt>
                <c:pt idx="93" formatCode="0.00">
                  <c:v>4300.00000000003</c:v>
                </c:pt>
                <c:pt idx="94" formatCode="0.00">
                  <c:v>2233.3333333334244</c:v>
                </c:pt>
                <c:pt idx="95" formatCode="0.00">
                  <c:v>1633.3333333333637</c:v>
                </c:pt>
                <c:pt idx="96" formatCode="0.00">
                  <c:v>766.66666666672734</c:v>
                </c:pt>
                <c:pt idx="97" formatCode="0.00">
                  <c:v>-900.00000000009095</c:v>
                </c:pt>
                <c:pt idx="98" formatCode="0.00">
                  <c:v>2066.666666666606</c:v>
                </c:pt>
                <c:pt idx="99" formatCode="0.00">
                  <c:v>1533.333333333303</c:v>
                </c:pt>
                <c:pt idx="100" formatCode="0.00">
                  <c:v>3366.6666666667879</c:v>
                </c:pt>
                <c:pt idx="101" formatCode="0.00">
                  <c:v>-1966.6666666665453</c:v>
                </c:pt>
                <c:pt idx="102" formatCode="0.00">
                  <c:v>-3500</c:v>
                </c:pt>
                <c:pt idx="103" formatCode="0.00">
                  <c:v>-2000</c:v>
                </c:pt>
                <c:pt idx="104" formatCode="0.00">
                  <c:v>-1333.3333333333333</c:v>
                </c:pt>
                <c:pt idx="105" formatCode="0.00">
                  <c:v>-233.33333333342429</c:v>
                </c:pt>
                <c:pt idx="106" formatCode="0.00">
                  <c:v>-1266.6666666667272</c:v>
                </c:pt>
                <c:pt idx="107" formatCode="0.00">
                  <c:v>-833.33333333333337</c:v>
                </c:pt>
                <c:pt idx="108" formatCode="0.00">
                  <c:v>100.00000000006064</c:v>
                </c:pt>
                <c:pt idx="109" formatCode="0.00">
                  <c:v>-899.9999999999394</c:v>
                </c:pt>
                <c:pt idx="110" formatCode="0.00">
                  <c:v>-1333.3333333333333</c:v>
                </c:pt>
                <c:pt idx="111" formatCode="0.00">
                  <c:v>-1500</c:v>
                </c:pt>
                <c:pt idx="112" formatCode="0.00">
                  <c:v>-300.0000000000303</c:v>
                </c:pt>
                <c:pt idx="113" formatCode="0.00">
                  <c:v>666.66666666666663</c:v>
                </c:pt>
                <c:pt idx="114" formatCode="0.00">
                  <c:v>933.33333333339397</c:v>
                </c:pt>
                <c:pt idx="115" formatCode="0.00">
                  <c:v>1033.333333333303</c:v>
                </c:pt>
                <c:pt idx="116" formatCode="0.00">
                  <c:v>1333.3333333333333</c:v>
                </c:pt>
                <c:pt idx="117" formatCode="0.00">
                  <c:v>1099.9999999999091</c:v>
                </c:pt>
                <c:pt idx="118" formatCode="0.00">
                  <c:v>1033.333333333303</c:v>
                </c:pt>
                <c:pt idx="119" formatCode="0.00">
                  <c:v>699.99999999996965</c:v>
                </c:pt>
                <c:pt idx="120" formatCode="0.00">
                  <c:v>1233.3333333334242</c:v>
                </c:pt>
                <c:pt idx="121" formatCode="0.00">
                  <c:v>966.66666666669698</c:v>
                </c:pt>
                <c:pt idx="122" formatCode="0.00">
                  <c:v>333.33333333333331</c:v>
                </c:pt>
                <c:pt idx="123" formatCode="0.00">
                  <c:v>-633.33333333336361</c:v>
                </c:pt>
                <c:pt idx="124" formatCode="0.00">
                  <c:v>-266.66666666672728</c:v>
                </c:pt>
                <c:pt idx="125" formatCode="0.00">
                  <c:v>-400.00000000009095</c:v>
                </c:pt>
                <c:pt idx="126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50816"/>
        <c:axId val="154852352"/>
      </c:lineChart>
      <c:dateAx>
        <c:axId val="1548508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4852352"/>
        <c:crosses val="autoZero"/>
        <c:auto val="1"/>
        <c:lblOffset val="100"/>
        <c:baseTimeUnit val="months"/>
        <c:majorUnit val="1"/>
        <c:majorTimeUnit val="years"/>
      </c:dateAx>
      <c:valAx>
        <c:axId val="1548523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485081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Structures'!$B$8:$B$108</c:f>
              <c:numCache>
                <c:formatCode>mm/dd/yyyy</c:formatCode>
                <c:ptCount val="101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  <c:pt idx="29">
                  <c:v>42461</c:v>
                </c:pt>
                <c:pt idx="30">
                  <c:v>42552</c:v>
                </c:pt>
                <c:pt idx="31">
                  <c:v>42644</c:v>
                </c:pt>
                <c:pt idx="32">
                  <c:v>42736</c:v>
                </c:pt>
                <c:pt idx="33">
                  <c:v>42826</c:v>
                </c:pt>
                <c:pt idx="34">
                  <c:v>42917</c:v>
                </c:pt>
                <c:pt idx="35">
                  <c:v>43009</c:v>
                </c:pt>
                <c:pt idx="36">
                  <c:v>43101</c:v>
                </c:pt>
                <c:pt idx="37">
                  <c:v>43191</c:v>
                </c:pt>
                <c:pt idx="38">
                  <c:v>43282</c:v>
                </c:pt>
                <c:pt idx="39">
                  <c:v>43374</c:v>
                </c:pt>
                <c:pt idx="40">
                  <c:v>43466</c:v>
                </c:pt>
              </c:numCache>
            </c:numRef>
          </c:cat>
          <c:val>
            <c:numRef>
              <c:f>'Real Structures'!$C$8:$C$108</c:f>
              <c:numCache>
                <c:formatCode>0.0</c:formatCode>
                <c:ptCount val="101"/>
                <c:pt idx="0">
                  <c:v>310.5</c:v>
                </c:pt>
                <c:pt idx="1">
                  <c:v>315.8</c:v>
                </c:pt>
                <c:pt idx="2">
                  <c:v>314.2</c:v>
                </c:pt>
                <c:pt idx="3">
                  <c:v>304.60000000000002</c:v>
                </c:pt>
                <c:pt idx="4">
                  <c:v>293.8</c:v>
                </c:pt>
                <c:pt idx="5">
                  <c:v>303.5</c:v>
                </c:pt>
                <c:pt idx="6">
                  <c:v>305.89999999999998</c:v>
                </c:pt>
                <c:pt idx="7">
                  <c:v>299</c:v>
                </c:pt>
                <c:pt idx="8">
                  <c:v>290.39999999999998</c:v>
                </c:pt>
                <c:pt idx="9">
                  <c:v>283.39999999999998</c:v>
                </c:pt>
                <c:pt idx="10">
                  <c:v>279.8</c:v>
                </c:pt>
                <c:pt idx="11">
                  <c:v>281.60000000000002</c:v>
                </c:pt>
                <c:pt idx="12">
                  <c:v>273.3</c:v>
                </c:pt>
                <c:pt idx="13">
                  <c:v>268.8</c:v>
                </c:pt>
                <c:pt idx="14">
                  <c:v>261.8</c:v>
                </c:pt>
                <c:pt idx="15">
                  <c:v>255.9</c:v>
                </c:pt>
                <c:pt idx="16">
                  <c:v>252.1</c:v>
                </c:pt>
                <c:pt idx="17">
                  <c:v>254.3</c:v>
                </c:pt>
                <c:pt idx="18">
                  <c:v>255.3</c:v>
                </c:pt>
                <c:pt idx="19">
                  <c:v>252.6</c:v>
                </c:pt>
                <c:pt idx="20">
                  <c:v>246.3</c:v>
                </c:pt>
                <c:pt idx="21">
                  <c:v>252.8</c:v>
                </c:pt>
                <c:pt idx="22">
                  <c:v>255.6</c:v>
                </c:pt>
                <c:pt idx="23">
                  <c:v>258.10000000000002</c:v>
                </c:pt>
                <c:pt idx="24">
                  <c:v>256.3</c:v>
                </c:pt>
                <c:pt idx="25">
                  <c:v>270.2</c:v>
                </c:pt>
                <c:pt idx="26">
                  <c:v>272.7</c:v>
                </c:pt>
                <c:pt idx="27">
                  <c:v>262.2</c:v>
                </c:pt>
                <c:pt idx="28">
                  <c:v>277.2</c:v>
                </c:pt>
                <c:pt idx="29">
                  <c:v>269</c:v>
                </c:pt>
                <c:pt idx="30">
                  <c:v>265.39999999999998</c:v>
                </c:pt>
                <c:pt idx="31">
                  <c:v>267</c:v>
                </c:pt>
                <c:pt idx="32">
                  <c:v>261.2</c:v>
                </c:pt>
                <c:pt idx="33">
                  <c:v>256.39999999999998</c:v>
                </c:pt>
                <c:pt idx="34">
                  <c:v>252.1</c:v>
                </c:pt>
                <c:pt idx="35">
                  <c:v>259.3</c:v>
                </c:pt>
                <c:pt idx="36">
                  <c:v>261.3</c:v>
                </c:pt>
                <c:pt idx="37">
                  <c:v>265.3</c:v>
                </c:pt>
                <c:pt idx="38">
                  <c:v>268.3</c:v>
                </c:pt>
                <c:pt idx="39">
                  <c:v>260.3</c:v>
                </c:pt>
                <c:pt idx="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3-4F06-BA39-826FE0FB8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date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Offset val="100"/>
        <c:baseTimeUnit val="months"/>
        <c:majorUnit val="1"/>
        <c:majorTimeUnit val="years"/>
      </c:dateAx>
      <c:valAx>
        <c:axId val="155576576"/>
        <c:scaling>
          <c:orientation val="minMax"/>
          <c:max val="320"/>
          <c:min val="2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  <c:pt idx="48">
                  <c:v>42460</c:v>
                </c:pt>
                <c:pt idx="49">
                  <c:v>42551</c:v>
                </c:pt>
                <c:pt idx="50">
                  <c:v>42643</c:v>
                </c:pt>
                <c:pt idx="51">
                  <c:v>42735</c:v>
                </c:pt>
                <c:pt idx="52">
                  <c:v>42825</c:v>
                </c:pt>
                <c:pt idx="53">
                  <c:v>42916</c:v>
                </c:pt>
                <c:pt idx="54">
                  <c:v>43008</c:v>
                </c:pt>
                <c:pt idx="55">
                  <c:v>43100</c:v>
                </c:pt>
                <c:pt idx="56">
                  <c:v>43190</c:v>
                </c:pt>
                <c:pt idx="57">
                  <c:v>43281</c:v>
                </c:pt>
                <c:pt idx="58">
                  <c:v>43373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3.1598223528975566E-2</c:v>
                </c:pt>
                <c:pt idx="42">
                  <c:v>2.0048834242661961E-2</c:v>
                </c:pt>
                <c:pt idx="43">
                  <c:v>2.8270327548408192E-2</c:v>
                </c:pt>
                <c:pt idx="44">
                  <c:v>3.3848169297381547E-2</c:v>
                </c:pt>
                <c:pt idx="45">
                  <c:v>5.1075746414420475E-2</c:v>
                </c:pt>
                <c:pt idx="46">
                  <c:v>5.907693596227731E-2</c:v>
                </c:pt>
                <c:pt idx="47">
                  <c:v>5.5919309499406211E-2</c:v>
                </c:pt>
                <c:pt idx="48">
                  <c:v>5.276578082352168E-2</c:v>
                </c:pt>
                <c:pt idx="49">
                  <c:v>3.4086982124812815E-2</c:v>
                </c:pt>
                <c:pt idx="50">
                  <c:v>2.5666927672521211E-2</c:v>
                </c:pt>
                <c:pt idx="51">
                  <c:v>1.9364460139102868E-2</c:v>
                </c:pt>
                <c:pt idx="52">
                  <c:v>2.1728101692619295E-2</c:v>
                </c:pt>
                <c:pt idx="53">
                  <c:v>2.6181896006500005E-2</c:v>
                </c:pt>
                <c:pt idx="54">
                  <c:v>2.9929699836420909E-2</c:v>
                </c:pt>
                <c:pt idx="55">
                  <c:v>4.8029460945782088E-2</c:v>
                </c:pt>
                <c:pt idx="56">
                  <c:v>5.3671127334799895E-2</c:v>
                </c:pt>
                <c:pt idx="57">
                  <c:v>6.5294172353919822E-2</c:v>
                </c:pt>
                <c:pt idx="58">
                  <c:v>6.7101090632245342E-2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3-4D43-9727-DA31A63C7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5264"/>
        <c:axId val="155697536"/>
      </c:lineChart>
      <c:dateAx>
        <c:axId val="15567526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97536"/>
        <c:crossesAt val="0"/>
        <c:auto val="1"/>
        <c:lblOffset val="100"/>
        <c:baseTimeUnit val="months"/>
        <c:majorUnit val="1"/>
        <c:majorTimeUnit val="years"/>
      </c:dateAx>
      <c:valAx>
        <c:axId val="155697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7526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5.5</c:v>
                </c:pt>
                <c:pt idx="43">
                  <c:v>5.1999999999999993</c:v>
                </c:pt>
                <c:pt idx="44">
                  <c:v>5.2</c:v>
                </c:pt>
                <c:pt idx="45">
                  <c:v>5.3000000000000007</c:v>
                </c:pt>
                <c:pt idx="46">
                  <c:v>5.5</c:v>
                </c:pt>
                <c:pt idx="47">
                  <c:v>5.8</c:v>
                </c:pt>
                <c:pt idx="48">
                  <c:v>5.9</c:v>
                </c:pt>
                <c:pt idx="49">
                  <c:v>5.8</c:v>
                </c:pt>
                <c:pt idx="50">
                  <c:v>6.1</c:v>
                </c:pt>
                <c:pt idx="51">
                  <c:v>6.3</c:v>
                </c:pt>
                <c:pt idx="52">
                  <c:v>6.4</c:v>
                </c:pt>
                <c:pt idx="53">
                  <c:v>6.7</c:v>
                </c:pt>
                <c:pt idx="54">
                  <c:v>6.6999999999999993</c:v>
                </c:pt>
                <c:pt idx="55">
                  <c:v>6.8000000000000007</c:v>
                </c:pt>
                <c:pt idx="56">
                  <c:v>7.1000000000000005</c:v>
                </c:pt>
                <c:pt idx="57">
                  <c:v>7.2</c:v>
                </c:pt>
                <c:pt idx="58">
                  <c:v>7.3</c:v>
                </c:pt>
                <c:pt idx="59">
                  <c:v>7.5</c:v>
                </c:pt>
                <c:pt idx="60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9-4F1B-8961-0BCABFFC2106}"/>
            </c:ext>
          </c:extLst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4.9000000000000004</c:v>
                </c:pt>
                <c:pt idx="43">
                  <c:v>4.9000000000000004</c:v>
                </c:pt>
                <c:pt idx="44">
                  <c:v>4.9000000000000004</c:v>
                </c:pt>
                <c:pt idx="45">
                  <c:v>5</c:v>
                </c:pt>
                <c:pt idx="46">
                  <c:v>5.2</c:v>
                </c:pt>
                <c:pt idx="47">
                  <c:v>5.3</c:v>
                </c:pt>
                <c:pt idx="48">
                  <c:v>5.4</c:v>
                </c:pt>
                <c:pt idx="49">
                  <c:v>5.5</c:v>
                </c:pt>
                <c:pt idx="50">
                  <c:v>5.6</c:v>
                </c:pt>
                <c:pt idx="51">
                  <c:v>5.7</c:v>
                </c:pt>
                <c:pt idx="52">
                  <c:v>5.8</c:v>
                </c:pt>
                <c:pt idx="53">
                  <c:v>6</c:v>
                </c:pt>
                <c:pt idx="54">
                  <c:v>6</c:v>
                </c:pt>
                <c:pt idx="55">
                  <c:v>6.1</c:v>
                </c:pt>
                <c:pt idx="56">
                  <c:v>6.1</c:v>
                </c:pt>
                <c:pt idx="57">
                  <c:v>6.2</c:v>
                </c:pt>
                <c:pt idx="58">
                  <c:v>6.2</c:v>
                </c:pt>
                <c:pt idx="59">
                  <c:v>6.2</c:v>
                </c:pt>
                <c:pt idx="60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9-4F1B-8961-0BCABFFC2106}"/>
            </c:ext>
          </c:extLst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1.4</c:v>
                </c:pt>
                <c:pt idx="43">
                  <c:v>1.6</c:v>
                </c:pt>
                <c:pt idx="44">
                  <c:v>1.8</c:v>
                </c:pt>
                <c:pt idx="45">
                  <c:v>2.2000000000000002</c:v>
                </c:pt>
                <c:pt idx="46">
                  <c:v>2.5</c:v>
                </c:pt>
                <c:pt idx="47">
                  <c:v>2.7</c:v>
                </c:pt>
                <c:pt idx="48">
                  <c:v>2.8</c:v>
                </c:pt>
                <c:pt idx="49">
                  <c:v>2.9</c:v>
                </c:pt>
                <c:pt idx="50">
                  <c:v>2.9</c:v>
                </c:pt>
                <c:pt idx="51">
                  <c:v>3</c:v>
                </c:pt>
                <c:pt idx="52">
                  <c:v>3</c:v>
                </c:pt>
                <c:pt idx="53">
                  <c:v>3.1</c:v>
                </c:pt>
                <c:pt idx="54">
                  <c:v>3.1</c:v>
                </c:pt>
                <c:pt idx="55">
                  <c:v>3.2</c:v>
                </c:pt>
                <c:pt idx="56">
                  <c:v>3.3</c:v>
                </c:pt>
                <c:pt idx="57">
                  <c:v>3.4</c:v>
                </c:pt>
                <c:pt idx="58">
                  <c:v>3.6</c:v>
                </c:pt>
                <c:pt idx="59">
                  <c:v>3.7</c:v>
                </c:pt>
                <c:pt idx="60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79-4F1B-8961-0BCABFFC2106}"/>
            </c:ext>
          </c:extLst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8.9</c:v>
                </c:pt>
                <c:pt idx="43">
                  <c:v>8.9</c:v>
                </c:pt>
                <c:pt idx="44">
                  <c:v>9.1</c:v>
                </c:pt>
                <c:pt idx="45">
                  <c:v>8.6999999999999993</c:v>
                </c:pt>
                <c:pt idx="46">
                  <c:v>8.5</c:v>
                </c:pt>
                <c:pt idx="47">
                  <c:v>8.5</c:v>
                </c:pt>
                <c:pt idx="48">
                  <c:v>8.3000000000000007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7.8</c:v>
                </c:pt>
                <c:pt idx="53">
                  <c:v>7.9</c:v>
                </c:pt>
                <c:pt idx="54">
                  <c:v>7.7</c:v>
                </c:pt>
                <c:pt idx="55">
                  <c:v>7.7</c:v>
                </c:pt>
                <c:pt idx="56">
                  <c:v>7.7</c:v>
                </c:pt>
                <c:pt idx="57">
                  <c:v>7.7</c:v>
                </c:pt>
                <c:pt idx="58">
                  <c:v>7.7</c:v>
                </c:pt>
                <c:pt idx="59">
                  <c:v>7.7</c:v>
                </c:pt>
                <c:pt idx="60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79-4F1B-8961-0BCABFFC2106}"/>
            </c:ext>
          </c:extLst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0.00000</c:formatCode>
                <c:ptCount val="93"/>
                <c:pt idx="0">
                  <c:v>1.3049999999999999</c:v>
                </c:pt>
                <c:pt idx="1">
                  <c:v>1.4289999999999998</c:v>
                </c:pt>
                <c:pt idx="2">
                  <c:v>1.514</c:v>
                </c:pt>
                <c:pt idx="3">
                  <c:v>1.5389999999999999</c:v>
                </c:pt>
                <c:pt idx="4">
                  <c:v>1.583</c:v>
                </c:pt>
                <c:pt idx="5">
                  <c:v>1.7170000000000001</c:v>
                </c:pt>
                <c:pt idx="6">
                  <c:v>1.855</c:v>
                </c:pt>
                <c:pt idx="7">
                  <c:v>2.0089999999999999</c:v>
                </c:pt>
                <c:pt idx="8">
                  <c:v>2.1070000000000002</c:v>
                </c:pt>
                <c:pt idx="9">
                  <c:v>2.056</c:v>
                </c:pt>
                <c:pt idx="10">
                  <c:v>2.1640000000000001</c:v>
                </c:pt>
                <c:pt idx="11">
                  <c:v>2.1909999999999998</c:v>
                </c:pt>
                <c:pt idx="12">
                  <c:v>2.2509999999999999</c:v>
                </c:pt>
                <c:pt idx="13">
                  <c:v>2.2610000000000001</c:v>
                </c:pt>
                <c:pt idx="14">
                  <c:v>2.3010000000000002</c:v>
                </c:pt>
                <c:pt idx="15">
                  <c:v>2.512</c:v>
                </c:pt>
                <c:pt idx="16">
                  <c:v>2.7370000000000001</c:v>
                </c:pt>
                <c:pt idx="17">
                  <c:v>3.0739999999999998</c:v>
                </c:pt>
                <c:pt idx="18">
                  <c:v>3.2320000000000002</c:v>
                </c:pt>
                <c:pt idx="19">
                  <c:v>3.367</c:v>
                </c:pt>
                <c:pt idx="20">
                  <c:v>3.5209999999999999</c:v>
                </c:pt>
                <c:pt idx="21">
                  <c:v>3.5630000000000002</c:v>
                </c:pt>
                <c:pt idx="22">
                  <c:v>3.5910000000000002</c:v>
                </c:pt>
                <c:pt idx="23">
                  <c:v>3.496</c:v>
                </c:pt>
                <c:pt idx="24">
                  <c:v>3.3469999999999995</c:v>
                </c:pt>
                <c:pt idx="25">
                  <c:v>3.3009999999999997</c:v>
                </c:pt>
                <c:pt idx="26">
                  <c:v>3.4889999999999999</c:v>
                </c:pt>
                <c:pt idx="27">
                  <c:v>3.7040000000000002</c:v>
                </c:pt>
                <c:pt idx="28">
                  <c:v>3.8540000000000001</c:v>
                </c:pt>
                <c:pt idx="29">
                  <c:v>3.9350000000000005</c:v>
                </c:pt>
                <c:pt idx="30">
                  <c:v>4.0270000000000001</c:v>
                </c:pt>
                <c:pt idx="31">
                  <c:v>4.0869999999999997</c:v>
                </c:pt>
                <c:pt idx="32">
                  <c:v>4.3860000000000001</c:v>
                </c:pt>
                <c:pt idx="33">
                  <c:v>4.4589999999999996</c:v>
                </c:pt>
                <c:pt idx="34">
                  <c:v>5.2030000000000003</c:v>
                </c:pt>
                <c:pt idx="35">
                  <c:v>5.3460000000000001</c:v>
                </c:pt>
                <c:pt idx="36">
                  <c:v>5.4180000000000001</c:v>
                </c:pt>
                <c:pt idx="37">
                  <c:v>4.9930000000000003</c:v>
                </c:pt>
                <c:pt idx="38">
                  <c:v>5.1230000000000002</c:v>
                </c:pt>
                <c:pt idx="39">
                  <c:v>5.2</c:v>
                </c:pt>
                <c:pt idx="40">
                  <c:v>5.4379999999999997</c:v>
                </c:pt>
                <c:pt idx="41">
                  <c:v>5.718</c:v>
                </c:pt>
                <c:pt idx="42">
                  <c:v>5.5880000000000001</c:v>
                </c:pt>
                <c:pt idx="43">
                  <c:v>5.4039999999999999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79-4F1B-8961-0BCABFFC2106}"/>
            </c:ext>
          </c:extLst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1.446</c:v>
                </c:pt>
                <c:pt idx="1">
                  <c:v>1.496</c:v>
                </c:pt>
                <c:pt idx="2">
                  <c:v>1.4770000000000001</c:v>
                </c:pt>
                <c:pt idx="3">
                  <c:v>1.56</c:v>
                </c:pt>
                <c:pt idx="4">
                  <c:v>1.6619999999999999</c:v>
                </c:pt>
                <c:pt idx="5">
                  <c:v>1.8819999999999999</c:v>
                </c:pt>
                <c:pt idx="6">
                  <c:v>2.1949999999999998</c:v>
                </c:pt>
                <c:pt idx="7">
                  <c:v>2.5659999999999998</c:v>
                </c:pt>
                <c:pt idx="8">
                  <c:v>2.54</c:v>
                </c:pt>
                <c:pt idx="9">
                  <c:v>2.8130000000000002</c:v>
                </c:pt>
                <c:pt idx="10">
                  <c:v>3.036</c:v>
                </c:pt>
                <c:pt idx="11">
                  <c:v>3.0049999999999999</c:v>
                </c:pt>
                <c:pt idx="12">
                  <c:v>2.907</c:v>
                </c:pt>
                <c:pt idx="13">
                  <c:v>2.9540000000000002</c:v>
                </c:pt>
                <c:pt idx="14">
                  <c:v>3.0419999999999998</c:v>
                </c:pt>
                <c:pt idx="15">
                  <c:v>3.125</c:v>
                </c:pt>
                <c:pt idx="16">
                  <c:v>3.1909999999999998</c:v>
                </c:pt>
                <c:pt idx="17">
                  <c:v>3.1070000000000002</c:v>
                </c:pt>
                <c:pt idx="18">
                  <c:v>2.9329999999999998</c:v>
                </c:pt>
                <c:pt idx="19">
                  <c:v>2.8279999999999998</c:v>
                </c:pt>
                <c:pt idx="20">
                  <c:v>3.07</c:v>
                </c:pt>
                <c:pt idx="21">
                  <c:v>3.032</c:v>
                </c:pt>
                <c:pt idx="22">
                  <c:v>2.887</c:v>
                </c:pt>
                <c:pt idx="23">
                  <c:v>2.7</c:v>
                </c:pt>
                <c:pt idx="24">
                  <c:v>2.4239999999999999</c:v>
                </c:pt>
                <c:pt idx="25">
                  <c:v>2.2040000000000002</c:v>
                </c:pt>
                <c:pt idx="26">
                  <c:v>1.9590000000000001</c:v>
                </c:pt>
                <c:pt idx="27">
                  <c:v>1.5780000000000001</c:v>
                </c:pt>
                <c:pt idx="28">
                  <c:v>1.357</c:v>
                </c:pt>
                <c:pt idx="29">
                  <c:v>1.333</c:v>
                </c:pt>
                <c:pt idx="30">
                  <c:v>1.4339999999999999</c:v>
                </c:pt>
                <c:pt idx="31">
                  <c:v>1.6619999999999999</c:v>
                </c:pt>
                <c:pt idx="32">
                  <c:v>1.659</c:v>
                </c:pt>
                <c:pt idx="33">
                  <c:v>1.714</c:v>
                </c:pt>
                <c:pt idx="34">
                  <c:v>1.2949999999999999</c:v>
                </c:pt>
                <c:pt idx="35">
                  <c:v>1.3220000000000001</c:v>
                </c:pt>
                <c:pt idx="36">
                  <c:v>1.4930000000000001</c:v>
                </c:pt>
                <c:pt idx="37">
                  <c:v>1.373</c:v>
                </c:pt>
                <c:pt idx="38">
                  <c:v>1.33</c:v>
                </c:pt>
                <c:pt idx="39">
                  <c:v>1.321</c:v>
                </c:pt>
                <c:pt idx="40">
                  <c:v>1.234</c:v>
                </c:pt>
                <c:pt idx="41">
                  <c:v>1.294</c:v>
                </c:pt>
                <c:pt idx="42">
                  <c:v>1.3620000000000001</c:v>
                </c:pt>
                <c:pt idx="43">
                  <c:v>1.605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79-4F1B-8961-0BCABFFC2106}"/>
            </c:ext>
          </c:extLst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3.9550000000000001</c:v>
                </c:pt>
                <c:pt idx="1">
                  <c:v>4.07</c:v>
                </c:pt>
                <c:pt idx="2">
                  <c:v>4.1340000000000003</c:v>
                </c:pt>
                <c:pt idx="3">
                  <c:v>4.0659999999999998</c:v>
                </c:pt>
                <c:pt idx="4">
                  <c:v>3.9990000000000001</c:v>
                </c:pt>
                <c:pt idx="5">
                  <c:v>4.1929999999999996</c:v>
                </c:pt>
                <c:pt idx="6">
                  <c:v>4.4009999999999998</c:v>
                </c:pt>
                <c:pt idx="7">
                  <c:v>4.6449999999999996</c:v>
                </c:pt>
                <c:pt idx="8">
                  <c:v>4.766</c:v>
                </c:pt>
                <c:pt idx="9">
                  <c:v>4.4580000000000002</c:v>
                </c:pt>
                <c:pt idx="10">
                  <c:v>4.3710000000000004</c:v>
                </c:pt>
                <c:pt idx="11">
                  <c:v>4.3419999999999996</c:v>
                </c:pt>
                <c:pt idx="12">
                  <c:v>4.3010000000000002</c:v>
                </c:pt>
                <c:pt idx="13">
                  <c:v>4.2190000000000003</c:v>
                </c:pt>
                <c:pt idx="14">
                  <c:v>4.1479999999999997</c:v>
                </c:pt>
                <c:pt idx="15">
                  <c:v>4.1790000000000003</c:v>
                </c:pt>
                <c:pt idx="16">
                  <c:v>4.3780000000000001</c:v>
                </c:pt>
                <c:pt idx="17">
                  <c:v>4.444</c:v>
                </c:pt>
                <c:pt idx="18">
                  <c:v>4.4569999999999999</c:v>
                </c:pt>
                <c:pt idx="19">
                  <c:v>4.4160000000000004</c:v>
                </c:pt>
                <c:pt idx="20">
                  <c:v>4.4080000000000004</c:v>
                </c:pt>
                <c:pt idx="21">
                  <c:v>4.3650000000000002</c:v>
                </c:pt>
                <c:pt idx="22">
                  <c:v>4.2869999999999999</c:v>
                </c:pt>
                <c:pt idx="23">
                  <c:v>4.2110000000000003</c:v>
                </c:pt>
                <c:pt idx="24">
                  <c:v>4.0819999999999999</c:v>
                </c:pt>
                <c:pt idx="25">
                  <c:v>4.0129999999999999</c:v>
                </c:pt>
                <c:pt idx="26">
                  <c:v>4.0789999999999997</c:v>
                </c:pt>
                <c:pt idx="27">
                  <c:v>4.173</c:v>
                </c:pt>
                <c:pt idx="28">
                  <c:v>4.1689999999999996</c:v>
                </c:pt>
                <c:pt idx="29">
                  <c:v>4.0869999999999997</c:v>
                </c:pt>
                <c:pt idx="30">
                  <c:v>4.0419999999999998</c:v>
                </c:pt>
                <c:pt idx="31">
                  <c:v>3.988</c:v>
                </c:pt>
                <c:pt idx="32">
                  <c:v>4.069</c:v>
                </c:pt>
                <c:pt idx="33">
                  <c:v>4.1520000000000001</c:v>
                </c:pt>
                <c:pt idx="34">
                  <c:v>4.6959999999999997</c:v>
                </c:pt>
                <c:pt idx="35">
                  <c:v>4.7220000000000004</c:v>
                </c:pt>
                <c:pt idx="36">
                  <c:v>4.7060000000000004</c:v>
                </c:pt>
                <c:pt idx="37">
                  <c:v>4.7809999999999997</c:v>
                </c:pt>
                <c:pt idx="38">
                  <c:v>4.8650000000000002</c:v>
                </c:pt>
                <c:pt idx="39">
                  <c:v>4.8739999999999997</c:v>
                </c:pt>
                <c:pt idx="40">
                  <c:v>4.875</c:v>
                </c:pt>
                <c:pt idx="41">
                  <c:v>4.907</c:v>
                </c:pt>
                <c:pt idx="42">
                  <c:v>4.8730000000000002</c:v>
                </c:pt>
                <c:pt idx="43">
                  <c:v>4.8540000000000001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79-4F1B-8961-0BCABFFC2106}"/>
            </c:ext>
          </c:extLst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0.0000</c:formatCode>
                <c:ptCount val="61"/>
                <c:pt idx="0">
                  <c:v>13.975</c:v>
                </c:pt>
                <c:pt idx="1">
                  <c:v>13.821</c:v>
                </c:pt>
                <c:pt idx="2">
                  <c:v>13.09</c:v>
                </c:pt>
                <c:pt idx="3">
                  <c:v>13.013000000000003</c:v>
                </c:pt>
                <c:pt idx="4">
                  <c:v>12.402000000000001</c:v>
                </c:pt>
                <c:pt idx="5">
                  <c:v>13.373999999999999</c:v>
                </c:pt>
                <c:pt idx="6">
                  <c:v>13.195999999999998</c:v>
                </c:pt>
                <c:pt idx="7">
                  <c:v>13.287000000000003</c:v>
                </c:pt>
                <c:pt idx="8">
                  <c:v>13.448</c:v>
                </c:pt>
                <c:pt idx="9">
                  <c:v>12.242000000000001</c:v>
                </c:pt>
                <c:pt idx="10">
                  <c:v>12.616999999999996</c:v>
                </c:pt>
                <c:pt idx="11">
                  <c:v>12.343000000000004</c:v>
                </c:pt>
                <c:pt idx="12">
                  <c:v>11.600000000000001</c:v>
                </c:pt>
                <c:pt idx="13">
                  <c:v>11.279999999999998</c:v>
                </c:pt>
                <c:pt idx="14">
                  <c:v>11.1</c:v>
                </c:pt>
                <c:pt idx="15">
                  <c:v>11.426000000000002</c:v>
                </c:pt>
                <c:pt idx="16">
                  <c:v>11.427000000000001</c:v>
                </c:pt>
                <c:pt idx="17">
                  <c:v>10.907000000000002</c:v>
                </c:pt>
                <c:pt idx="18">
                  <c:v>10.179999999999998</c:v>
                </c:pt>
                <c:pt idx="19">
                  <c:v>9.7569999999999979</c:v>
                </c:pt>
                <c:pt idx="20">
                  <c:v>9.0489999999999959</c:v>
                </c:pt>
                <c:pt idx="21">
                  <c:v>8.6649999999999991</c:v>
                </c:pt>
                <c:pt idx="22">
                  <c:v>8.1810000000000009</c:v>
                </c:pt>
                <c:pt idx="23">
                  <c:v>8.0960000000000001</c:v>
                </c:pt>
                <c:pt idx="24">
                  <c:v>8.0999999999999979</c:v>
                </c:pt>
                <c:pt idx="25">
                  <c:v>8.1639999999999979</c:v>
                </c:pt>
                <c:pt idx="26">
                  <c:v>8.1699999999999982</c:v>
                </c:pt>
                <c:pt idx="27">
                  <c:v>9.1070000000000011</c:v>
                </c:pt>
                <c:pt idx="28">
                  <c:v>9.7620000000000005</c:v>
                </c:pt>
                <c:pt idx="29">
                  <c:v>9.7120000000000015</c:v>
                </c:pt>
                <c:pt idx="30">
                  <c:v>9.7579999999999973</c:v>
                </c:pt>
                <c:pt idx="31">
                  <c:v>9.73</c:v>
                </c:pt>
                <c:pt idx="32">
                  <c:v>8.980000000000004</c:v>
                </c:pt>
                <c:pt idx="33">
                  <c:v>9.9050000000000011</c:v>
                </c:pt>
                <c:pt idx="34">
                  <c:v>13.180000000000001</c:v>
                </c:pt>
                <c:pt idx="35">
                  <c:v>11.907</c:v>
                </c:pt>
                <c:pt idx="36">
                  <c:v>11.774000000000001</c:v>
                </c:pt>
                <c:pt idx="37">
                  <c:v>10.880999999999998</c:v>
                </c:pt>
                <c:pt idx="38">
                  <c:v>9.4879999999999978</c:v>
                </c:pt>
                <c:pt idx="39">
                  <c:v>8.8330000000000002</c:v>
                </c:pt>
                <c:pt idx="40">
                  <c:v>8.8420000000000023</c:v>
                </c:pt>
                <c:pt idx="41">
                  <c:v>8.8490000000000002</c:v>
                </c:pt>
                <c:pt idx="42">
                  <c:v>8.8369999999999997</c:v>
                </c:pt>
                <c:pt idx="43">
                  <c:v>8.4359999999999999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79-4F1B-8961-0BCABFFC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71584"/>
        <c:axId val="155973120"/>
      </c:lineChart>
      <c:dateAx>
        <c:axId val="1559715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3120"/>
        <c:crosses val="autoZero"/>
        <c:auto val="1"/>
        <c:lblOffset val="100"/>
        <c:baseTimeUnit val="months"/>
        <c:majorUnit val="10"/>
        <c:majorTimeUnit val="years"/>
      </c:dateAx>
      <c:valAx>
        <c:axId val="1559731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15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74.2</c:v>
                </c:pt>
                <c:pt idx="38">
                  <c:v>73.3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C-42FB-98FF-F64FD2FE7279}"/>
            </c:ext>
          </c:extLst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77.8</c:v>
                </c:pt>
                <c:pt idx="42">
                  <c:v>78.3</c:v>
                </c:pt>
                <c:pt idx="43">
                  <c:v>79.599999999999994</c:v>
                </c:pt>
                <c:pt idx="44">
                  <c:v>81.2</c:v>
                </c:pt>
                <c:pt idx="45">
                  <c:v>83.2</c:v>
                </c:pt>
                <c:pt idx="46">
                  <c:v>85</c:v>
                </c:pt>
                <c:pt idx="47">
                  <c:v>86.2</c:v>
                </c:pt>
                <c:pt idx="48">
                  <c:v>87.7</c:v>
                </c:pt>
                <c:pt idx="49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C-42FB-98FF-F64FD2FE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5088"/>
        <c:axId val="155238400"/>
      </c:lineChart>
      <c:dateAx>
        <c:axId val="1547450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38400"/>
        <c:crosses val="autoZero"/>
        <c:auto val="1"/>
        <c:lblOffset val="100"/>
        <c:baseTimeUnit val="months"/>
        <c:majorUnit val="5"/>
        <c:majorTimeUnit val="years"/>
      </c:dateAx>
      <c:valAx>
        <c:axId val="1552384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47450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-2.6509999999999998</c:v>
                </c:pt>
                <c:pt idx="1">
                  <c:v>-2.6030000000000002</c:v>
                </c:pt>
                <c:pt idx="2">
                  <c:v>-1.587</c:v>
                </c:pt>
                <c:pt idx="3">
                  <c:v>-2.6440000000000001</c:v>
                </c:pt>
                <c:pt idx="4">
                  <c:v>-2.52</c:v>
                </c:pt>
                <c:pt idx="5">
                  <c:v>-3.8620000000000001</c:v>
                </c:pt>
                <c:pt idx="6">
                  <c:v>-5.8769999999999998</c:v>
                </c:pt>
                <c:pt idx="7">
                  <c:v>-4.694</c:v>
                </c:pt>
                <c:pt idx="8">
                  <c:v>-4.9779999999999998</c:v>
                </c:pt>
                <c:pt idx="9">
                  <c:v>-4.8879999999999999</c:v>
                </c:pt>
                <c:pt idx="10">
                  <c:v>-3.141</c:v>
                </c:pt>
                <c:pt idx="11">
                  <c:v>-3.02</c:v>
                </c:pt>
                <c:pt idx="12">
                  <c:v>-2.7480000000000002</c:v>
                </c:pt>
                <c:pt idx="13">
                  <c:v>-3.7469999999999999</c:v>
                </c:pt>
                <c:pt idx="14">
                  <c:v>-4.4189999999999996</c:v>
                </c:pt>
                <c:pt idx="15">
                  <c:v>-4.5250000000000004</c:v>
                </c:pt>
                <c:pt idx="16">
                  <c:v>-3.7639999999999998</c:v>
                </c:pt>
                <c:pt idx="17">
                  <c:v>-2.831</c:v>
                </c:pt>
                <c:pt idx="18">
                  <c:v>-2.169</c:v>
                </c:pt>
                <c:pt idx="19">
                  <c:v>-1.351</c:v>
                </c:pt>
                <c:pt idx="20">
                  <c:v>-0.25900000000000001</c:v>
                </c:pt>
                <c:pt idx="21">
                  <c:v>0.77600000000000002</c:v>
                </c:pt>
                <c:pt idx="22">
                  <c:v>1.325</c:v>
                </c:pt>
                <c:pt idx="23">
                  <c:v>2.335</c:v>
                </c:pt>
                <c:pt idx="24">
                  <c:v>1.218</c:v>
                </c:pt>
                <c:pt idx="25">
                  <c:v>-1.456</c:v>
                </c:pt>
                <c:pt idx="26">
                  <c:v>-3.3460000000000001</c:v>
                </c:pt>
                <c:pt idx="27">
                  <c:v>-3.4319999999999999</c:v>
                </c:pt>
                <c:pt idx="28">
                  <c:v>-2.48</c:v>
                </c:pt>
                <c:pt idx="29">
                  <c:v>-1.82</c:v>
                </c:pt>
                <c:pt idx="30">
                  <c:v>-1.125</c:v>
                </c:pt>
                <c:pt idx="31">
                  <c:v>-3.11</c:v>
                </c:pt>
                <c:pt idx="32">
                  <c:v>-9.7889999999999997</c:v>
                </c:pt>
                <c:pt idx="33">
                  <c:v>-8.7230000000000008</c:v>
                </c:pt>
                <c:pt idx="34">
                  <c:v>-8.4369999999999994</c:v>
                </c:pt>
                <c:pt idx="35">
                  <c:v>-6.77</c:v>
                </c:pt>
                <c:pt idx="36">
                  <c:v>-4.093</c:v>
                </c:pt>
                <c:pt idx="37">
                  <c:v>-2.7959999999999998</c:v>
                </c:pt>
                <c:pt idx="38">
                  <c:v>-2.4239999999999999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D-4A71-BB3D-16B3C572F7EE}"/>
            </c:ext>
          </c:extLst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-3.8</c:v>
                </c:pt>
                <c:pt idx="42">
                  <c:v>-4.2</c:v>
                </c:pt>
                <c:pt idx="43">
                  <c:v>-4.0999999999999996</c:v>
                </c:pt>
                <c:pt idx="44">
                  <c:v>-4.2</c:v>
                </c:pt>
                <c:pt idx="45">
                  <c:v>-4.7</c:v>
                </c:pt>
                <c:pt idx="46">
                  <c:v>-4.5999999999999996</c:v>
                </c:pt>
                <c:pt idx="47">
                  <c:v>-4.3</c:v>
                </c:pt>
                <c:pt idx="48">
                  <c:v>-4.5</c:v>
                </c:pt>
                <c:pt idx="49">
                  <c:v>-4.4000000000000004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D-4A71-BB3D-16B3C57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80128"/>
        <c:axId val="155281664"/>
      </c:lineChart>
      <c:dateAx>
        <c:axId val="155280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1664"/>
        <c:crossesAt val="0"/>
        <c:auto val="1"/>
        <c:lblOffset val="100"/>
        <c:baseTimeUnit val="months"/>
        <c:majorUnit val="5"/>
        <c:majorTimeUnit val="years"/>
      </c:dateAx>
      <c:valAx>
        <c:axId val="1552816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0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17.564</c:v>
                </c:pt>
                <c:pt idx="1">
                  <c:v>17.574999999999999</c:v>
                </c:pt>
                <c:pt idx="2">
                  <c:v>18.058</c:v>
                </c:pt>
                <c:pt idx="3">
                  <c:v>18.521999999999998</c:v>
                </c:pt>
                <c:pt idx="4">
                  <c:v>19.126000000000001</c:v>
                </c:pt>
                <c:pt idx="5">
                  <c:v>18.645</c:v>
                </c:pt>
                <c:pt idx="6">
                  <c:v>16.984000000000002</c:v>
                </c:pt>
                <c:pt idx="7">
                  <c:v>16.875</c:v>
                </c:pt>
                <c:pt idx="8">
                  <c:v>17.21</c:v>
                </c:pt>
                <c:pt idx="9">
                  <c:v>16.992999999999999</c:v>
                </c:pt>
                <c:pt idx="10">
                  <c:v>17.917999999999999</c:v>
                </c:pt>
                <c:pt idx="11">
                  <c:v>17.693999999999999</c:v>
                </c:pt>
                <c:pt idx="12">
                  <c:v>17.843</c:v>
                </c:pt>
                <c:pt idx="13">
                  <c:v>17.495000000000001</c:v>
                </c:pt>
                <c:pt idx="14">
                  <c:v>17.314</c:v>
                </c:pt>
                <c:pt idx="15">
                  <c:v>17.007000000000001</c:v>
                </c:pt>
                <c:pt idx="16">
                  <c:v>17.036999999999999</c:v>
                </c:pt>
                <c:pt idx="17">
                  <c:v>17.536000000000001</c:v>
                </c:pt>
                <c:pt idx="18">
                  <c:v>17.88</c:v>
                </c:pt>
                <c:pt idx="19">
                  <c:v>18.274000000000001</c:v>
                </c:pt>
                <c:pt idx="20">
                  <c:v>18.687000000000001</c:v>
                </c:pt>
                <c:pt idx="21">
                  <c:v>19.279</c:v>
                </c:pt>
                <c:pt idx="22">
                  <c:v>19.277999999999999</c:v>
                </c:pt>
                <c:pt idx="23">
                  <c:v>20.016999999999999</c:v>
                </c:pt>
                <c:pt idx="24">
                  <c:v>18.914999999999999</c:v>
                </c:pt>
                <c:pt idx="25">
                  <c:v>17.105</c:v>
                </c:pt>
                <c:pt idx="26">
                  <c:v>15.795</c:v>
                </c:pt>
                <c:pt idx="27">
                  <c:v>15.634</c:v>
                </c:pt>
                <c:pt idx="28">
                  <c:v>16.78</c:v>
                </c:pt>
                <c:pt idx="29">
                  <c:v>17.648</c:v>
                </c:pt>
                <c:pt idx="30">
                  <c:v>17.969000000000001</c:v>
                </c:pt>
                <c:pt idx="31">
                  <c:v>17.12</c:v>
                </c:pt>
                <c:pt idx="32">
                  <c:v>14.586</c:v>
                </c:pt>
                <c:pt idx="33">
                  <c:v>14.574999999999999</c:v>
                </c:pt>
                <c:pt idx="34">
                  <c:v>14.954000000000001</c:v>
                </c:pt>
                <c:pt idx="35">
                  <c:v>15.259</c:v>
                </c:pt>
                <c:pt idx="36">
                  <c:v>16.713999999999999</c:v>
                </c:pt>
                <c:pt idx="37">
                  <c:v>17.431999999999999</c:v>
                </c:pt>
                <c:pt idx="38">
                  <c:v>17.965</c:v>
                </c:pt>
                <c:pt idx="39">
                  <c:v>17.616</c:v>
                </c:pt>
                <c:pt idx="40">
                  <c:v>17.207000000000001</c:v>
                </c:pt>
                <c:pt idx="41">
                  <c:v>16.449000000000002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D-4212-894C-E3669AC8A76B}"/>
            </c:ext>
          </c:extLst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20.215</c:v>
                </c:pt>
                <c:pt idx="1">
                  <c:v>20.178000000000001</c:v>
                </c:pt>
                <c:pt idx="2">
                  <c:v>19.646000000000001</c:v>
                </c:pt>
                <c:pt idx="3">
                  <c:v>21.166</c:v>
                </c:pt>
                <c:pt idx="4">
                  <c:v>21.646999999999998</c:v>
                </c:pt>
                <c:pt idx="5">
                  <c:v>22.507000000000001</c:v>
                </c:pt>
                <c:pt idx="6">
                  <c:v>22.861000000000001</c:v>
                </c:pt>
                <c:pt idx="7">
                  <c:v>21.568999999999999</c:v>
                </c:pt>
                <c:pt idx="8">
                  <c:v>22.187999999999999</c:v>
                </c:pt>
                <c:pt idx="9">
                  <c:v>21.881</c:v>
                </c:pt>
                <c:pt idx="10">
                  <c:v>21.059000000000001</c:v>
                </c:pt>
                <c:pt idx="11">
                  <c:v>20.713999999999999</c:v>
                </c:pt>
                <c:pt idx="12">
                  <c:v>20.591000000000001</c:v>
                </c:pt>
                <c:pt idx="13">
                  <c:v>21.242000000000001</c:v>
                </c:pt>
                <c:pt idx="14">
                  <c:v>21.733000000000001</c:v>
                </c:pt>
                <c:pt idx="15">
                  <c:v>21.532</c:v>
                </c:pt>
                <c:pt idx="16">
                  <c:v>20.802</c:v>
                </c:pt>
                <c:pt idx="17">
                  <c:v>20.367999999999999</c:v>
                </c:pt>
                <c:pt idx="18">
                  <c:v>20.047999999999998</c:v>
                </c:pt>
                <c:pt idx="19">
                  <c:v>19.625</c:v>
                </c:pt>
                <c:pt idx="20">
                  <c:v>18.946000000000002</c:v>
                </c:pt>
                <c:pt idx="21">
                  <c:v>18.503</c:v>
                </c:pt>
                <c:pt idx="22">
                  <c:v>17.952999999999999</c:v>
                </c:pt>
                <c:pt idx="23">
                  <c:v>17.681999999999999</c:v>
                </c:pt>
                <c:pt idx="24">
                  <c:v>17.696999999999999</c:v>
                </c:pt>
                <c:pt idx="25">
                  <c:v>18.562000000000001</c:v>
                </c:pt>
                <c:pt idx="26">
                  <c:v>19.141999999999999</c:v>
                </c:pt>
                <c:pt idx="27">
                  <c:v>19.067</c:v>
                </c:pt>
                <c:pt idx="28">
                  <c:v>19.260999999999999</c:v>
                </c:pt>
                <c:pt idx="29">
                  <c:v>19.466999999999999</c:v>
                </c:pt>
                <c:pt idx="30">
                  <c:v>19.094000000000001</c:v>
                </c:pt>
                <c:pt idx="31">
                  <c:v>20.23</c:v>
                </c:pt>
                <c:pt idx="32">
                  <c:v>24.373999999999999</c:v>
                </c:pt>
                <c:pt idx="33">
                  <c:v>23.297000000000001</c:v>
                </c:pt>
                <c:pt idx="34">
                  <c:v>23.390999999999998</c:v>
                </c:pt>
                <c:pt idx="35">
                  <c:v>22.027999999999999</c:v>
                </c:pt>
                <c:pt idx="36">
                  <c:v>20.806000000000001</c:v>
                </c:pt>
                <c:pt idx="37">
                  <c:v>20.228000000000002</c:v>
                </c:pt>
                <c:pt idx="38">
                  <c:v>20.388999999999999</c:v>
                </c:pt>
                <c:pt idx="39">
                  <c:v>20.768000000000001</c:v>
                </c:pt>
                <c:pt idx="40">
                  <c:v>20.66</c:v>
                </c:pt>
                <c:pt idx="41">
                  <c:v>20.298999999999999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D-4212-894C-E3669AC8A76B}"/>
            </c:ext>
          </c:extLst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16.399999999999999</c:v>
                </c:pt>
                <c:pt idx="42">
                  <c:v>16.5</c:v>
                </c:pt>
                <c:pt idx="43">
                  <c:v>16.7</c:v>
                </c:pt>
                <c:pt idx="44">
                  <c:v>16.7</c:v>
                </c:pt>
                <c:pt idx="45">
                  <c:v>16.899999999999999</c:v>
                </c:pt>
                <c:pt idx="46">
                  <c:v>17.100000000000001</c:v>
                </c:pt>
                <c:pt idx="47">
                  <c:v>17.3</c:v>
                </c:pt>
                <c:pt idx="48">
                  <c:v>17.399999999999999</c:v>
                </c:pt>
                <c:pt idx="49">
                  <c:v>17.899999999999999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D-4212-894C-E3669AC8A76B}"/>
            </c:ext>
          </c:extLst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20.3</c:v>
                </c:pt>
                <c:pt idx="42">
                  <c:v>20.8</c:v>
                </c:pt>
                <c:pt idx="43">
                  <c:v>20.7</c:v>
                </c:pt>
                <c:pt idx="44">
                  <c:v>21</c:v>
                </c:pt>
                <c:pt idx="45">
                  <c:v>21.6</c:v>
                </c:pt>
                <c:pt idx="46">
                  <c:v>21.7</c:v>
                </c:pt>
                <c:pt idx="47">
                  <c:v>21.6</c:v>
                </c:pt>
                <c:pt idx="48">
                  <c:v>22</c:v>
                </c:pt>
                <c:pt idx="49">
                  <c:v>22.3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D-4212-894C-E3669AC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32832"/>
        <c:axId val="157434624"/>
      </c:lineChart>
      <c:dateAx>
        <c:axId val="157432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4624"/>
        <c:crosses val="autoZero"/>
        <c:auto val="1"/>
        <c:lblOffset val="100"/>
        <c:baseTimeUnit val="months"/>
        <c:majorUnit val="5"/>
        <c:majorTimeUnit val="years"/>
      </c:dateAx>
      <c:valAx>
        <c:axId val="1574346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2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15751985804038E-2"/>
          <c:y val="0.1659626946631671"/>
          <c:w val="0.89718977218243201"/>
          <c:h val="0.67121553805774281"/>
        </c:manualLayout>
      </c:layout>
      <c:lineChart>
        <c:grouping val="standard"/>
        <c:varyColors val="0"/>
        <c:ser>
          <c:idx val="2"/>
          <c:order val="0"/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</c:numCache>
            </c:numRef>
          </c:cat>
          <c:val>
            <c:numRef>
              <c:f>'Change in Employment'!$N$7:$N$133</c:f>
              <c:numCache>
                <c:formatCode>0.0</c:formatCode>
                <c:ptCount val="127"/>
                <c:pt idx="0">
                  <c:v>19.777000000000001</c:v>
                </c:pt>
                <c:pt idx="1">
                  <c:v>19.782</c:v>
                </c:pt>
                <c:pt idx="2">
                  <c:v>19.780999999999999</c:v>
                </c:pt>
                <c:pt idx="3">
                  <c:v>19.792999999999999</c:v>
                </c:pt>
                <c:pt idx="4">
                  <c:v>19.780999999999999</c:v>
                </c:pt>
                <c:pt idx="5">
                  <c:v>19.763000000000002</c:v>
                </c:pt>
                <c:pt idx="6">
                  <c:v>19.754999999999999</c:v>
                </c:pt>
                <c:pt idx="7">
                  <c:v>19.757000000000001</c:v>
                </c:pt>
                <c:pt idx="8">
                  <c:v>19.762</c:v>
                </c:pt>
                <c:pt idx="9">
                  <c:v>19.695</c:v>
                </c:pt>
                <c:pt idx="10">
                  <c:v>19.712</c:v>
                </c:pt>
                <c:pt idx="11">
                  <c:v>19.625</c:v>
                </c:pt>
                <c:pt idx="12">
                  <c:v>19.681000000000001</c:v>
                </c:pt>
                <c:pt idx="13">
                  <c:v>19.690999999999999</c:v>
                </c:pt>
                <c:pt idx="14">
                  <c:v>19.651</c:v>
                </c:pt>
                <c:pt idx="15">
                  <c:v>19.631</c:v>
                </c:pt>
                <c:pt idx="16">
                  <c:v>19.603999999999999</c:v>
                </c:pt>
                <c:pt idx="17">
                  <c:v>19.594999999999999</c:v>
                </c:pt>
                <c:pt idx="18">
                  <c:v>19.585000000000001</c:v>
                </c:pt>
                <c:pt idx="19">
                  <c:v>19.579999999999998</c:v>
                </c:pt>
                <c:pt idx="20">
                  <c:v>19.547000000000001</c:v>
                </c:pt>
                <c:pt idx="21">
                  <c:v>19.518000000000001</c:v>
                </c:pt>
                <c:pt idx="22">
                  <c:v>19.475000000000001</c:v>
                </c:pt>
                <c:pt idx="23">
                  <c:v>19.378</c:v>
                </c:pt>
                <c:pt idx="24">
                  <c:v>19.431000000000001</c:v>
                </c:pt>
                <c:pt idx="25">
                  <c:v>19.420999999999999</c:v>
                </c:pt>
                <c:pt idx="26">
                  <c:v>19.396000000000001</c:v>
                </c:pt>
                <c:pt idx="27">
                  <c:v>19.384</c:v>
                </c:pt>
                <c:pt idx="28">
                  <c:v>19.338999999999999</c:v>
                </c:pt>
                <c:pt idx="29">
                  <c:v>19.315000000000001</c:v>
                </c:pt>
                <c:pt idx="30">
                  <c:v>19.314</c:v>
                </c:pt>
                <c:pt idx="31">
                  <c:v>19.257999999999999</c:v>
                </c:pt>
                <c:pt idx="32">
                  <c:v>19.303999999999998</c:v>
                </c:pt>
                <c:pt idx="33">
                  <c:v>19.187000000000001</c:v>
                </c:pt>
                <c:pt idx="34">
                  <c:v>19.167000000000002</c:v>
                </c:pt>
                <c:pt idx="35">
                  <c:v>19.137</c:v>
                </c:pt>
                <c:pt idx="36">
                  <c:v>19.148</c:v>
                </c:pt>
                <c:pt idx="37">
                  <c:v>19.129000000000001</c:v>
                </c:pt>
                <c:pt idx="38">
                  <c:v>19.117999999999999</c:v>
                </c:pt>
                <c:pt idx="39">
                  <c:v>19.113</c:v>
                </c:pt>
                <c:pt idx="40">
                  <c:v>19.119</c:v>
                </c:pt>
                <c:pt idx="41">
                  <c:v>19.114999999999998</c:v>
                </c:pt>
                <c:pt idx="42">
                  <c:v>19.105</c:v>
                </c:pt>
                <c:pt idx="43">
                  <c:v>19.088000000000001</c:v>
                </c:pt>
                <c:pt idx="44">
                  <c:v>19.106000000000002</c:v>
                </c:pt>
                <c:pt idx="45">
                  <c:v>19.097999999999999</c:v>
                </c:pt>
                <c:pt idx="46">
                  <c:v>19.096</c:v>
                </c:pt>
                <c:pt idx="47">
                  <c:v>19.103000000000002</c:v>
                </c:pt>
                <c:pt idx="48">
                  <c:v>19.079000000000001</c:v>
                </c:pt>
                <c:pt idx="49">
                  <c:v>19.074000000000002</c:v>
                </c:pt>
                <c:pt idx="50">
                  <c:v>19.081</c:v>
                </c:pt>
                <c:pt idx="51">
                  <c:v>19.062999999999999</c:v>
                </c:pt>
                <c:pt idx="52">
                  <c:v>19.074999999999999</c:v>
                </c:pt>
                <c:pt idx="53">
                  <c:v>19.076000000000001</c:v>
                </c:pt>
                <c:pt idx="54">
                  <c:v>19.074999999999999</c:v>
                </c:pt>
                <c:pt idx="55">
                  <c:v>19.088999999999999</c:v>
                </c:pt>
                <c:pt idx="56">
                  <c:v>19.068999999999999</c:v>
                </c:pt>
                <c:pt idx="57">
                  <c:v>19.053999999999998</c:v>
                </c:pt>
                <c:pt idx="58">
                  <c:v>19.077000000000002</c:v>
                </c:pt>
                <c:pt idx="59">
                  <c:v>19.082000000000001</c:v>
                </c:pt>
                <c:pt idx="60">
                  <c:v>19.091000000000001</c:v>
                </c:pt>
                <c:pt idx="61">
                  <c:v>19.097000000000001</c:v>
                </c:pt>
                <c:pt idx="62">
                  <c:v>19.079000000000001</c:v>
                </c:pt>
                <c:pt idx="63">
                  <c:v>19.077999999999999</c:v>
                </c:pt>
                <c:pt idx="64">
                  <c:v>19.094000000000001</c:v>
                </c:pt>
                <c:pt idx="65">
                  <c:v>19.105</c:v>
                </c:pt>
                <c:pt idx="66">
                  <c:v>19.125</c:v>
                </c:pt>
                <c:pt idx="67">
                  <c:v>19.103999999999999</c:v>
                </c:pt>
                <c:pt idx="68">
                  <c:v>19.166</c:v>
                </c:pt>
                <c:pt idx="69">
                  <c:v>19.170000000000002</c:v>
                </c:pt>
                <c:pt idx="70">
                  <c:v>19.12</c:v>
                </c:pt>
                <c:pt idx="71">
                  <c:v>19.161999999999999</c:v>
                </c:pt>
                <c:pt idx="72">
                  <c:v>19.181999999999999</c:v>
                </c:pt>
                <c:pt idx="73">
                  <c:v>19.192</c:v>
                </c:pt>
                <c:pt idx="74">
                  <c:v>19.204000000000001</c:v>
                </c:pt>
                <c:pt idx="75">
                  <c:v>19.215</c:v>
                </c:pt>
                <c:pt idx="76">
                  <c:v>19.231999999999999</c:v>
                </c:pt>
                <c:pt idx="77">
                  <c:v>19.222000000000001</c:v>
                </c:pt>
                <c:pt idx="78">
                  <c:v>19.245999999999999</c:v>
                </c:pt>
                <c:pt idx="79">
                  <c:v>19.260999999999999</c:v>
                </c:pt>
                <c:pt idx="80">
                  <c:v>19.257999999999999</c:v>
                </c:pt>
                <c:pt idx="81">
                  <c:v>19.295000000000002</c:v>
                </c:pt>
                <c:pt idx="82">
                  <c:v>19.302</c:v>
                </c:pt>
                <c:pt idx="83">
                  <c:v>19.283000000000001</c:v>
                </c:pt>
                <c:pt idx="84">
                  <c:v>19.300999999999998</c:v>
                </c:pt>
                <c:pt idx="85">
                  <c:v>19.312000000000001</c:v>
                </c:pt>
                <c:pt idx="86">
                  <c:v>19.324999999999999</c:v>
                </c:pt>
                <c:pt idx="87">
                  <c:v>19.350000000000001</c:v>
                </c:pt>
                <c:pt idx="88">
                  <c:v>19.364999999999998</c:v>
                </c:pt>
                <c:pt idx="89">
                  <c:v>19.399999999999999</c:v>
                </c:pt>
                <c:pt idx="90">
                  <c:v>19.405999999999999</c:v>
                </c:pt>
                <c:pt idx="91">
                  <c:v>19.404</c:v>
                </c:pt>
                <c:pt idx="92">
                  <c:v>19.405000000000001</c:v>
                </c:pt>
                <c:pt idx="93">
                  <c:v>19.497</c:v>
                </c:pt>
                <c:pt idx="94">
                  <c:v>19.468</c:v>
                </c:pt>
                <c:pt idx="95">
                  <c:v>19.489999999999998</c:v>
                </c:pt>
                <c:pt idx="96">
                  <c:v>19.488</c:v>
                </c:pt>
                <c:pt idx="97">
                  <c:v>19.481000000000002</c:v>
                </c:pt>
                <c:pt idx="98">
                  <c:v>19.486999999999998</c:v>
                </c:pt>
                <c:pt idx="99">
                  <c:v>19.5</c:v>
                </c:pt>
                <c:pt idx="100">
                  <c:v>19.507999999999999</c:v>
                </c:pt>
                <c:pt idx="101">
                  <c:v>19.518999999999998</c:v>
                </c:pt>
                <c:pt idx="102">
                  <c:v>19.532</c:v>
                </c:pt>
                <c:pt idx="103">
                  <c:v>19.523</c:v>
                </c:pt>
                <c:pt idx="104">
                  <c:v>19.548999999999999</c:v>
                </c:pt>
                <c:pt idx="105">
                  <c:v>19.561</c:v>
                </c:pt>
                <c:pt idx="106">
                  <c:v>19.559000000000001</c:v>
                </c:pt>
                <c:pt idx="107">
                  <c:v>19.562000000000001</c:v>
                </c:pt>
                <c:pt idx="108">
                  <c:v>19.57</c:v>
                </c:pt>
                <c:pt idx="109">
                  <c:v>19.585000000000001</c:v>
                </c:pt>
                <c:pt idx="110">
                  <c:v>19.594000000000001</c:v>
                </c:pt>
                <c:pt idx="111">
                  <c:v>19.579000000000001</c:v>
                </c:pt>
                <c:pt idx="112">
                  <c:v>19.608000000000001</c:v>
                </c:pt>
                <c:pt idx="113">
                  <c:v>19.617000000000001</c:v>
                </c:pt>
                <c:pt idx="114">
                  <c:v>19.628</c:v>
                </c:pt>
                <c:pt idx="115">
                  <c:v>19.634</c:v>
                </c:pt>
                <c:pt idx="116">
                  <c:v>19.658000000000001</c:v>
                </c:pt>
                <c:pt idx="117">
                  <c:v>19.661999999999999</c:v>
                </c:pt>
                <c:pt idx="118">
                  <c:v>19.698</c:v>
                </c:pt>
                <c:pt idx="119">
                  <c:v>19.696999999999999</c:v>
                </c:pt>
                <c:pt idx="120">
                  <c:v>19.687999999999999</c:v>
                </c:pt>
                <c:pt idx="121">
                  <c:v>19.678000000000001</c:v>
                </c:pt>
                <c:pt idx="122">
                  <c:v>19.687000000000001</c:v>
                </c:pt>
                <c:pt idx="123">
                  <c:v>19.702999999999999</c:v>
                </c:pt>
                <c:pt idx="124">
                  <c:v>19.707000000000001</c:v>
                </c:pt>
                <c:pt idx="125">
                  <c:v>19.722999999999999</c:v>
                </c:pt>
                <c:pt idx="1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AD-4956-9A29-2F77DFE0C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774528"/>
        <c:axId val="152776064"/>
      </c:lineChart>
      <c:dateAx>
        <c:axId val="152774528"/>
        <c:scaling>
          <c:orientation val="minMax"/>
          <c:min val="39722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20"/>
          <c:min val="19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.0" sourceLinked="0"/>
        <c:majorTickMark val="none"/>
        <c:minorTickMark val="none"/>
        <c:tickLblPos val="nextTo"/>
        <c:crossAx val="152774528"/>
        <c:crosses val="autoZero"/>
        <c:crossBetween val="between"/>
        <c:majorUnit val="0.25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strRef>
              <c:f>'Real Structures'!$K$5:$K$52</c:f>
              <c:strCache>
                <c:ptCount val="48"/>
                <c:pt idx="0">
                  <c:v>2007-Q1</c:v>
                </c:pt>
                <c:pt idx="1">
                  <c:v>2007-Q2</c:v>
                </c:pt>
                <c:pt idx="2">
                  <c:v>2007-Q3</c:v>
                </c:pt>
                <c:pt idx="3">
                  <c:v>2007-Q4</c:v>
                </c:pt>
                <c:pt idx="4">
                  <c:v>2008-Q1</c:v>
                </c:pt>
                <c:pt idx="5">
                  <c:v>2008-Q2</c:v>
                </c:pt>
                <c:pt idx="6">
                  <c:v>2008-Q3</c:v>
                </c:pt>
                <c:pt idx="7">
                  <c:v>2008-Q4</c:v>
                </c:pt>
                <c:pt idx="8">
                  <c:v>2009-Q1</c:v>
                </c:pt>
                <c:pt idx="9">
                  <c:v>2009-Q2</c:v>
                </c:pt>
                <c:pt idx="10">
                  <c:v>2009-Q3</c:v>
                </c:pt>
                <c:pt idx="11">
                  <c:v>2009-Q4</c:v>
                </c:pt>
                <c:pt idx="12">
                  <c:v>2010-Q1</c:v>
                </c:pt>
                <c:pt idx="13">
                  <c:v>2010-Q2</c:v>
                </c:pt>
                <c:pt idx="14">
                  <c:v>2010-Q3</c:v>
                </c:pt>
                <c:pt idx="15">
                  <c:v>2010-Q4</c:v>
                </c:pt>
                <c:pt idx="16">
                  <c:v>2011-Q1</c:v>
                </c:pt>
                <c:pt idx="17">
                  <c:v>2011-Q2</c:v>
                </c:pt>
                <c:pt idx="18">
                  <c:v>2011-Q3</c:v>
                </c:pt>
                <c:pt idx="19">
                  <c:v>2011-Q4</c:v>
                </c:pt>
                <c:pt idx="20">
                  <c:v>2012-Q1</c:v>
                </c:pt>
                <c:pt idx="21">
                  <c:v>2012-Q2</c:v>
                </c:pt>
                <c:pt idx="22">
                  <c:v>2012-Q3</c:v>
                </c:pt>
                <c:pt idx="23">
                  <c:v>2012-Q4</c:v>
                </c:pt>
                <c:pt idx="24">
                  <c:v>2013-Q1</c:v>
                </c:pt>
                <c:pt idx="25">
                  <c:v>2013-Q2</c:v>
                </c:pt>
                <c:pt idx="26">
                  <c:v>2013-Q3</c:v>
                </c:pt>
                <c:pt idx="27">
                  <c:v>2013-Q4</c:v>
                </c:pt>
                <c:pt idx="28">
                  <c:v>2014-Q1</c:v>
                </c:pt>
                <c:pt idx="29">
                  <c:v>2014-Q2</c:v>
                </c:pt>
                <c:pt idx="30">
                  <c:v>2014-Q3</c:v>
                </c:pt>
                <c:pt idx="31">
                  <c:v>2014-Q4</c:v>
                </c:pt>
                <c:pt idx="32">
                  <c:v>2015-Q1</c:v>
                </c:pt>
                <c:pt idx="33">
                  <c:v>2015-Q2</c:v>
                </c:pt>
                <c:pt idx="34">
                  <c:v>2015-Q3</c:v>
                </c:pt>
                <c:pt idx="35">
                  <c:v>2015-Q4</c:v>
                </c:pt>
                <c:pt idx="36">
                  <c:v>2016-Q1</c:v>
                </c:pt>
                <c:pt idx="37">
                  <c:v>2016-Q2</c:v>
                </c:pt>
                <c:pt idx="38">
                  <c:v>2016-Q3</c:v>
                </c:pt>
                <c:pt idx="39">
                  <c:v>2016-Q4</c:v>
                </c:pt>
                <c:pt idx="40">
                  <c:v>2017-Q1</c:v>
                </c:pt>
                <c:pt idx="41">
                  <c:v>2017-Q2</c:v>
                </c:pt>
                <c:pt idx="42">
                  <c:v>2017-Q3</c:v>
                </c:pt>
                <c:pt idx="43">
                  <c:v>2017-Q4</c:v>
                </c:pt>
                <c:pt idx="44">
                  <c:v>2018-Q1</c:v>
                </c:pt>
                <c:pt idx="45">
                  <c:v>2018-Q2</c:v>
                </c:pt>
                <c:pt idx="46">
                  <c:v>2018-Q3</c:v>
                </c:pt>
                <c:pt idx="47">
                  <c:v>2018-Q4</c:v>
                </c:pt>
              </c:strCache>
            </c:strRef>
          </c:cat>
          <c:val>
            <c:numRef>
              <c:f>'Real Structures'!$M$5:$M$52</c:f>
              <c:numCache>
                <c:formatCode>0.0</c:formatCode>
                <c:ptCount val="48"/>
                <c:pt idx="0">
                  <c:v>314.5</c:v>
                </c:pt>
                <c:pt idx="1">
                  <c:v>314.5</c:v>
                </c:pt>
                <c:pt idx="2">
                  <c:v>314.7</c:v>
                </c:pt>
                <c:pt idx="3">
                  <c:v>316.5</c:v>
                </c:pt>
                <c:pt idx="4">
                  <c:v>313.2</c:v>
                </c:pt>
                <c:pt idx="5">
                  <c:v>314.8</c:v>
                </c:pt>
                <c:pt idx="6">
                  <c:v>315</c:v>
                </c:pt>
                <c:pt idx="7">
                  <c:v>310.89999999999998</c:v>
                </c:pt>
                <c:pt idx="8">
                  <c:v>310.5</c:v>
                </c:pt>
                <c:pt idx="9">
                  <c:v>315.8</c:v>
                </c:pt>
                <c:pt idx="10">
                  <c:v>314.2</c:v>
                </c:pt>
                <c:pt idx="11">
                  <c:v>304.60000000000002</c:v>
                </c:pt>
                <c:pt idx="12">
                  <c:v>293.8</c:v>
                </c:pt>
                <c:pt idx="13">
                  <c:v>303.5</c:v>
                </c:pt>
                <c:pt idx="14">
                  <c:v>305.89999999999998</c:v>
                </c:pt>
                <c:pt idx="15">
                  <c:v>299</c:v>
                </c:pt>
                <c:pt idx="16">
                  <c:v>290.39999999999998</c:v>
                </c:pt>
                <c:pt idx="17">
                  <c:v>283.39999999999998</c:v>
                </c:pt>
                <c:pt idx="18">
                  <c:v>279.8</c:v>
                </c:pt>
                <c:pt idx="19">
                  <c:v>281.60000000000002</c:v>
                </c:pt>
                <c:pt idx="20">
                  <c:v>273.3</c:v>
                </c:pt>
                <c:pt idx="21">
                  <c:v>268.8</c:v>
                </c:pt>
                <c:pt idx="22">
                  <c:v>261.8</c:v>
                </c:pt>
                <c:pt idx="23">
                  <c:v>255.9</c:v>
                </c:pt>
                <c:pt idx="24">
                  <c:v>252.1</c:v>
                </c:pt>
                <c:pt idx="25">
                  <c:v>254.3</c:v>
                </c:pt>
                <c:pt idx="26">
                  <c:v>255.3</c:v>
                </c:pt>
                <c:pt idx="27">
                  <c:v>252.6</c:v>
                </c:pt>
                <c:pt idx="28">
                  <c:v>246.3</c:v>
                </c:pt>
                <c:pt idx="29">
                  <c:v>252.8</c:v>
                </c:pt>
                <c:pt idx="30">
                  <c:v>255.6</c:v>
                </c:pt>
                <c:pt idx="31">
                  <c:v>258.10000000000002</c:v>
                </c:pt>
                <c:pt idx="32">
                  <c:v>256.3</c:v>
                </c:pt>
                <c:pt idx="33">
                  <c:v>270.2</c:v>
                </c:pt>
                <c:pt idx="34">
                  <c:v>272.7</c:v>
                </c:pt>
                <c:pt idx="35">
                  <c:v>262.2</c:v>
                </c:pt>
                <c:pt idx="36">
                  <c:v>277.2</c:v>
                </c:pt>
                <c:pt idx="37">
                  <c:v>269</c:v>
                </c:pt>
                <c:pt idx="38">
                  <c:v>265.39999999999998</c:v>
                </c:pt>
                <c:pt idx="39">
                  <c:v>267</c:v>
                </c:pt>
                <c:pt idx="40">
                  <c:v>261.2</c:v>
                </c:pt>
                <c:pt idx="41">
                  <c:v>256.39999999999998</c:v>
                </c:pt>
                <c:pt idx="42">
                  <c:v>252.1</c:v>
                </c:pt>
                <c:pt idx="43">
                  <c:v>259.3</c:v>
                </c:pt>
                <c:pt idx="44">
                  <c:v>261.3</c:v>
                </c:pt>
                <c:pt idx="45">
                  <c:v>265.3</c:v>
                </c:pt>
                <c:pt idx="46">
                  <c:v>268.3</c:v>
                </c:pt>
                <c:pt idx="47">
                  <c:v>260.3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5-45B5-9FBD-673A8CA78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cat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Algn val="ctr"/>
        <c:lblOffset val="100"/>
        <c:tickLblSkip val="1"/>
        <c:noMultiLvlLbl val="0"/>
      </c:catAx>
      <c:valAx>
        <c:axId val="155576576"/>
        <c:scaling>
          <c:orientation val="minMax"/>
          <c:max val="320"/>
          <c:min val="2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strRef>
              <c:f>'Real Structures'!$K$5:$K$52</c:f>
              <c:strCache>
                <c:ptCount val="48"/>
                <c:pt idx="0">
                  <c:v>2007-Q1</c:v>
                </c:pt>
                <c:pt idx="1">
                  <c:v>2007-Q2</c:v>
                </c:pt>
                <c:pt idx="2">
                  <c:v>2007-Q3</c:v>
                </c:pt>
                <c:pt idx="3">
                  <c:v>2007-Q4</c:v>
                </c:pt>
                <c:pt idx="4">
                  <c:v>2008-Q1</c:v>
                </c:pt>
                <c:pt idx="5">
                  <c:v>2008-Q2</c:v>
                </c:pt>
                <c:pt idx="6">
                  <c:v>2008-Q3</c:v>
                </c:pt>
                <c:pt idx="7">
                  <c:v>2008-Q4</c:v>
                </c:pt>
                <c:pt idx="8">
                  <c:v>2009-Q1</c:v>
                </c:pt>
                <c:pt idx="9">
                  <c:v>2009-Q2</c:v>
                </c:pt>
                <c:pt idx="10">
                  <c:v>2009-Q3</c:v>
                </c:pt>
                <c:pt idx="11">
                  <c:v>2009-Q4</c:v>
                </c:pt>
                <c:pt idx="12">
                  <c:v>2010-Q1</c:v>
                </c:pt>
                <c:pt idx="13">
                  <c:v>2010-Q2</c:v>
                </c:pt>
                <c:pt idx="14">
                  <c:v>2010-Q3</c:v>
                </c:pt>
                <c:pt idx="15">
                  <c:v>2010-Q4</c:v>
                </c:pt>
                <c:pt idx="16">
                  <c:v>2011-Q1</c:v>
                </c:pt>
                <c:pt idx="17">
                  <c:v>2011-Q2</c:v>
                </c:pt>
                <c:pt idx="18">
                  <c:v>2011-Q3</c:v>
                </c:pt>
                <c:pt idx="19">
                  <c:v>2011-Q4</c:v>
                </c:pt>
                <c:pt idx="20">
                  <c:v>2012-Q1</c:v>
                </c:pt>
                <c:pt idx="21">
                  <c:v>2012-Q2</c:v>
                </c:pt>
                <c:pt idx="22">
                  <c:v>2012-Q3</c:v>
                </c:pt>
                <c:pt idx="23">
                  <c:v>2012-Q4</c:v>
                </c:pt>
                <c:pt idx="24">
                  <c:v>2013-Q1</c:v>
                </c:pt>
                <c:pt idx="25">
                  <c:v>2013-Q2</c:v>
                </c:pt>
                <c:pt idx="26">
                  <c:v>2013-Q3</c:v>
                </c:pt>
                <c:pt idx="27">
                  <c:v>2013-Q4</c:v>
                </c:pt>
                <c:pt idx="28">
                  <c:v>2014-Q1</c:v>
                </c:pt>
                <c:pt idx="29">
                  <c:v>2014-Q2</c:v>
                </c:pt>
                <c:pt idx="30">
                  <c:v>2014-Q3</c:v>
                </c:pt>
                <c:pt idx="31">
                  <c:v>2014-Q4</c:v>
                </c:pt>
                <c:pt idx="32">
                  <c:v>2015-Q1</c:v>
                </c:pt>
                <c:pt idx="33">
                  <c:v>2015-Q2</c:v>
                </c:pt>
                <c:pt idx="34">
                  <c:v>2015-Q3</c:v>
                </c:pt>
                <c:pt idx="35">
                  <c:v>2015-Q4</c:v>
                </c:pt>
                <c:pt idx="36">
                  <c:v>2016-Q1</c:v>
                </c:pt>
                <c:pt idx="37">
                  <c:v>2016-Q2</c:v>
                </c:pt>
                <c:pt idx="38">
                  <c:v>2016-Q3</c:v>
                </c:pt>
                <c:pt idx="39">
                  <c:v>2016-Q4</c:v>
                </c:pt>
                <c:pt idx="40">
                  <c:v>2017-Q1</c:v>
                </c:pt>
                <c:pt idx="41">
                  <c:v>2017-Q2</c:v>
                </c:pt>
                <c:pt idx="42">
                  <c:v>2017-Q3</c:v>
                </c:pt>
                <c:pt idx="43">
                  <c:v>2017-Q4</c:v>
                </c:pt>
                <c:pt idx="44">
                  <c:v>2018-Q1</c:v>
                </c:pt>
                <c:pt idx="45">
                  <c:v>2018-Q2</c:v>
                </c:pt>
                <c:pt idx="46">
                  <c:v>2018-Q3</c:v>
                </c:pt>
                <c:pt idx="47">
                  <c:v>2018-Q4</c:v>
                </c:pt>
              </c:strCache>
            </c:strRef>
          </c:cat>
          <c:val>
            <c:numRef>
              <c:f>'Real Structures'!$L$5:$L$52</c:f>
              <c:numCache>
                <c:formatCode>0.0</c:formatCode>
                <c:ptCount val="48"/>
                <c:pt idx="0">
                  <c:v>381.1</c:v>
                </c:pt>
                <c:pt idx="1">
                  <c:v>384.2</c:v>
                </c:pt>
                <c:pt idx="2">
                  <c:v>386.3</c:v>
                </c:pt>
                <c:pt idx="3">
                  <c:v>390.5</c:v>
                </c:pt>
                <c:pt idx="4">
                  <c:v>387.4</c:v>
                </c:pt>
                <c:pt idx="5">
                  <c:v>388.6</c:v>
                </c:pt>
                <c:pt idx="6">
                  <c:v>389</c:v>
                </c:pt>
                <c:pt idx="7">
                  <c:v>382</c:v>
                </c:pt>
                <c:pt idx="8">
                  <c:v>382</c:v>
                </c:pt>
                <c:pt idx="9">
                  <c:v>387.3</c:v>
                </c:pt>
                <c:pt idx="10">
                  <c:v>385.5</c:v>
                </c:pt>
                <c:pt idx="11">
                  <c:v>376.7</c:v>
                </c:pt>
                <c:pt idx="12">
                  <c:v>364.2</c:v>
                </c:pt>
                <c:pt idx="13">
                  <c:v>371.4</c:v>
                </c:pt>
                <c:pt idx="14">
                  <c:v>372.5</c:v>
                </c:pt>
                <c:pt idx="15">
                  <c:v>365.9</c:v>
                </c:pt>
                <c:pt idx="16">
                  <c:v>357.6</c:v>
                </c:pt>
                <c:pt idx="17">
                  <c:v>351.8</c:v>
                </c:pt>
                <c:pt idx="18">
                  <c:v>348.9</c:v>
                </c:pt>
                <c:pt idx="19">
                  <c:v>349.4</c:v>
                </c:pt>
                <c:pt idx="20">
                  <c:v>340.7</c:v>
                </c:pt>
                <c:pt idx="21">
                  <c:v>337.4</c:v>
                </c:pt>
                <c:pt idx="22">
                  <c:v>330.7</c:v>
                </c:pt>
                <c:pt idx="23">
                  <c:v>326.2</c:v>
                </c:pt>
                <c:pt idx="24">
                  <c:v>322.89999999999998</c:v>
                </c:pt>
                <c:pt idx="25">
                  <c:v>325.10000000000002</c:v>
                </c:pt>
                <c:pt idx="26">
                  <c:v>326.60000000000002</c:v>
                </c:pt>
                <c:pt idx="27">
                  <c:v>324</c:v>
                </c:pt>
                <c:pt idx="28">
                  <c:v>316.89999999999998</c:v>
                </c:pt>
                <c:pt idx="29">
                  <c:v>324.2</c:v>
                </c:pt>
                <c:pt idx="30">
                  <c:v>327.2</c:v>
                </c:pt>
                <c:pt idx="31">
                  <c:v>331</c:v>
                </c:pt>
                <c:pt idx="32">
                  <c:v>329</c:v>
                </c:pt>
                <c:pt idx="33">
                  <c:v>343</c:v>
                </c:pt>
                <c:pt idx="34">
                  <c:v>347.4</c:v>
                </c:pt>
                <c:pt idx="35">
                  <c:v>337.8</c:v>
                </c:pt>
                <c:pt idx="36">
                  <c:v>354.1</c:v>
                </c:pt>
                <c:pt idx="37">
                  <c:v>346</c:v>
                </c:pt>
                <c:pt idx="38">
                  <c:v>342.7</c:v>
                </c:pt>
                <c:pt idx="39">
                  <c:v>343.6</c:v>
                </c:pt>
                <c:pt idx="40">
                  <c:v>340.6</c:v>
                </c:pt>
                <c:pt idx="41">
                  <c:v>335.9</c:v>
                </c:pt>
                <c:pt idx="42">
                  <c:v>331.9</c:v>
                </c:pt>
                <c:pt idx="43">
                  <c:v>339</c:v>
                </c:pt>
                <c:pt idx="44">
                  <c:v>342.4</c:v>
                </c:pt>
                <c:pt idx="45">
                  <c:v>348.7</c:v>
                </c:pt>
                <c:pt idx="46">
                  <c:v>353.3</c:v>
                </c:pt>
                <c:pt idx="47">
                  <c:v>345.3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8A-4369-84F8-6F2A13791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cat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Algn val="ctr"/>
        <c:lblOffset val="100"/>
        <c:tickLblSkip val="1"/>
        <c:noMultiLvlLbl val="0"/>
      </c:catAx>
      <c:valAx>
        <c:axId val="155576576"/>
        <c:scaling>
          <c:orientation val="minMax"/>
          <c:min val="3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9</xdr:row>
      <xdr:rowOff>19050</xdr:rowOff>
    </xdr:from>
    <xdr:to>
      <xdr:col>7</xdr:col>
      <xdr:colOff>476251</xdr:colOff>
      <xdr:row>11</xdr:row>
      <xdr:rowOff>95250</xdr:rowOff>
    </xdr:to>
    <xdr:sp macro="[0]!CSVal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9</xdr:row>
      <xdr:rowOff>0</xdr:rowOff>
    </xdr:from>
    <xdr:to>
      <xdr:col>11</xdr:col>
      <xdr:colOff>352425</xdr:colOff>
      <xdr:row>11</xdr:row>
      <xdr:rowOff>152400</xdr:rowOff>
    </xdr:to>
    <xdr:sp macro="[0]!PDFGraph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9</xdr:row>
      <xdr:rowOff>0</xdr:rowOff>
    </xdr:from>
    <xdr:to>
      <xdr:col>4</xdr:col>
      <xdr:colOff>123825</xdr:colOff>
      <xdr:row>11</xdr:row>
      <xdr:rowOff>95250</xdr:rowOff>
    </xdr:to>
    <xdr:sp macro="[0]!GetData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76199</xdr:colOff>
      <xdr:row>4</xdr:row>
      <xdr:rowOff>209549</xdr:rowOff>
    </xdr:from>
    <xdr:to>
      <xdr:col>21</xdr:col>
      <xdr:colOff>257174</xdr:colOff>
      <xdr:row>21</xdr:row>
      <xdr:rowOff>161924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Millions</a:t>
          </a:r>
        </a:p>
        <a:p xmlns:a="http://schemas.openxmlformats.org/drawingml/2006/main"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179295</xdr:colOff>
      <xdr:row>8</xdr:row>
      <xdr:rowOff>123263</xdr:rowOff>
    </xdr:from>
    <xdr:to>
      <xdr:col>21</xdr:col>
      <xdr:colOff>201705</xdr:colOff>
      <xdr:row>30</xdr:row>
      <xdr:rowOff>78440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324971</xdr:colOff>
      <xdr:row>10</xdr:row>
      <xdr:rowOff>56030</xdr:rowOff>
    </xdr:from>
    <xdr:to>
      <xdr:col>11</xdr:col>
      <xdr:colOff>347382</xdr:colOff>
      <xdr:row>32</xdr:row>
      <xdr:rowOff>11207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jobs_structuresfinal.csv" TargetMode="External"/><Relationship Id="rId2" Type="http://schemas.openxmlformats.org/officeDocument/2006/relationships/hyperlink" Target="https://www.brookings.edu/wp-content/uploads/2016/10/jobs_fedfinal.csv" TargetMode="External"/><Relationship Id="rId1" Type="http://schemas.openxmlformats.org/officeDocument/2006/relationships/hyperlink" Target="https://www.brookings.edu/wp-content/uploads/2016/10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rookings.edu/wp-content/uploads/2016/10/taxes_statefinal.csv" TargetMode="External"/><Relationship Id="rId1" Type="http://schemas.openxmlformats.org/officeDocument/2006/relationships/hyperlink" Target="https://www.brookings.edu/wp-content/uploads/2016/10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www.brookings.edu/wp-content/uploads/2016/10/long_revenuefinal.csv" TargetMode="External"/><Relationship Id="rId1" Type="http://schemas.openxmlformats.org/officeDocument/2006/relationships/hyperlink" Target="https://www.brookings.edu/wp-content/uploads/2016/10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brookings.edu/wp-content/uploads/2016/10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hyperlink" Target="mailto:LAFGVXA@USECON" TargetMode="External"/><Relationship Id="rId7" Type="http://schemas.openxmlformats.org/officeDocument/2006/relationships/hyperlink" Target="mailto:LASGOV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hyperlink" Target="mailto:LALGOVA@USECON" TargetMode="External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Relationship Id="rId9" Type="http://schemas.openxmlformats.org/officeDocument/2006/relationships/drawing" Target="../drawings/drawing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hyperlink" Target="mailto:GSIH@USNA" TargetMode="External"/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C38"/>
  <sheetViews>
    <sheetView zoomScaleNormal="100" workbookViewId="0">
      <selection activeCell="I21" sqref="I21"/>
    </sheetView>
  </sheetViews>
  <sheetFormatPr defaultRowHeight="15"/>
  <cols>
    <col min="1" max="1" width="9.140625" style="13"/>
    <col min="2" max="2" width="14.7109375" style="13" bestFit="1" customWidth="1"/>
    <col min="3" max="16384" width="9.140625" style="13"/>
  </cols>
  <sheetData>
    <row r="1" spans="1:3">
      <c r="A1" s="45" t="s">
        <v>215</v>
      </c>
    </row>
    <row r="2" spans="1:3">
      <c r="A2" s="13" t="s">
        <v>416</v>
      </c>
    </row>
    <row r="3" spans="1:3">
      <c r="A3" s="13" t="s">
        <v>415</v>
      </c>
    </row>
    <row r="4" spans="1:3">
      <c r="A4" s="13" t="s">
        <v>421</v>
      </c>
    </row>
    <row r="5" spans="1:3">
      <c r="A5" s="13" t="s">
        <v>417</v>
      </c>
    </row>
    <row r="6" spans="1:3">
      <c r="A6" s="13" t="s">
        <v>418</v>
      </c>
    </row>
    <row r="7" spans="1:3">
      <c r="A7" s="13" t="s">
        <v>419</v>
      </c>
    </row>
    <row r="8" spans="1:3">
      <c r="A8" s="13" t="s">
        <v>420</v>
      </c>
    </row>
    <row r="14" spans="1:3">
      <c r="B14" s="45" t="s">
        <v>216</v>
      </c>
    </row>
    <row r="15" spans="1:3">
      <c r="B15" s="13" t="s">
        <v>221</v>
      </c>
      <c r="C15" s="13" t="s">
        <v>222</v>
      </c>
    </row>
    <row r="16" spans="1:3">
      <c r="B16" s="13" t="s">
        <v>223</v>
      </c>
      <c r="C16" s="13" t="s">
        <v>224</v>
      </c>
    </row>
    <row r="17" spans="1:3">
      <c r="B17" s="13" t="s">
        <v>225</v>
      </c>
      <c r="C17" s="13" t="s">
        <v>226</v>
      </c>
    </row>
    <row r="18" spans="1:3">
      <c r="B18" s="13" t="s">
        <v>227</v>
      </c>
      <c r="C18" s="13" t="s">
        <v>234</v>
      </c>
    </row>
    <row r="19" spans="1:3">
      <c r="B19" s="13" t="s">
        <v>228</v>
      </c>
      <c r="C19" s="13" t="s">
        <v>140</v>
      </c>
    </row>
    <row r="20" spans="1:3">
      <c r="B20" s="13" t="s">
        <v>229</v>
      </c>
      <c r="C20" s="13" t="s">
        <v>235</v>
      </c>
    </row>
    <row r="21" spans="1:3">
      <c r="B21" s="13" t="s">
        <v>230</v>
      </c>
      <c r="C21" s="13" t="s">
        <v>237</v>
      </c>
    </row>
    <row r="22" spans="1:3">
      <c r="B22" s="13" t="s">
        <v>231</v>
      </c>
      <c r="C22" s="13" t="s">
        <v>236</v>
      </c>
    </row>
    <row r="23" spans="1:3">
      <c r="B23" s="13" t="s">
        <v>233</v>
      </c>
      <c r="C23" s="13" t="s">
        <v>238</v>
      </c>
    </row>
    <row r="24" spans="1:3">
      <c r="B24" s="13" t="s">
        <v>232</v>
      </c>
      <c r="C24" s="13" t="s">
        <v>239</v>
      </c>
    </row>
    <row r="28" spans="1:3">
      <c r="A28" s="46" t="s">
        <v>217</v>
      </c>
    </row>
    <row r="29" spans="1:3">
      <c r="A29" s="13" t="s">
        <v>218</v>
      </c>
      <c r="B29" s="13" t="s">
        <v>219</v>
      </c>
      <c r="C29" s="13" t="s">
        <v>220</v>
      </c>
    </row>
    <row r="30" spans="1:3">
      <c r="A30" s="47"/>
    </row>
    <row r="31" spans="1:3">
      <c r="A31" s="48"/>
    </row>
    <row r="32" spans="1:3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>
    <tabColor rgb="FFFF0000"/>
  </sheetPr>
  <dimension ref="A1:I40"/>
  <sheetViews>
    <sheetView view="pageBreakPreview" zoomScale="175" zoomScaleNormal="100" zoomScaleSheetLayoutView="175" workbookViewId="0">
      <selection activeCell="J18" sqref="J18"/>
    </sheetView>
  </sheetViews>
  <sheetFormatPr defaultRowHeight="15"/>
  <cols>
    <col min="1" max="16384" width="9.140625" style="13"/>
  </cols>
  <sheetData>
    <row r="1" spans="1:9" ht="15" customHeight="1">
      <c r="A1" s="70"/>
      <c r="B1" s="70"/>
      <c r="C1" s="109" t="s">
        <v>294</v>
      </c>
      <c r="D1" s="109"/>
      <c r="E1" s="109"/>
      <c r="F1" s="109"/>
      <c r="G1" s="109"/>
      <c r="H1" s="70"/>
      <c r="I1" s="70"/>
    </row>
    <row r="2" spans="1:9" ht="15" customHeight="1">
      <c r="A2" s="70"/>
      <c r="B2" s="70"/>
      <c r="C2" s="109"/>
      <c r="D2" s="109"/>
      <c r="E2" s="109"/>
      <c r="F2" s="109"/>
      <c r="G2" s="109"/>
      <c r="H2" s="70"/>
      <c r="I2" s="70"/>
    </row>
    <row r="3" spans="1:9">
      <c r="A3" s="72" t="s">
        <v>295</v>
      </c>
      <c r="B3" s="71"/>
      <c r="C3" s="71" t="s">
        <v>296</v>
      </c>
      <c r="D3" s="71"/>
      <c r="E3" s="71"/>
      <c r="F3" s="72" t="s">
        <v>297</v>
      </c>
      <c r="G3" s="71"/>
      <c r="H3" s="72" t="s">
        <v>298</v>
      </c>
      <c r="I3" s="71"/>
    </row>
    <row r="9" spans="1:9" ht="105">
      <c r="D9" s="69" t="s">
        <v>240</v>
      </c>
      <c r="G9" s="69" t="s">
        <v>293</v>
      </c>
    </row>
    <row r="12" spans="1:9">
      <c r="F12" s="79" t="s">
        <v>308</v>
      </c>
    </row>
    <row r="26" spans="6:6">
      <c r="F26" s="79" t="s">
        <v>308</v>
      </c>
    </row>
    <row r="40" spans="6:7">
      <c r="F40" s="79" t="s">
        <v>308</v>
      </c>
      <c r="G40" s="79"/>
    </row>
  </sheetData>
  <mergeCells count="1">
    <mergeCell ref="C1:G2"/>
  </mergeCells>
  <hyperlinks>
    <hyperlink ref="F12" r:id="rId1" xr:uid="{00000000-0004-0000-0100-000000000000}"/>
    <hyperlink ref="F26" r:id="rId2" xr:uid="{00000000-0004-0000-0100-000001000000}"/>
    <hyperlink ref="F40" r:id="rId3" xr:uid="{00000000-0004-0000-0100-000002000000}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6">
    <tabColor rgb="FFFF0000"/>
  </sheetPr>
  <dimension ref="A1:I49"/>
  <sheetViews>
    <sheetView view="pageBreakPreview" topLeftCell="A10" zoomScale="115" zoomScaleNormal="100" zoomScaleSheetLayoutView="115" workbookViewId="0"/>
  </sheetViews>
  <sheetFormatPr defaultRowHeight="15"/>
  <cols>
    <col min="1" max="16384" width="9.140625" style="13"/>
  </cols>
  <sheetData>
    <row r="1" spans="1:9" ht="15" customHeight="1">
      <c r="B1" s="70"/>
      <c r="C1" s="109" t="s">
        <v>294</v>
      </c>
      <c r="D1" s="109"/>
      <c r="E1" s="109"/>
      <c r="F1" s="109"/>
      <c r="G1" s="109"/>
      <c r="H1" s="70"/>
      <c r="I1" s="70"/>
    </row>
    <row r="2" spans="1:9" ht="15" customHeight="1">
      <c r="A2" s="70"/>
      <c r="B2" s="70"/>
      <c r="C2" s="109"/>
      <c r="D2" s="109"/>
      <c r="E2" s="109"/>
      <c r="F2" s="109"/>
      <c r="G2" s="109"/>
      <c r="H2" s="70"/>
      <c r="I2" s="70"/>
    </row>
    <row r="3" spans="1:9">
      <c r="A3" s="72" t="s">
        <v>295</v>
      </c>
      <c r="B3" s="71"/>
      <c r="C3" s="72" t="s">
        <v>296</v>
      </c>
      <c r="D3" s="71"/>
      <c r="E3" s="71"/>
      <c r="F3" s="71" t="s">
        <v>297</v>
      </c>
      <c r="G3" s="71"/>
      <c r="H3" s="72" t="s">
        <v>298</v>
      </c>
      <c r="I3" s="71"/>
    </row>
    <row r="7" spans="1:9">
      <c r="A7" s="65" t="s">
        <v>140</v>
      </c>
      <c r="B7" s="66"/>
      <c r="C7" s="66"/>
      <c r="D7" s="66"/>
      <c r="E7" s="66"/>
      <c r="F7" s="66"/>
      <c r="G7" s="66"/>
      <c r="H7" s="66"/>
      <c r="I7" s="67"/>
    </row>
    <row r="8" spans="1:9">
      <c r="A8" s="53" t="s">
        <v>241</v>
      </c>
      <c r="B8" s="56"/>
      <c r="C8" s="56"/>
      <c r="D8" s="56"/>
      <c r="E8" s="56"/>
      <c r="F8" s="56"/>
      <c r="G8" s="56"/>
      <c r="H8" s="56"/>
      <c r="I8" s="68"/>
    </row>
    <row r="9" spans="1:9" ht="15" customHeight="1">
      <c r="A9" s="59"/>
      <c r="B9" s="60"/>
      <c r="C9" s="60"/>
      <c r="D9" s="110" t="s">
        <v>240</v>
      </c>
      <c r="E9" s="110"/>
      <c r="F9" s="110"/>
      <c r="G9" s="110" t="s">
        <v>293</v>
      </c>
      <c r="H9" s="110"/>
      <c r="I9" s="111"/>
    </row>
    <row r="10" spans="1:9">
      <c r="A10" s="59"/>
      <c r="B10" s="60"/>
      <c r="C10" s="60"/>
      <c r="D10" s="110"/>
      <c r="E10" s="110"/>
      <c r="F10" s="110"/>
      <c r="G10" s="110"/>
      <c r="H10" s="110"/>
      <c r="I10" s="111"/>
    </row>
    <row r="11" spans="1:9">
      <c r="A11" s="53" t="s">
        <v>96</v>
      </c>
      <c r="B11" s="49"/>
      <c r="C11" s="49"/>
      <c r="D11" s="49"/>
      <c r="E11" s="81">
        <v>3242</v>
      </c>
      <c r="F11" s="50"/>
      <c r="G11" s="50"/>
      <c r="H11" s="101" t="s">
        <v>438</v>
      </c>
      <c r="I11" s="73"/>
    </row>
    <row r="12" spans="1:9">
      <c r="A12" s="52" t="s">
        <v>97</v>
      </c>
      <c r="B12" s="49"/>
      <c r="C12" s="49"/>
      <c r="D12" s="49"/>
      <c r="E12" s="81">
        <v>2673</v>
      </c>
      <c r="F12" s="50"/>
      <c r="G12" s="51"/>
      <c r="H12" s="98" t="s">
        <v>439</v>
      </c>
      <c r="I12" s="73"/>
    </row>
    <row r="13" spans="1:9">
      <c r="A13" s="52" t="s">
        <v>98</v>
      </c>
      <c r="B13" s="49"/>
      <c r="C13" s="49"/>
      <c r="D13" s="49"/>
      <c r="E13" s="81">
        <v>570</v>
      </c>
      <c r="F13" s="50"/>
      <c r="G13" s="51"/>
      <c r="H13" s="98" t="s">
        <v>440</v>
      </c>
      <c r="I13" s="73"/>
    </row>
    <row r="14" spans="1:9">
      <c r="A14" s="61"/>
      <c r="B14" s="62"/>
      <c r="C14" s="62"/>
      <c r="D14" s="62"/>
      <c r="E14" s="82"/>
      <c r="F14" s="63"/>
      <c r="G14" s="64"/>
      <c r="H14" s="76"/>
      <c r="I14" s="74"/>
    </row>
    <row r="15" spans="1:9">
      <c r="A15" s="53" t="s">
        <v>141</v>
      </c>
      <c r="B15" s="49"/>
      <c r="C15" s="49"/>
      <c r="D15" s="49"/>
      <c r="E15" s="81">
        <v>3826</v>
      </c>
      <c r="F15" s="50"/>
      <c r="G15" s="51"/>
      <c r="H15" s="98" t="s">
        <v>441</v>
      </c>
      <c r="I15" s="73"/>
    </row>
    <row r="16" spans="1:9">
      <c r="A16" s="52" t="s">
        <v>102</v>
      </c>
      <c r="B16" s="49"/>
      <c r="C16" s="49"/>
      <c r="D16" s="49"/>
      <c r="E16" s="81">
        <v>560</v>
      </c>
      <c r="F16" s="50"/>
      <c r="G16" s="51"/>
      <c r="H16" s="98" t="s">
        <v>442</v>
      </c>
      <c r="I16" s="73"/>
    </row>
    <row r="17" spans="1:9">
      <c r="A17" s="52" t="s">
        <v>100</v>
      </c>
      <c r="B17" s="49"/>
      <c r="C17" s="49"/>
      <c r="D17" s="49"/>
      <c r="E17" s="81">
        <v>884</v>
      </c>
      <c r="F17" s="50"/>
      <c r="G17" s="51"/>
      <c r="H17" s="98" t="s">
        <v>443</v>
      </c>
      <c r="I17" s="73"/>
    </row>
    <row r="18" spans="1:9">
      <c r="A18" s="52" t="s">
        <v>99</v>
      </c>
      <c r="B18" s="49"/>
      <c r="C18" s="49"/>
      <c r="D18" s="49"/>
      <c r="E18" s="81">
        <v>581</v>
      </c>
      <c r="F18" s="50"/>
      <c r="G18" s="51"/>
      <c r="H18" s="98" t="s">
        <v>444</v>
      </c>
      <c r="I18" s="73"/>
    </row>
    <row r="19" spans="1:9">
      <c r="A19" s="52" t="s">
        <v>94</v>
      </c>
      <c r="B19" s="49"/>
      <c r="C19" s="49"/>
      <c r="D19" s="49"/>
      <c r="E19" s="81">
        <v>373</v>
      </c>
      <c r="F19" s="50"/>
      <c r="G19" s="51"/>
      <c r="H19" s="98" t="s">
        <v>445</v>
      </c>
      <c r="I19" s="73"/>
    </row>
    <row r="20" spans="1:9">
      <c r="A20" s="52" t="s">
        <v>95</v>
      </c>
      <c r="B20" s="49"/>
      <c r="C20" s="49"/>
      <c r="D20" s="49"/>
      <c r="E20" s="81">
        <v>297</v>
      </c>
      <c r="F20" s="50"/>
      <c r="G20" s="51"/>
      <c r="H20" s="102" t="s">
        <v>446</v>
      </c>
      <c r="I20" s="73"/>
    </row>
    <row r="21" spans="1:9">
      <c r="A21" s="54" t="s">
        <v>101</v>
      </c>
      <c r="B21" s="55"/>
      <c r="C21" s="55"/>
      <c r="D21" s="55"/>
      <c r="E21" s="83">
        <v>1130</v>
      </c>
      <c r="F21" s="57"/>
      <c r="G21" s="58"/>
      <c r="H21" s="99" t="s">
        <v>447</v>
      </c>
      <c r="I21" s="75"/>
    </row>
    <row r="22" spans="1:9">
      <c r="A22" s="49" t="s">
        <v>142</v>
      </c>
      <c r="B22" s="49"/>
      <c r="C22" s="49"/>
      <c r="D22" s="49"/>
      <c r="E22" s="49"/>
      <c r="F22" s="49"/>
      <c r="G22" s="49"/>
      <c r="H22" s="49"/>
    </row>
    <row r="23" spans="1:9">
      <c r="A23" s="49" t="s">
        <v>113</v>
      </c>
      <c r="B23" s="49"/>
      <c r="C23" s="49"/>
      <c r="D23" s="49"/>
      <c r="E23" s="49"/>
      <c r="F23" s="49"/>
      <c r="G23" s="49"/>
      <c r="H23" s="49"/>
    </row>
    <row r="24" spans="1:9">
      <c r="A24" s="49" t="s">
        <v>304</v>
      </c>
      <c r="B24" s="49"/>
      <c r="C24" s="49"/>
      <c r="D24" s="49"/>
      <c r="E24" s="49"/>
      <c r="F24" s="49"/>
      <c r="G24" s="49"/>
      <c r="H24" s="49"/>
    </row>
    <row r="25" spans="1:9">
      <c r="A25" s="49" t="s">
        <v>123</v>
      </c>
      <c r="B25" s="49"/>
      <c r="C25" s="49"/>
      <c r="D25" s="49"/>
      <c r="E25" s="49"/>
      <c r="F25" s="49"/>
      <c r="G25" s="49"/>
      <c r="H25" s="49"/>
    </row>
    <row r="26" spans="1:9">
      <c r="G26" s="79" t="s">
        <v>308</v>
      </c>
    </row>
    <row r="45" spans="1:9">
      <c r="G45" s="79" t="s">
        <v>308</v>
      </c>
    </row>
    <row r="47" spans="1:9">
      <c r="A47"/>
      <c r="B47"/>
      <c r="C47"/>
      <c r="D47"/>
      <c r="E47"/>
      <c r="F47"/>
      <c r="G47"/>
      <c r="H47"/>
      <c r="I47"/>
    </row>
    <row r="48" spans="1:9">
      <c r="A48"/>
      <c r="B48"/>
      <c r="C48"/>
      <c r="D48"/>
      <c r="E48"/>
      <c r="F48"/>
      <c r="G48"/>
      <c r="H48"/>
      <c r="I48"/>
    </row>
    <row r="49" spans="1:9">
      <c r="A49"/>
      <c r="B49"/>
      <c r="C49"/>
      <c r="D49"/>
      <c r="E49"/>
      <c r="F49"/>
      <c r="G49"/>
      <c r="H49"/>
      <c r="I49"/>
    </row>
  </sheetData>
  <mergeCells count="3">
    <mergeCell ref="G9:I10"/>
    <mergeCell ref="D9:F10"/>
    <mergeCell ref="C1:G2"/>
  </mergeCells>
  <hyperlinks>
    <hyperlink ref="G26" r:id="rId1" xr:uid="{00000000-0004-0000-0200-000000000000}"/>
    <hyperlink ref="G45" r:id="rId2" xr:uid="{00000000-0004-0000-0200-000001000000}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rgb="FFFF0000"/>
  </sheetPr>
  <dimension ref="A1:I49"/>
  <sheetViews>
    <sheetView view="pageBreakPreview" topLeftCell="A31" zoomScale="130" zoomScaleNormal="100" zoomScaleSheetLayoutView="130" zoomScalePageLayoutView="85" workbookViewId="0"/>
  </sheetViews>
  <sheetFormatPr defaultRowHeight="15"/>
  <cols>
    <col min="1" max="16384" width="9.140625" style="13"/>
  </cols>
  <sheetData>
    <row r="1" spans="1:9" ht="15" customHeight="1">
      <c r="A1" s="70"/>
      <c r="B1" s="70"/>
      <c r="C1" s="109" t="s">
        <v>294</v>
      </c>
      <c r="D1" s="109"/>
      <c r="E1" s="109"/>
      <c r="F1" s="109"/>
      <c r="G1" s="109"/>
      <c r="H1" s="70"/>
      <c r="I1" s="70"/>
    </row>
    <row r="2" spans="1:9" ht="15" customHeight="1">
      <c r="A2" s="70"/>
      <c r="B2" s="70"/>
      <c r="C2" s="109"/>
      <c r="D2" s="109"/>
      <c r="E2" s="109"/>
      <c r="F2" s="109"/>
      <c r="G2" s="109"/>
      <c r="H2" s="70"/>
      <c r="I2" s="70"/>
    </row>
    <row r="3" spans="1:9">
      <c r="A3" s="72" t="s">
        <v>295</v>
      </c>
      <c r="B3" s="72"/>
      <c r="C3" s="72" t="s">
        <v>296</v>
      </c>
      <c r="D3" s="72"/>
      <c r="E3" s="72"/>
      <c r="F3" s="72" t="s">
        <v>297</v>
      </c>
      <c r="G3" s="72"/>
      <c r="H3" s="71" t="s">
        <v>298</v>
      </c>
      <c r="I3" s="71"/>
    </row>
    <row r="9" spans="1:9">
      <c r="D9" s="69"/>
      <c r="G9" s="69"/>
    </row>
    <row r="14" spans="1:9">
      <c r="F14" s="79" t="s">
        <v>308</v>
      </c>
    </row>
    <row r="25" spans="6:6">
      <c r="F25" s="79" t="s">
        <v>308</v>
      </c>
    </row>
    <row r="36" spans="6:6">
      <c r="F36" s="79" t="s">
        <v>308</v>
      </c>
    </row>
    <row r="47" spans="6:6">
      <c r="F47" s="80" t="s">
        <v>308</v>
      </c>
    </row>
    <row r="49" customFormat="1"/>
  </sheetData>
  <mergeCells count="1">
    <mergeCell ref="C1:G2"/>
  </mergeCells>
  <hyperlinks>
    <hyperlink ref="F14" r:id="rId1" xr:uid="{00000000-0004-0000-0300-000000000000}"/>
    <hyperlink ref="F25" r:id="rId2" xr:uid="{00000000-0004-0000-0300-000001000000}"/>
    <hyperlink ref="F36" r:id="rId3" xr:uid="{00000000-0004-0000-0300-000002000000}"/>
    <hyperlink ref="F47" r:id="rId4" xr:uid="{00000000-0004-0000-0300-000003000000}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154"/>
  <sheetViews>
    <sheetView tabSelected="1" topLeftCell="B1" zoomScaleNormal="100" workbookViewId="0">
      <selection activeCell="L19" sqref="L19"/>
    </sheetView>
  </sheetViews>
  <sheetFormatPr defaultRowHeight="15"/>
  <cols>
    <col min="1" max="1" width="9.85546875" bestFit="1" customWidth="1"/>
    <col min="2" max="2" width="9.42578125" bestFit="1" customWidth="1"/>
    <col min="9" max="10" width="11.85546875" style="17" bestFit="1" customWidth="1"/>
    <col min="11" max="11" width="11.42578125" customWidth="1"/>
    <col min="12" max="13" width="19.42578125" style="23" bestFit="1" customWidth="1"/>
  </cols>
  <sheetData>
    <row r="1" spans="1:22">
      <c r="A1" s="44" t="str">
        <f ca="1">TEXT(TODAY(), "yyyymm")</f>
        <v>201904</v>
      </c>
      <c r="C1" t="s">
        <v>74</v>
      </c>
      <c r="S1" t="s">
        <v>75</v>
      </c>
      <c r="T1" t="s">
        <v>76</v>
      </c>
    </row>
    <row r="2" spans="1:22" ht="26.25">
      <c r="C2" t="s">
        <v>75</v>
      </c>
      <c r="D2" t="s">
        <v>76</v>
      </c>
      <c r="E2" t="s">
        <v>77</v>
      </c>
      <c r="I2" s="26" t="s">
        <v>122</v>
      </c>
      <c r="L2" s="38" t="s">
        <v>114</v>
      </c>
      <c r="R2" s="8" t="s">
        <v>475</v>
      </c>
      <c r="S2" s="7" t="s">
        <v>78</v>
      </c>
      <c r="T2" s="7" t="s">
        <v>79</v>
      </c>
    </row>
    <row r="3" spans="1:22">
      <c r="A3" s="8" t="s">
        <v>264</v>
      </c>
      <c r="B3" s="8" t="s">
        <v>0</v>
      </c>
      <c r="C3" s="7" t="s">
        <v>78</v>
      </c>
      <c r="D3" s="7" t="s">
        <v>79</v>
      </c>
      <c r="E3" s="7" t="s">
        <v>80</v>
      </c>
      <c r="F3" s="7" t="s">
        <v>81</v>
      </c>
      <c r="G3" s="7" t="s">
        <v>315</v>
      </c>
      <c r="H3" s="7"/>
      <c r="R3" t="s">
        <v>7</v>
      </c>
      <c r="S3" t="s">
        <v>377</v>
      </c>
      <c r="T3" t="s">
        <v>378</v>
      </c>
    </row>
    <row r="4" spans="1:22">
      <c r="A4" t="s">
        <v>7</v>
      </c>
      <c r="C4" t="s">
        <v>377</v>
      </c>
      <c r="D4" t="s">
        <v>378</v>
      </c>
      <c r="E4" t="s">
        <v>379</v>
      </c>
      <c r="F4" t="s">
        <v>381</v>
      </c>
      <c r="G4" t="s">
        <v>383</v>
      </c>
      <c r="I4" s="17" t="s">
        <v>107</v>
      </c>
      <c r="J4" s="17" t="s">
        <v>107</v>
      </c>
      <c r="L4" s="23" t="s">
        <v>106</v>
      </c>
      <c r="M4" s="23" t="s">
        <v>106</v>
      </c>
      <c r="R4" t="s">
        <v>310</v>
      </c>
      <c r="S4" t="s">
        <v>494</v>
      </c>
      <c r="T4" t="s">
        <v>494</v>
      </c>
    </row>
    <row r="5" spans="1:22" ht="45">
      <c r="A5" t="s">
        <v>10</v>
      </c>
      <c r="C5" t="s">
        <v>376</v>
      </c>
      <c r="D5" t="s">
        <v>376</v>
      </c>
      <c r="E5" t="s">
        <v>376</v>
      </c>
      <c r="F5" t="s">
        <v>380</v>
      </c>
      <c r="G5" t="s">
        <v>382</v>
      </c>
      <c r="I5" s="18" t="s">
        <v>105</v>
      </c>
      <c r="J5" s="18" t="s">
        <v>104</v>
      </c>
      <c r="K5" s="22"/>
      <c r="L5" s="24" t="s">
        <v>105</v>
      </c>
      <c r="M5" s="24" t="s">
        <v>104</v>
      </c>
      <c r="R5" t="s">
        <v>476</v>
      </c>
      <c r="S5" s="10">
        <v>5106.333333333333</v>
      </c>
      <c r="T5" s="10">
        <v>14287.333333333334</v>
      </c>
      <c r="V5" s="10">
        <f>T5+S5</f>
        <v>19393.666666666668</v>
      </c>
    </row>
    <row r="6" spans="1:22">
      <c r="A6" t="s">
        <v>11</v>
      </c>
      <c r="C6" t="s">
        <v>512</v>
      </c>
      <c r="D6" t="s">
        <v>512</v>
      </c>
      <c r="E6" t="s">
        <v>512</v>
      </c>
      <c r="F6" t="s">
        <v>513</v>
      </c>
      <c r="G6" t="s">
        <v>514</v>
      </c>
      <c r="R6" t="s">
        <v>477</v>
      </c>
      <c r="S6" s="10">
        <v>5124.333333333333</v>
      </c>
      <c r="T6" s="10">
        <v>14336</v>
      </c>
      <c r="V6" s="10">
        <f t="shared" ref="V6:V50" si="0">T6+S6</f>
        <v>19460.333333333332</v>
      </c>
    </row>
    <row r="7" spans="1:22">
      <c r="A7" t="s">
        <v>212</v>
      </c>
      <c r="B7" s="9">
        <v>39752</v>
      </c>
      <c r="C7" s="10">
        <v>5182</v>
      </c>
      <c r="D7" s="10">
        <v>14595</v>
      </c>
      <c r="E7" s="11">
        <v>2035</v>
      </c>
      <c r="F7" s="10">
        <v>0</v>
      </c>
      <c r="G7" s="10">
        <v>1</v>
      </c>
      <c r="H7" s="10">
        <v>1000</v>
      </c>
      <c r="I7" s="19" t="e">
        <f>IF(C7&lt;&gt;"", ((C7+D7)-(C6+D6))*1000, "")</f>
        <v>#VALUE!</v>
      </c>
      <c r="J7" s="19" t="str">
        <f>IF(I6&lt;&gt;"", IF(I7&lt;&gt;"", (AVERAGE(I5:I7)), ""), "")</f>
        <v/>
      </c>
      <c r="L7" s="25" t="e">
        <v>#N/A</v>
      </c>
      <c r="M7" s="25" t="e">
        <v>#N/A</v>
      </c>
      <c r="N7" s="11">
        <f>(C7+D7)/1000</f>
        <v>19.777000000000001</v>
      </c>
      <c r="R7" t="s">
        <v>478</v>
      </c>
      <c r="S7" s="10">
        <v>5122</v>
      </c>
      <c r="T7" s="10">
        <v>14369.333333333334</v>
      </c>
      <c r="U7" s="10"/>
      <c r="V7" s="10">
        <f t="shared" si="0"/>
        <v>19491.333333333336</v>
      </c>
    </row>
    <row r="8" spans="1:22">
      <c r="A8" t="s">
        <v>213</v>
      </c>
      <c r="B8" s="9">
        <v>39782</v>
      </c>
      <c r="C8" s="10">
        <v>5194</v>
      </c>
      <c r="D8" s="10">
        <v>14588</v>
      </c>
      <c r="E8" s="11">
        <v>2044.7</v>
      </c>
      <c r="F8" s="10">
        <v>1</v>
      </c>
      <c r="G8" s="10">
        <v>1</v>
      </c>
      <c r="H8" s="10"/>
      <c r="I8" s="19">
        <f>IF(C8&lt;&gt;"", ((C8+D8)-(C7+D7))*1000, "")</f>
        <v>5000</v>
      </c>
      <c r="J8" s="19" t="e">
        <f>IF(I7&lt;&gt;"", IF(I8&lt;&gt;"", (AVERAGE(I6:I8)), ""), "")</f>
        <v>#VALUE!</v>
      </c>
      <c r="K8" s="11"/>
      <c r="L8" s="25">
        <f>IF(E8&lt;&gt;"", ((E8-F8)-(E7-F7))*1000, "")</f>
        <v>8700.0000000000455</v>
      </c>
      <c r="M8" s="25" t="e">
        <v>#N/A</v>
      </c>
      <c r="N8" s="11">
        <f t="shared" ref="N8:N71" si="1">(C8+D8)/1000</f>
        <v>19.782</v>
      </c>
      <c r="R8" t="s">
        <v>479</v>
      </c>
      <c r="S8" s="10">
        <v>5136</v>
      </c>
      <c r="T8" s="10">
        <v>14455</v>
      </c>
      <c r="U8" s="11"/>
      <c r="V8" s="10">
        <f t="shared" si="0"/>
        <v>19591</v>
      </c>
    </row>
    <row r="9" spans="1:22">
      <c r="A9" t="s">
        <v>214</v>
      </c>
      <c r="B9" s="9">
        <v>39813</v>
      </c>
      <c r="C9" s="10">
        <v>5191</v>
      </c>
      <c r="D9" s="10">
        <v>14590</v>
      </c>
      <c r="E9" s="11">
        <v>2049.6</v>
      </c>
      <c r="F9" s="10">
        <v>3</v>
      </c>
      <c r="G9" s="10">
        <v>1</v>
      </c>
      <c r="H9" s="10"/>
      <c r="I9" s="19">
        <f t="shared" ref="I9:I72" si="2">IF(C9&lt;&gt;"", ((C9+D9)-(C8+D8))*1000, "")</f>
        <v>-1000</v>
      </c>
      <c r="J9" s="19" t="e">
        <f t="shared" ref="J9:J72" si="3">IF(I8&lt;&gt;"", IF(I9&lt;&gt;"", (AVERAGE(I7:I9)), ""), "")</f>
        <v>#VALUE!</v>
      </c>
      <c r="K9" s="11"/>
      <c r="L9" s="25">
        <f t="shared" ref="L9:L72" si="4">IF(E9&lt;&gt;"", ((E9-F9)-(E8-F8))*1000, "")</f>
        <v>2899.9999999998636</v>
      </c>
      <c r="M9" s="25" t="e">
        <v>#N/A</v>
      </c>
      <c r="N9" s="11">
        <f t="shared" si="1"/>
        <v>19.780999999999999</v>
      </c>
      <c r="R9" t="s">
        <v>480</v>
      </c>
      <c r="S9" s="10">
        <v>5148.666666666667</v>
      </c>
      <c r="T9" s="10">
        <v>14521.666666666666</v>
      </c>
      <c r="U9" s="11"/>
      <c r="V9" s="10">
        <f t="shared" si="0"/>
        <v>19670.333333333332</v>
      </c>
    </row>
    <row r="10" spans="1:22">
      <c r="A10" t="s">
        <v>144</v>
      </c>
      <c r="B10" s="9">
        <v>39844</v>
      </c>
      <c r="C10" s="10">
        <v>5206</v>
      </c>
      <c r="D10" s="10">
        <v>14587</v>
      </c>
      <c r="E10" s="11">
        <v>2059.5</v>
      </c>
      <c r="F10" s="10">
        <v>5</v>
      </c>
      <c r="G10" s="10">
        <v>1</v>
      </c>
      <c r="H10" s="10"/>
      <c r="I10" s="19">
        <f t="shared" si="2"/>
        <v>12000</v>
      </c>
      <c r="J10" s="19">
        <f t="shared" si="3"/>
        <v>5333.333333333333</v>
      </c>
      <c r="K10" s="11"/>
      <c r="L10" s="25">
        <f t="shared" si="4"/>
        <v>7900.0000000000909</v>
      </c>
      <c r="M10" s="43">
        <f>IF(L9&lt;&gt;"", IF(L10&lt;&gt;"", AVERAGE(L8:L10), ""), "")</f>
        <v>6500</v>
      </c>
      <c r="N10" s="11">
        <f t="shared" si="1"/>
        <v>19.792999999999999</v>
      </c>
      <c r="R10" t="s">
        <v>481</v>
      </c>
      <c r="S10" s="10">
        <v>5166</v>
      </c>
      <c r="T10" s="10">
        <v>14560.333333333334</v>
      </c>
      <c r="V10" s="10">
        <f t="shared" si="0"/>
        <v>19726.333333333336</v>
      </c>
    </row>
    <row r="11" spans="1:22">
      <c r="A11" t="s">
        <v>145</v>
      </c>
      <c r="B11" s="9">
        <v>39872</v>
      </c>
      <c r="C11" s="10">
        <v>5190</v>
      </c>
      <c r="D11" s="10">
        <v>14591</v>
      </c>
      <c r="E11" s="11">
        <v>2068.1999999999998</v>
      </c>
      <c r="F11" s="10">
        <v>6</v>
      </c>
      <c r="G11" s="10">
        <v>1</v>
      </c>
      <c r="H11" s="10"/>
      <c r="I11" s="19">
        <f t="shared" si="2"/>
        <v>-12000</v>
      </c>
      <c r="J11" s="19">
        <f t="shared" si="3"/>
        <v>-333.33333333333331</v>
      </c>
      <c r="K11" s="11"/>
      <c r="L11" s="25">
        <f t="shared" si="4"/>
        <v>7699.9999999998181</v>
      </c>
      <c r="M11" s="43">
        <f t="shared" ref="M11:M74" si="5">IF(L10&lt;&gt;"", IF(L11&lt;&gt;"", AVERAGE(L9:L11), ""), "")</f>
        <v>6166.6666666665915</v>
      </c>
      <c r="N11" s="11">
        <f t="shared" si="1"/>
        <v>19.780999999999999</v>
      </c>
      <c r="R11" t="s">
        <v>482</v>
      </c>
      <c r="S11" s="10">
        <v>5196.333333333333</v>
      </c>
      <c r="T11" s="10">
        <v>14594</v>
      </c>
      <c r="V11" s="10">
        <f t="shared" si="0"/>
        <v>19790.333333333332</v>
      </c>
    </row>
    <row r="12" spans="1:22">
      <c r="A12" t="s">
        <v>146</v>
      </c>
      <c r="B12" s="9">
        <v>39903</v>
      </c>
      <c r="C12" s="10">
        <v>5180</v>
      </c>
      <c r="D12" s="10">
        <v>14583</v>
      </c>
      <c r="E12" s="11">
        <v>2075</v>
      </c>
      <c r="F12" s="10">
        <v>12</v>
      </c>
      <c r="G12" s="10">
        <v>1</v>
      </c>
      <c r="H12" s="10"/>
      <c r="I12" s="19">
        <f t="shared" si="2"/>
        <v>-18000</v>
      </c>
      <c r="J12" s="19">
        <f t="shared" si="3"/>
        <v>-6000</v>
      </c>
      <c r="K12" s="11"/>
      <c r="L12" s="25">
        <f t="shared" si="4"/>
        <v>800.0000000001819</v>
      </c>
      <c r="M12" s="43">
        <f t="shared" si="5"/>
        <v>5466.666666666697</v>
      </c>
      <c r="N12" s="11">
        <f t="shared" si="1"/>
        <v>19.763000000000002</v>
      </c>
      <c r="R12" t="s">
        <v>483</v>
      </c>
      <c r="S12" s="10">
        <v>5189</v>
      </c>
      <c r="T12" s="10">
        <v>14591</v>
      </c>
      <c r="V12" s="10">
        <f t="shared" si="0"/>
        <v>19780</v>
      </c>
    </row>
    <row r="13" spans="1:22">
      <c r="A13" t="s">
        <v>147</v>
      </c>
      <c r="B13" s="9">
        <v>39933</v>
      </c>
      <c r="C13" s="10">
        <v>5182</v>
      </c>
      <c r="D13" s="10">
        <v>14573</v>
      </c>
      <c r="E13" s="11">
        <v>2200.8000000000002</v>
      </c>
      <c r="F13" s="10">
        <v>126</v>
      </c>
      <c r="G13" s="10">
        <v>1</v>
      </c>
      <c r="H13" s="10"/>
      <c r="I13" s="19">
        <f t="shared" si="2"/>
        <v>-8000</v>
      </c>
      <c r="J13" s="19">
        <f t="shared" si="3"/>
        <v>-12666.666666666666</v>
      </c>
      <c r="K13" s="11"/>
      <c r="L13" s="25">
        <f t="shared" si="4"/>
        <v>11800.000000000182</v>
      </c>
      <c r="M13" s="43">
        <f t="shared" si="5"/>
        <v>6766.666666666727</v>
      </c>
      <c r="N13" s="11">
        <f t="shared" si="1"/>
        <v>19.754999999999999</v>
      </c>
      <c r="R13" t="s">
        <v>319</v>
      </c>
      <c r="S13" s="10">
        <v>5192</v>
      </c>
      <c r="T13" s="10">
        <v>14587</v>
      </c>
      <c r="V13" s="10">
        <f t="shared" si="0"/>
        <v>19779</v>
      </c>
    </row>
    <row r="14" spans="1:22">
      <c r="A14" t="s">
        <v>148</v>
      </c>
      <c r="B14" s="9">
        <v>39964</v>
      </c>
      <c r="C14" s="10">
        <v>5187</v>
      </c>
      <c r="D14" s="10">
        <v>14570</v>
      </c>
      <c r="E14" s="11">
        <v>2151.6</v>
      </c>
      <c r="F14" s="10">
        <v>69</v>
      </c>
      <c r="G14" s="10">
        <v>1</v>
      </c>
      <c r="H14" s="10"/>
      <c r="I14" s="19">
        <f t="shared" si="2"/>
        <v>2000</v>
      </c>
      <c r="J14" s="19">
        <f t="shared" si="3"/>
        <v>-8000</v>
      </c>
      <c r="K14" s="11"/>
      <c r="L14" s="25">
        <f t="shared" si="4"/>
        <v>7799.9999999997272</v>
      </c>
      <c r="M14" s="43">
        <f t="shared" si="5"/>
        <v>6800.00000000003</v>
      </c>
      <c r="N14" s="11">
        <f t="shared" si="1"/>
        <v>19.757000000000001</v>
      </c>
      <c r="R14" t="s">
        <v>320</v>
      </c>
      <c r="S14" s="10">
        <v>5181.666666666667</v>
      </c>
      <c r="T14" s="10">
        <v>14576.333333333334</v>
      </c>
      <c r="V14" s="10">
        <f t="shared" si="0"/>
        <v>19758</v>
      </c>
    </row>
    <row r="15" spans="1:22">
      <c r="A15" t="s">
        <v>149</v>
      </c>
      <c r="B15" s="9">
        <v>39994</v>
      </c>
      <c r="C15" s="10">
        <v>5176</v>
      </c>
      <c r="D15" s="10">
        <v>14586</v>
      </c>
      <c r="E15" s="11">
        <v>2109</v>
      </c>
      <c r="F15" s="10">
        <v>9</v>
      </c>
      <c r="G15" s="10">
        <v>1</v>
      </c>
      <c r="H15" s="10"/>
      <c r="I15" s="19">
        <f t="shared" si="2"/>
        <v>5000</v>
      </c>
      <c r="J15" s="19">
        <f t="shared" si="3"/>
        <v>-333.33333333333331</v>
      </c>
      <c r="K15" s="11"/>
      <c r="L15" s="25">
        <f t="shared" si="4"/>
        <v>17400.000000000091</v>
      </c>
      <c r="M15" s="43">
        <f t="shared" si="5"/>
        <v>12333.333333333334</v>
      </c>
      <c r="N15" s="11">
        <f t="shared" si="1"/>
        <v>19.762</v>
      </c>
      <c r="R15" t="s">
        <v>321</v>
      </c>
      <c r="S15" s="10">
        <v>5145.333333333333</v>
      </c>
      <c r="T15" s="10">
        <v>14532</v>
      </c>
      <c r="V15" s="10">
        <f t="shared" si="0"/>
        <v>19677.333333333332</v>
      </c>
    </row>
    <row r="16" spans="1:22">
      <c r="A16" t="s">
        <v>150</v>
      </c>
      <c r="B16" s="9">
        <v>40025</v>
      </c>
      <c r="C16" s="10">
        <v>5122</v>
      </c>
      <c r="D16" s="10">
        <v>14573</v>
      </c>
      <c r="E16" s="11">
        <v>2119.8000000000002</v>
      </c>
      <c r="F16" s="10">
        <v>4</v>
      </c>
      <c r="G16" s="10">
        <v>0</v>
      </c>
      <c r="H16" s="10"/>
      <c r="I16" s="19">
        <f t="shared" si="2"/>
        <v>-67000</v>
      </c>
      <c r="J16" s="19">
        <f t="shared" si="3"/>
        <v>-20000</v>
      </c>
      <c r="K16" s="11"/>
      <c r="L16" s="25">
        <f t="shared" si="4"/>
        <v>15800.000000000182</v>
      </c>
      <c r="M16" s="43">
        <f t="shared" si="5"/>
        <v>13666.666666666666</v>
      </c>
      <c r="N16" s="11">
        <f t="shared" si="1"/>
        <v>19.695</v>
      </c>
      <c r="R16" t="s">
        <v>322</v>
      </c>
      <c r="S16" s="10">
        <v>5153.333333333333</v>
      </c>
      <c r="T16" s="10">
        <v>14521</v>
      </c>
      <c r="V16" s="10">
        <f t="shared" si="0"/>
        <v>19674.333333333332</v>
      </c>
    </row>
    <row r="17" spans="1:22">
      <c r="A17" t="s">
        <v>151</v>
      </c>
      <c r="B17" s="9">
        <v>40056</v>
      </c>
      <c r="C17" s="10">
        <v>5170</v>
      </c>
      <c r="D17" s="10">
        <v>14542</v>
      </c>
      <c r="E17" s="11">
        <v>2129.6999999999998</v>
      </c>
      <c r="F17" s="10">
        <v>5</v>
      </c>
      <c r="G17" s="10">
        <v>0</v>
      </c>
      <c r="H17" s="10"/>
      <c r="I17" s="19">
        <f t="shared" si="2"/>
        <v>17000</v>
      </c>
      <c r="J17" s="19">
        <f t="shared" si="3"/>
        <v>-15000</v>
      </c>
      <c r="K17" s="11"/>
      <c r="L17" s="25">
        <f t="shared" si="4"/>
        <v>8899.9999999996362</v>
      </c>
      <c r="M17" s="43">
        <f t="shared" si="5"/>
        <v>14033.333333333305</v>
      </c>
      <c r="N17" s="11">
        <f t="shared" si="1"/>
        <v>19.712</v>
      </c>
      <c r="R17" t="s">
        <v>323</v>
      </c>
      <c r="S17" s="10">
        <v>5144</v>
      </c>
      <c r="T17" s="10">
        <v>14466</v>
      </c>
      <c r="V17" s="10">
        <f t="shared" si="0"/>
        <v>19610</v>
      </c>
    </row>
    <row r="18" spans="1:22">
      <c r="A18" t="s">
        <v>152</v>
      </c>
      <c r="B18" s="9">
        <v>40086</v>
      </c>
      <c r="C18" s="10">
        <v>5144</v>
      </c>
      <c r="D18" s="10">
        <v>14481</v>
      </c>
      <c r="E18" s="11">
        <v>2136.6</v>
      </c>
      <c r="F18" s="10">
        <v>8</v>
      </c>
      <c r="G18" s="10">
        <v>0</v>
      </c>
      <c r="H18" s="10"/>
      <c r="I18" s="19">
        <f t="shared" si="2"/>
        <v>-87000</v>
      </c>
      <c r="J18" s="19">
        <f t="shared" si="3"/>
        <v>-45666.666666666664</v>
      </c>
      <c r="K18" s="11"/>
      <c r="L18" s="25">
        <f t="shared" si="4"/>
        <v>3900.0000000000909</v>
      </c>
      <c r="M18" s="43">
        <f t="shared" si="5"/>
        <v>9533.333333333303</v>
      </c>
      <c r="N18" s="11">
        <f t="shared" si="1"/>
        <v>19.625</v>
      </c>
      <c r="R18" t="s">
        <v>324</v>
      </c>
      <c r="S18" s="10">
        <v>5136.666666666667</v>
      </c>
      <c r="T18" s="10">
        <v>14434</v>
      </c>
      <c r="V18" s="10">
        <f t="shared" si="0"/>
        <v>19570.666666666668</v>
      </c>
    </row>
    <row r="19" spans="1:22">
      <c r="A19" t="s">
        <v>153</v>
      </c>
      <c r="B19" s="9">
        <v>40117</v>
      </c>
      <c r="C19" s="10">
        <v>5158</v>
      </c>
      <c r="D19" s="10">
        <v>14523</v>
      </c>
      <c r="E19" s="11">
        <v>2156.6</v>
      </c>
      <c r="F19" s="10">
        <v>17</v>
      </c>
      <c r="G19" s="10">
        <v>0</v>
      </c>
      <c r="H19" s="10"/>
      <c r="I19" s="19">
        <f t="shared" si="2"/>
        <v>56000</v>
      </c>
      <c r="J19" s="19">
        <f t="shared" si="3"/>
        <v>-4666.666666666667</v>
      </c>
      <c r="K19" s="11" t="e">
        <f>(I19/I7)-1</f>
        <v>#VALUE!</v>
      </c>
      <c r="L19" s="25">
        <f t="shared" si="4"/>
        <v>11000</v>
      </c>
      <c r="M19" s="43">
        <f t="shared" si="5"/>
        <v>7933.3333333332421</v>
      </c>
      <c r="N19" s="11">
        <f t="shared" si="1"/>
        <v>19.681000000000001</v>
      </c>
      <c r="R19" t="s">
        <v>325</v>
      </c>
      <c r="S19" s="10">
        <v>5129.333333333333</v>
      </c>
      <c r="T19" s="10">
        <v>14327.666666666666</v>
      </c>
      <c r="V19" s="10">
        <f t="shared" si="0"/>
        <v>19457</v>
      </c>
    </row>
    <row r="20" spans="1:22">
      <c r="A20" t="s">
        <v>154</v>
      </c>
      <c r="B20" s="9">
        <v>40147</v>
      </c>
      <c r="C20" s="10">
        <v>5152</v>
      </c>
      <c r="D20" s="10">
        <v>14539</v>
      </c>
      <c r="E20" s="11">
        <v>2159</v>
      </c>
      <c r="F20" s="10">
        <v>13</v>
      </c>
      <c r="G20" s="10">
        <v>0</v>
      </c>
      <c r="H20" s="10"/>
      <c r="I20" s="19">
        <f t="shared" si="2"/>
        <v>10000</v>
      </c>
      <c r="J20" s="19">
        <f t="shared" si="3"/>
        <v>-7000</v>
      </c>
      <c r="K20" s="11">
        <f t="shared" ref="K20:K83" si="6">(I20/I8)-1</f>
        <v>1</v>
      </c>
      <c r="L20" s="25">
        <f t="shared" si="4"/>
        <v>6400.0000000000909</v>
      </c>
      <c r="M20" s="43">
        <f t="shared" si="5"/>
        <v>7100.0000000000609</v>
      </c>
      <c r="N20" s="11">
        <f t="shared" si="1"/>
        <v>19.690999999999999</v>
      </c>
      <c r="R20" t="s">
        <v>326</v>
      </c>
      <c r="S20" s="10">
        <v>5137</v>
      </c>
      <c r="T20" s="10">
        <v>14279</v>
      </c>
      <c r="V20" s="10">
        <f t="shared" si="0"/>
        <v>19416</v>
      </c>
    </row>
    <row r="21" spans="1:22">
      <c r="A21" t="s">
        <v>155</v>
      </c>
      <c r="B21" s="9">
        <v>40178</v>
      </c>
      <c r="C21" s="10">
        <v>5150</v>
      </c>
      <c r="D21" s="10">
        <v>14501</v>
      </c>
      <c r="E21" s="11">
        <v>2170.1999999999998</v>
      </c>
      <c r="F21" s="10">
        <v>15</v>
      </c>
      <c r="G21" s="10">
        <v>0</v>
      </c>
      <c r="H21" s="10"/>
      <c r="I21" s="19">
        <f t="shared" si="2"/>
        <v>-40000</v>
      </c>
      <c r="J21" s="19">
        <f t="shared" si="3"/>
        <v>8666.6666666666661</v>
      </c>
      <c r="K21" s="11">
        <f t="shared" si="6"/>
        <v>39</v>
      </c>
      <c r="L21" s="25">
        <f t="shared" si="4"/>
        <v>9199.9999999998181</v>
      </c>
      <c r="M21" s="43">
        <f t="shared" si="5"/>
        <v>8866.666666666637</v>
      </c>
      <c r="N21" s="11">
        <f t="shared" si="1"/>
        <v>19.651</v>
      </c>
      <c r="R21" t="s">
        <v>327</v>
      </c>
      <c r="S21" s="10">
        <v>5113.333333333333</v>
      </c>
      <c r="T21" s="10">
        <v>14232.666666666666</v>
      </c>
      <c r="V21" s="10">
        <f t="shared" si="0"/>
        <v>19346</v>
      </c>
    </row>
    <row r="22" spans="1:22">
      <c r="A22" t="s">
        <v>156</v>
      </c>
      <c r="B22" s="9">
        <v>40209</v>
      </c>
      <c r="C22" s="10">
        <v>5145</v>
      </c>
      <c r="D22" s="10">
        <v>14486</v>
      </c>
      <c r="E22" s="11">
        <v>2183.6999999999998</v>
      </c>
      <c r="F22" s="10">
        <v>24</v>
      </c>
      <c r="G22" s="10">
        <v>0</v>
      </c>
      <c r="H22" s="10"/>
      <c r="I22" s="19">
        <f t="shared" si="2"/>
        <v>-20000</v>
      </c>
      <c r="J22" s="19">
        <f t="shared" si="3"/>
        <v>-16666.666666666668</v>
      </c>
      <c r="K22" s="11">
        <f t="shared" si="6"/>
        <v>-2.666666666666667</v>
      </c>
      <c r="L22" s="25">
        <f t="shared" si="4"/>
        <v>4500</v>
      </c>
      <c r="M22" s="43">
        <f t="shared" si="5"/>
        <v>6699.99999999997</v>
      </c>
      <c r="N22" s="11">
        <f t="shared" si="1"/>
        <v>19.631</v>
      </c>
      <c r="R22" t="s">
        <v>328</v>
      </c>
      <c r="S22" s="10">
        <v>5084.333333333333</v>
      </c>
      <c r="T22" s="10">
        <v>14207.666666666666</v>
      </c>
      <c r="V22" s="10">
        <f t="shared" si="0"/>
        <v>19292</v>
      </c>
    </row>
    <row r="23" spans="1:22">
      <c r="A23" t="s">
        <v>157</v>
      </c>
      <c r="B23" s="9">
        <v>40237</v>
      </c>
      <c r="C23" s="10">
        <v>5147</v>
      </c>
      <c r="D23" s="10">
        <v>14457</v>
      </c>
      <c r="E23" s="11">
        <v>2203.8000000000002</v>
      </c>
      <c r="F23" s="10">
        <v>39</v>
      </c>
      <c r="G23" s="10">
        <v>0</v>
      </c>
      <c r="H23" s="10"/>
      <c r="I23" s="19">
        <f t="shared" si="2"/>
        <v>-27000</v>
      </c>
      <c r="J23" s="19">
        <f t="shared" si="3"/>
        <v>-29000</v>
      </c>
      <c r="K23" s="11">
        <f t="shared" si="6"/>
        <v>1.25</v>
      </c>
      <c r="L23" s="25">
        <f t="shared" si="4"/>
        <v>5100.0000000003638</v>
      </c>
      <c r="M23" s="43">
        <f t="shared" si="5"/>
        <v>6266.666666666727</v>
      </c>
      <c r="N23" s="11">
        <f t="shared" si="1"/>
        <v>19.603999999999999</v>
      </c>
      <c r="R23" t="s">
        <v>329</v>
      </c>
      <c r="S23" s="10">
        <v>5069.666666666667</v>
      </c>
      <c r="T23" s="10">
        <v>14094</v>
      </c>
      <c r="V23" s="10">
        <f t="shared" si="0"/>
        <v>19163.666666666668</v>
      </c>
    </row>
    <row r="24" spans="1:22">
      <c r="A24" t="s">
        <v>158</v>
      </c>
      <c r="B24" s="9">
        <v>40268</v>
      </c>
      <c r="C24" s="10">
        <v>5140</v>
      </c>
      <c r="D24" s="10">
        <v>14455</v>
      </c>
      <c r="E24" s="11">
        <v>2258.5</v>
      </c>
      <c r="F24" s="10">
        <v>87</v>
      </c>
      <c r="G24" s="10">
        <v>0</v>
      </c>
      <c r="H24" s="10"/>
      <c r="I24" s="19">
        <f t="shared" si="2"/>
        <v>-9000</v>
      </c>
      <c r="J24" s="19">
        <f t="shared" si="3"/>
        <v>-18666.666666666668</v>
      </c>
      <c r="K24" s="11">
        <f t="shared" si="6"/>
        <v>-0.5</v>
      </c>
      <c r="L24" s="25">
        <f t="shared" si="4"/>
        <v>6699.9999999998181</v>
      </c>
      <c r="M24" s="43">
        <f t="shared" si="5"/>
        <v>5433.333333333394</v>
      </c>
      <c r="N24" s="11">
        <f t="shared" si="1"/>
        <v>19.594999999999999</v>
      </c>
      <c r="R24" t="s">
        <v>330</v>
      </c>
      <c r="S24" s="10">
        <v>5051</v>
      </c>
      <c r="T24" s="10">
        <v>14080.666666666666</v>
      </c>
      <c r="V24" s="10">
        <f t="shared" si="0"/>
        <v>19131.666666666664</v>
      </c>
    </row>
    <row r="25" spans="1:22">
      <c r="A25" t="s">
        <v>159</v>
      </c>
      <c r="B25" s="9">
        <v>40298</v>
      </c>
      <c r="C25" s="10">
        <v>5136</v>
      </c>
      <c r="D25" s="10">
        <v>14449</v>
      </c>
      <c r="E25" s="11">
        <v>2323.3000000000002</v>
      </c>
      <c r="F25" s="10">
        <v>154</v>
      </c>
      <c r="G25" s="10">
        <v>0</v>
      </c>
      <c r="H25" s="10"/>
      <c r="I25" s="19">
        <f t="shared" si="2"/>
        <v>-10000</v>
      </c>
      <c r="J25" s="19">
        <f t="shared" si="3"/>
        <v>-15333.333333333334</v>
      </c>
      <c r="K25" s="11">
        <f t="shared" si="6"/>
        <v>0.25</v>
      </c>
      <c r="L25" s="25">
        <f t="shared" si="4"/>
        <v>-2199.9999999998181</v>
      </c>
      <c r="M25" s="43">
        <f t="shared" si="5"/>
        <v>3200.0000000001214</v>
      </c>
      <c r="N25" s="11">
        <f t="shared" si="1"/>
        <v>19.585000000000001</v>
      </c>
      <c r="R25" t="s">
        <v>331</v>
      </c>
      <c r="S25" s="10">
        <v>5048</v>
      </c>
      <c r="T25" s="10">
        <v>14067.666666666666</v>
      </c>
      <c r="V25" s="10">
        <f t="shared" si="0"/>
        <v>19115.666666666664</v>
      </c>
    </row>
    <row r="26" spans="1:22">
      <c r="A26" t="s">
        <v>160</v>
      </c>
      <c r="B26" s="9">
        <v>40329</v>
      </c>
      <c r="C26" s="10">
        <v>5135</v>
      </c>
      <c r="D26" s="10">
        <v>14445</v>
      </c>
      <c r="E26" s="11">
        <v>2757.1</v>
      </c>
      <c r="F26" s="10">
        <v>564</v>
      </c>
      <c r="G26" s="10">
        <v>0</v>
      </c>
      <c r="H26" s="10"/>
      <c r="I26" s="19">
        <f t="shared" si="2"/>
        <v>-5000</v>
      </c>
      <c r="J26" s="19">
        <f t="shared" si="3"/>
        <v>-8000</v>
      </c>
      <c r="K26" s="11">
        <f t="shared" si="6"/>
        <v>-3.5</v>
      </c>
      <c r="L26" s="25">
        <f t="shared" si="4"/>
        <v>23799.999999999727</v>
      </c>
      <c r="M26" s="43">
        <f t="shared" si="5"/>
        <v>9433.333333333243</v>
      </c>
      <c r="N26" s="11">
        <f t="shared" si="1"/>
        <v>19.579999999999998</v>
      </c>
      <c r="R26" t="s">
        <v>332</v>
      </c>
      <c r="S26" s="10">
        <v>5055.333333333333</v>
      </c>
      <c r="T26" s="10">
        <v>14044.333333333334</v>
      </c>
      <c r="V26" s="10">
        <f t="shared" si="0"/>
        <v>19099.666666666668</v>
      </c>
    </row>
    <row r="27" spans="1:22">
      <c r="A27" t="s">
        <v>161</v>
      </c>
      <c r="B27" s="9">
        <v>40359</v>
      </c>
      <c r="C27" s="10">
        <v>5139</v>
      </c>
      <c r="D27" s="10">
        <v>14408</v>
      </c>
      <c r="E27" s="11">
        <v>2533.8000000000002</v>
      </c>
      <c r="F27" s="10">
        <v>339</v>
      </c>
      <c r="G27" s="10">
        <v>0</v>
      </c>
      <c r="H27" s="10"/>
      <c r="I27" s="19">
        <f t="shared" si="2"/>
        <v>-33000</v>
      </c>
      <c r="J27" s="19">
        <f t="shared" si="3"/>
        <v>-16000</v>
      </c>
      <c r="K27" s="11">
        <f t="shared" si="6"/>
        <v>-7.6</v>
      </c>
      <c r="L27" s="25">
        <f t="shared" si="4"/>
        <v>1700.0000000002728</v>
      </c>
      <c r="M27" s="43">
        <f t="shared" si="5"/>
        <v>7766.666666666727</v>
      </c>
      <c r="N27" s="11">
        <f t="shared" si="1"/>
        <v>19.547000000000001</v>
      </c>
      <c r="R27" t="s">
        <v>333</v>
      </c>
      <c r="S27" s="10">
        <v>5064.666666666667</v>
      </c>
      <c r="T27" s="10">
        <v>14034.333333333334</v>
      </c>
      <c r="V27" s="10">
        <f t="shared" si="0"/>
        <v>19099</v>
      </c>
    </row>
    <row r="28" spans="1:22">
      <c r="A28" t="s">
        <v>162</v>
      </c>
      <c r="B28" s="9">
        <v>40390</v>
      </c>
      <c r="C28" s="10">
        <v>5136</v>
      </c>
      <c r="D28" s="10">
        <v>14382</v>
      </c>
      <c r="E28" s="11">
        <v>2396.4</v>
      </c>
      <c r="F28" s="10">
        <v>196</v>
      </c>
      <c r="G28" s="10">
        <v>0</v>
      </c>
      <c r="H28" s="10"/>
      <c r="I28" s="19">
        <f t="shared" si="2"/>
        <v>-29000</v>
      </c>
      <c r="J28" s="19">
        <f t="shared" si="3"/>
        <v>-22333.333333333332</v>
      </c>
      <c r="K28" s="11">
        <f t="shared" si="6"/>
        <v>-0.56716417910447769</v>
      </c>
      <c r="L28" s="25">
        <f t="shared" si="4"/>
        <v>5599.9999999999091</v>
      </c>
      <c r="M28" s="43">
        <f t="shared" si="5"/>
        <v>10366.666666666637</v>
      </c>
      <c r="N28" s="11">
        <f t="shared" si="1"/>
        <v>19.518000000000001</v>
      </c>
      <c r="R28" t="s">
        <v>334</v>
      </c>
      <c r="S28" s="10">
        <v>5051.666666666667</v>
      </c>
      <c r="T28" s="10">
        <v>14026.333333333334</v>
      </c>
      <c r="V28" s="10">
        <f t="shared" si="0"/>
        <v>19078</v>
      </c>
    </row>
    <row r="29" spans="1:22">
      <c r="A29" t="s">
        <v>163</v>
      </c>
      <c r="B29" s="9">
        <v>40421</v>
      </c>
      <c r="C29" s="10">
        <v>5130</v>
      </c>
      <c r="D29" s="10">
        <v>14345</v>
      </c>
      <c r="E29" s="11">
        <v>2288.5</v>
      </c>
      <c r="F29" s="10">
        <v>82</v>
      </c>
      <c r="G29" s="10">
        <v>0</v>
      </c>
      <c r="H29" s="10"/>
      <c r="I29" s="19">
        <f t="shared" si="2"/>
        <v>-43000</v>
      </c>
      <c r="J29" s="19">
        <f t="shared" si="3"/>
        <v>-35000</v>
      </c>
      <c r="K29" s="11">
        <f t="shared" si="6"/>
        <v>-3.5294117647058822</v>
      </c>
      <c r="L29" s="25">
        <f t="shared" si="4"/>
        <v>6099.9999999999091</v>
      </c>
      <c r="M29" s="43">
        <f t="shared" si="5"/>
        <v>4466.666666666697</v>
      </c>
      <c r="N29" s="11">
        <f t="shared" si="1"/>
        <v>19.475000000000001</v>
      </c>
      <c r="R29" t="s">
        <v>335</v>
      </c>
      <c r="S29" s="10">
        <v>5042</v>
      </c>
      <c r="T29" s="10">
        <v>14029.333333333334</v>
      </c>
      <c r="V29" s="10">
        <f t="shared" si="0"/>
        <v>19071.333333333336</v>
      </c>
    </row>
    <row r="30" spans="1:22">
      <c r="A30" t="s">
        <v>164</v>
      </c>
      <c r="B30" s="9">
        <v>40451</v>
      </c>
      <c r="C30" s="10">
        <v>5122</v>
      </c>
      <c r="D30" s="10">
        <v>14256</v>
      </c>
      <c r="E30" s="11">
        <v>2214.4</v>
      </c>
      <c r="F30" s="10">
        <v>6</v>
      </c>
      <c r="G30" s="10">
        <v>0</v>
      </c>
      <c r="H30" s="10"/>
      <c r="I30" s="19">
        <f t="shared" si="2"/>
        <v>-97000</v>
      </c>
      <c r="J30" s="19">
        <f t="shared" si="3"/>
        <v>-56333.333333333336</v>
      </c>
      <c r="K30" s="11">
        <f t="shared" si="6"/>
        <v>0.11494252873563227</v>
      </c>
      <c r="L30" s="25">
        <f t="shared" si="4"/>
        <v>1900.0000000000909</v>
      </c>
      <c r="M30" s="43">
        <f t="shared" si="5"/>
        <v>4533.333333333303</v>
      </c>
      <c r="N30" s="11">
        <f t="shared" si="1"/>
        <v>19.378</v>
      </c>
      <c r="R30" t="s">
        <v>336</v>
      </c>
      <c r="S30" s="10">
        <v>5044.666666666667</v>
      </c>
      <c r="T30" s="10">
        <v>14033</v>
      </c>
      <c r="V30" s="10">
        <f t="shared" si="0"/>
        <v>19077.666666666668</v>
      </c>
    </row>
    <row r="31" spans="1:22">
      <c r="A31" t="s">
        <v>165</v>
      </c>
      <c r="B31" s="9">
        <v>40482</v>
      </c>
      <c r="C31" s="10">
        <v>5139</v>
      </c>
      <c r="D31" s="10">
        <v>14292</v>
      </c>
      <c r="E31" s="11">
        <v>2214</v>
      </c>
      <c r="F31" s="10">
        <v>1</v>
      </c>
      <c r="G31" s="10">
        <v>0</v>
      </c>
      <c r="H31" s="10"/>
      <c r="I31" s="19">
        <f t="shared" si="2"/>
        <v>53000</v>
      </c>
      <c r="J31" s="19">
        <f t="shared" si="3"/>
        <v>-29000</v>
      </c>
      <c r="K31" s="11">
        <f t="shared" si="6"/>
        <v>-5.3571428571428603E-2</v>
      </c>
      <c r="L31" s="25">
        <f t="shared" si="4"/>
        <v>4599.9999999999091</v>
      </c>
      <c r="M31" s="43">
        <f t="shared" si="5"/>
        <v>4199.99999999997</v>
      </c>
      <c r="N31" s="11">
        <f t="shared" si="1"/>
        <v>19.431000000000001</v>
      </c>
      <c r="R31" t="s">
        <v>337</v>
      </c>
      <c r="S31" s="10">
        <v>5040</v>
      </c>
      <c r="T31" s="10">
        <v>14031</v>
      </c>
      <c r="V31" s="10">
        <f t="shared" si="0"/>
        <v>19071</v>
      </c>
    </row>
    <row r="32" spans="1:22">
      <c r="A32" t="s">
        <v>166</v>
      </c>
      <c r="B32" s="9">
        <v>40512</v>
      </c>
      <c r="C32" s="10">
        <v>5139</v>
      </c>
      <c r="D32" s="10">
        <v>14282</v>
      </c>
      <c r="E32" s="11">
        <v>2215.5</v>
      </c>
      <c r="F32" s="10">
        <v>0</v>
      </c>
      <c r="G32" s="10">
        <v>0</v>
      </c>
      <c r="H32" s="10"/>
      <c r="I32" s="19">
        <f t="shared" si="2"/>
        <v>-10000</v>
      </c>
      <c r="J32" s="19">
        <f t="shared" si="3"/>
        <v>-18000</v>
      </c>
      <c r="K32" s="11">
        <f t="shared" si="6"/>
        <v>-2</v>
      </c>
      <c r="L32" s="25">
        <f t="shared" si="4"/>
        <v>2500</v>
      </c>
      <c r="M32" s="43">
        <f t="shared" si="5"/>
        <v>3000</v>
      </c>
      <c r="N32" s="11">
        <f t="shared" si="1"/>
        <v>19.420999999999999</v>
      </c>
      <c r="R32" t="s">
        <v>338</v>
      </c>
      <c r="S32" s="10">
        <v>5055.333333333333</v>
      </c>
      <c r="T32" s="10">
        <v>14033.666666666666</v>
      </c>
      <c r="V32" s="10">
        <f t="shared" si="0"/>
        <v>19089</v>
      </c>
    </row>
    <row r="33" spans="1:22">
      <c r="A33" t="s">
        <v>167</v>
      </c>
      <c r="B33" s="9">
        <v>40543</v>
      </c>
      <c r="C33" s="10">
        <v>5133</v>
      </c>
      <c r="D33" s="10">
        <v>14263</v>
      </c>
      <c r="E33" s="11">
        <v>2221</v>
      </c>
      <c r="F33" s="10">
        <v>0</v>
      </c>
      <c r="G33" s="10">
        <v>0</v>
      </c>
      <c r="H33" s="10"/>
      <c r="I33" s="19">
        <f t="shared" si="2"/>
        <v>-25000</v>
      </c>
      <c r="J33" s="19">
        <f t="shared" si="3"/>
        <v>6000</v>
      </c>
      <c r="K33" s="11">
        <f t="shared" si="6"/>
        <v>-0.375</v>
      </c>
      <c r="L33" s="25">
        <f t="shared" si="4"/>
        <v>5500</v>
      </c>
      <c r="M33" s="43">
        <f t="shared" si="5"/>
        <v>4199.99999999997</v>
      </c>
      <c r="N33" s="11">
        <f t="shared" si="1"/>
        <v>19.396000000000001</v>
      </c>
      <c r="R33" t="s">
        <v>339</v>
      </c>
      <c r="S33" s="10">
        <v>5054.666666666667</v>
      </c>
      <c r="T33" s="10">
        <v>14037.666666666666</v>
      </c>
      <c r="V33" s="10">
        <f t="shared" si="0"/>
        <v>19092.333333333332</v>
      </c>
    </row>
    <row r="34" spans="1:22">
      <c r="A34" t="s">
        <v>168</v>
      </c>
      <c r="B34" s="9">
        <v>40574</v>
      </c>
      <c r="C34" s="10">
        <v>5138</v>
      </c>
      <c r="D34" s="10">
        <v>14246</v>
      </c>
      <c r="E34" s="11">
        <v>2229.1</v>
      </c>
      <c r="F34" s="10">
        <v>1</v>
      </c>
      <c r="G34" s="10">
        <v>0</v>
      </c>
      <c r="H34" s="10"/>
      <c r="I34" s="19">
        <f t="shared" si="2"/>
        <v>-12000</v>
      </c>
      <c r="J34" s="19">
        <f t="shared" si="3"/>
        <v>-15666.666666666666</v>
      </c>
      <c r="K34" s="11">
        <f t="shared" si="6"/>
        <v>-0.4</v>
      </c>
      <c r="L34" s="25">
        <f t="shared" si="4"/>
        <v>7099.9999999999091</v>
      </c>
      <c r="M34" s="43">
        <f t="shared" si="5"/>
        <v>5033.333333333303</v>
      </c>
      <c r="N34" s="11">
        <f t="shared" si="1"/>
        <v>19.384</v>
      </c>
      <c r="R34" t="s">
        <v>340</v>
      </c>
      <c r="S34" s="10">
        <v>5054.666666666667</v>
      </c>
      <c r="T34" s="10">
        <v>14077</v>
      </c>
      <c r="V34" s="10">
        <f t="shared" si="0"/>
        <v>19131.666666666668</v>
      </c>
    </row>
    <row r="35" spans="1:22">
      <c r="A35" t="s">
        <v>169</v>
      </c>
      <c r="B35" s="9">
        <v>40602</v>
      </c>
      <c r="C35" s="10">
        <v>5106</v>
      </c>
      <c r="D35" s="10">
        <v>14233</v>
      </c>
      <c r="E35" s="11">
        <v>2232.6999999999998</v>
      </c>
      <c r="F35" s="10">
        <v>3</v>
      </c>
      <c r="G35" s="10">
        <v>0</v>
      </c>
      <c r="H35" s="10"/>
      <c r="I35" s="19">
        <f t="shared" si="2"/>
        <v>-45000</v>
      </c>
      <c r="J35" s="19">
        <f t="shared" si="3"/>
        <v>-27333.333333333332</v>
      </c>
      <c r="K35" s="11">
        <f t="shared" si="6"/>
        <v>0.66666666666666674</v>
      </c>
      <c r="L35" s="25">
        <f t="shared" si="4"/>
        <v>1599.9999999999091</v>
      </c>
      <c r="M35" s="43">
        <f t="shared" si="5"/>
        <v>4733.333333333273</v>
      </c>
      <c r="N35" s="11">
        <f t="shared" si="1"/>
        <v>19.338999999999999</v>
      </c>
      <c r="R35" t="s">
        <v>341</v>
      </c>
      <c r="S35" s="10">
        <v>5030.666666666667</v>
      </c>
      <c r="T35" s="10">
        <v>14120</v>
      </c>
      <c r="V35" s="10">
        <f t="shared" si="0"/>
        <v>19150.666666666668</v>
      </c>
    </row>
    <row r="36" spans="1:22">
      <c r="A36" t="s">
        <v>170</v>
      </c>
      <c r="B36" s="9">
        <v>40633</v>
      </c>
      <c r="C36" s="10">
        <v>5096</v>
      </c>
      <c r="D36" s="10">
        <v>14219</v>
      </c>
      <c r="E36" s="11">
        <v>2236.8000000000002</v>
      </c>
      <c r="F36" s="10">
        <v>3</v>
      </c>
      <c r="G36" s="10">
        <v>0</v>
      </c>
      <c r="H36" s="10"/>
      <c r="I36" s="19">
        <f t="shared" si="2"/>
        <v>-24000</v>
      </c>
      <c r="J36" s="19">
        <f t="shared" si="3"/>
        <v>-27000</v>
      </c>
      <c r="K36" s="11">
        <f t="shared" si="6"/>
        <v>1.6666666666666665</v>
      </c>
      <c r="L36" s="25">
        <f t="shared" si="4"/>
        <v>4100.0000000003638</v>
      </c>
      <c r="M36" s="43">
        <f t="shared" si="5"/>
        <v>4266.666666666727</v>
      </c>
      <c r="N36" s="11">
        <f t="shared" si="1"/>
        <v>19.315000000000001</v>
      </c>
      <c r="R36" t="s">
        <v>346</v>
      </c>
      <c r="S36" s="10">
        <v>5052.666666666667</v>
      </c>
      <c r="T36" s="10">
        <v>14140</v>
      </c>
      <c r="V36" s="10">
        <f t="shared" si="0"/>
        <v>19192.666666666668</v>
      </c>
    </row>
    <row r="37" spans="1:22">
      <c r="A37" t="s">
        <v>171</v>
      </c>
      <c r="B37" s="9">
        <v>40663</v>
      </c>
      <c r="C37" s="10">
        <v>5091</v>
      </c>
      <c r="D37" s="10">
        <v>14223</v>
      </c>
      <c r="E37" s="11">
        <v>2233.9</v>
      </c>
      <c r="F37" s="10">
        <v>0</v>
      </c>
      <c r="G37" s="10">
        <v>0</v>
      </c>
      <c r="H37" s="10"/>
      <c r="I37" s="19">
        <f t="shared" si="2"/>
        <v>-1000</v>
      </c>
      <c r="J37" s="19">
        <f t="shared" si="3"/>
        <v>-23333.333333333332</v>
      </c>
      <c r="K37" s="11">
        <f t="shared" si="6"/>
        <v>-0.9</v>
      </c>
      <c r="L37" s="25">
        <f t="shared" si="4"/>
        <v>99.999999999909051</v>
      </c>
      <c r="M37" s="43">
        <f t="shared" si="5"/>
        <v>1933.333333333394</v>
      </c>
      <c r="N37" s="11">
        <f t="shared" si="1"/>
        <v>19.314</v>
      </c>
      <c r="R37" t="s">
        <v>350</v>
      </c>
      <c r="S37" s="10">
        <v>5068.333333333333</v>
      </c>
      <c r="T37" s="10">
        <v>14154.666666666666</v>
      </c>
      <c r="V37" s="10">
        <f t="shared" si="0"/>
        <v>19223</v>
      </c>
    </row>
    <row r="38" spans="1:22">
      <c r="A38" t="s">
        <v>172</v>
      </c>
      <c r="B38" s="9">
        <v>40694</v>
      </c>
      <c r="C38" s="10">
        <v>5083</v>
      </c>
      <c r="D38" s="10">
        <v>14175</v>
      </c>
      <c r="E38" s="11">
        <v>2235.1</v>
      </c>
      <c r="F38" s="10">
        <v>0</v>
      </c>
      <c r="G38" s="10">
        <v>0</v>
      </c>
      <c r="H38" s="10"/>
      <c r="I38" s="19">
        <f t="shared" si="2"/>
        <v>-56000</v>
      </c>
      <c r="J38" s="19">
        <f t="shared" si="3"/>
        <v>-27000</v>
      </c>
      <c r="K38" s="11">
        <f t="shared" si="6"/>
        <v>10.199999999999999</v>
      </c>
      <c r="L38" s="25">
        <f t="shared" si="4"/>
        <v>1199.9999999998181</v>
      </c>
      <c r="M38" s="43">
        <f t="shared" si="5"/>
        <v>1800.0000000000302</v>
      </c>
      <c r="N38" s="11">
        <f t="shared" si="1"/>
        <v>19.257999999999999</v>
      </c>
      <c r="R38" t="s">
        <v>357</v>
      </c>
      <c r="S38" s="10">
        <v>5072.333333333333</v>
      </c>
      <c r="T38" s="10">
        <v>14182.666666666666</v>
      </c>
      <c r="V38" s="10">
        <f t="shared" si="0"/>
        <v>19255</v>
      </c>
    </row>
    <row r="39" spans="1:22">
      <c r="A39" t="s">
        <v>173</v>
      </c>
      <c r="B39" s="9">
        <v>40724</v>
      </c>
      <c r="C39" s="10">
        <v>5079</v>
      </c>
      <c r="D39" s="10">
        <v>14225</v>
      </c>
      <c r="E39" s="11">
        <v>2229</v>
      </c>
      <c r="F39" s="10">
        <v>0</v>
      </c>
      <c r="G39" s="10">
        <v>0</v>
      </c>
      <c r="H39" s="10"/>
      <c r="I39" s="19">
        <f t="shared" si="2"/>
        <v>46000</v>
      </c>
      <c r="J39" s="19">
        <f t="shared" si="3"/>
        <v>-3666.6666666666665</v>
      </c>
      <c r="K39" s="11">
        <f t="shared" si="6"/>
        <v>-2.393939393939394</v>
      </c>
      <c r="L39" s="25">
        <f t="shared" si="4"/>
        <v>-6099.9999999999091</v>
      </c>
      <c r="M39" s="43">
        <f t="shared" si="5"/>
        <v>-1600.0000000000607</v>
      </c>
      <c r="N39" s="11">
        <f t="shared" si="1"/>
        <v>19.303999999999998</v>
      </c>
      <c r="R39" t="s">
        <v>362</v>
      </c>
      <c r="S39" s="10">
        <v>5077.666666666667</v>
      </c>
      <c r="T39" s="10">
        <v>14215.666666666666</v>
      </c>
      <c r="V39" s="10">
        <f t="shared" si="0"/>
        <v>19293.333333333332</v>
      </c>
    </row>
    <row r="40" spans="1:22">
      <c r="A40" t="s">
        <v>174</v>
      </c>
      <c r="B40" s="9">
        <v>40755</v>
      </c>
      <c r="C40" s="10">
        <v>5058</v>
      </c>
      <c r="D40" s="10">
        <v>14129</v>
      </c>
      <c r="E40" s="11">
        <v>2226.3000000000002</v>
      </c>
      <c r="F40" s="10">
        <v>0</v>
      </c>
      <c r="G40" s="10">
        <v>0</v>
      </c>
      <c r="H40" s="10"/>
      <c r="I40" s="19">
        <f t="shared" si="2"/>
        <v>-117000</v>
      </c>
      <c r="J40" s="19">
        <f t="shared" si="3"/>
        <v>-42333.333333333336</v>
      </c>
      <c r="K40" s="11">
        <f t="shared" si="6"/>
        <v>3.0344827586206895</v>
      </c>
      <c r="L40" s="25">
        <f t="shared" si="4"/>
        <v>-2699.9999999998181</v>
      </c>
      <c r="M40" s="43">
        <f t="shared" si="5"/>
        <v>-2533.333333333303</v>
      </c>
      <c r="N40" s="11">
        <f t="shared" si="1"/>
        <v>19.187000000000001</v>
      </c>
      <c r="R40" t="s">
        <v>366</v>
      </c>
      <c r="S40" s="10">
        <v>5089</v>
      </c>
      <c r="T40" s="10">
        <v>14223.666666666666</v>
      </c>
      <c r="V40" s="10">
        <f t="shared" si="0"/>
        <v>19312.666666666664</v>
      </c>
    </row>
    <row r="41" spans="1:22">
      <c r="A41" t="s">
        <v>175</v>
      </c>
      <c r="B41" s="9">
        <v>40786</v>
      </c>
      <c r="C41" s="10">
        <v>5079</v>
      </c>
      <c r="D41" s="10">
        <v>14088</v>
      </c>
      <c r="E41" s="11">
        <v>2222.8000000000002</v>
      </c>
      <c r="F41" s="10">
        <v>0</v>
      </c>
      <c r="G41" s="10">
        <v>0</v>
      </c>
      <c r="H41" s="10"/>
      <c r="I41" s="19">
        <f t="shared" si="2"/>
        <v>-20000</v>
      </c>
      <c r="J41" s="19">
        <f t="shared" si="3"/>
        <v>-30333.333333333332</v>
      </c>
      <c r="K41" s="11">
        <f t="shared" si="6"/>
        <v>-0.53488372093023262</v>
      </c>
      <c r="L41" s="25">
        <f t="shared" si="4"/>
        <v>-3500</v>
      </c>
      <c r="M41" s="43">
        <f t="shared" si="5"/>
        <v>-4099.9999999999091</v>
      </c>
      <c r="N41" s="11">
        <f t="shared" si="1"/>
        <v>19.167000000000002</v>
      </c>
      <c r="R41" t="s">
        <v>413</v>
      </c>
      <c r="S41" s="10">
        <v>5091</v>
      </c>
      <c r="T41" s="10">
        <v>14280.666666666666</v>
      </c>
      <c r="V41" s="10">
        <f t="shared" si="0"/>
        <v>19371.666666666664</v>
      </c>
    </row>
    <row r="42" spans="1:22">
      <c r="A42" t="s">
        <v>176</v>
      </c>
      <c r="B42" s="9">
        <v>40816</v>
      </c>
      <c r="C42" s="10">
        <v>5072</v>
      </c>
      <c r="D42" s="10">
        <v>14065</v>
      </c>
      <c r="E42" s="11">
        <v>2223.9</v>
      </c>
      <c r="F42" s="10">
        <v>0</v>
      </c>
      <c r="G42" s="10">
        <v>0</v>
      </c>
      <c r="H42" s="10"/>
      <c r="I42" s="19">
        <f t="shared" si="2"/>
        <v>-30000</v>
      </c>
      <c r="J42" s="19">
        <f t="shared" si="3"/>
        <v>-55666.666666666664</v>
      </c>
      <c r="K42" s="11">
        <f t="shared" si="6"/>
        <v>-0.69072164948453607</v>
      </c>
      <c r="L42" s="25">
        <f t="shared" si="4"/>
        <v>1099.9999999999091</v>
      </c>
      <c r="M42" s="43">
        <f t="shared" si="5"/>
        <v>-1699.9999999999698</v>
      </c>
      <c r="N42" s="11">
        <f t="shared" si="1"/>
        <v>19.137</v>
      </c>
      <c r="R42" t="s">
        <v>426</v>
      </c>
      <c r="S42" s="10">
        <v>5099.666666666667</v>
      </c>
      <c r="T42" s="10">
        <v>14305.333333333334</v>
      </c>
      <c r="V42" s="10">
        <f t="shared" si="0"/>
        <v>19405</v>
      </c>
    </row>
    <row r="43" spans="1:22">
      <c r="A43" t="s">
        <v>177</v>
      </c>
      <c r="B43" s="9">
        <v>40847</v>
      </c>
      <c r="C43" s="10">
        <v>5056</v>
      </c>
      <c r="D43" s="10">
        <v>14092</v>
      </c>
      <c r="E43" s="11">
        <v>2223.6999999999998</v>
      </c>
      <c r="F43" s="10">
        <v>0</v>
      </c>
      <c r="G43" s="10">
        <v>0</v>
      </c>
      <c r="H43" s="10"/>
      <c r="I43" s="19">
        <f t="shared" si="2"/>
        <v>11000</v>
      </c>
      <c r="J43" s="19">
        <f t="shared" si="3"/>
        <v>-13000</v>
      </c>
      <c r="K43" s="11">
        <f t="shared" si="6"/>
        <v>-0.79245283018867929</v>
      </c>
      <c r="L43" s="25">
        <f t="shared" si="4"/>
        <v>-200.00000000027285</v>
      </c>
      <c r="M43" s="43">
        <f t="shared" si="5"/>
        <v>-866.66666666678793</v>
      </c>
      <c r="N43" s="11">
        <f t="shared" si="1"/>
        <v>19.148</v>
      </c>
      <c r="R43" t="s">
        <v>431</v>
      </c>
      <c r="S43" s="10">
        <v>5125</v>
      </c>
      <c r="T43" s="10">
        <v>14360</v>
      </c>
      <c r="V43" s="10">
        <f t="shared" si="0"/>
        <v>19485</v>
      </c>
    </row>
    <row r="44" spans="1:22">
      <c r="A44" t="s">
        <v>178</v>
      </c>
      <c r="B44" s="9">
        <v>40877</v>
      </c>
      <c r="C44" s="10">
        <v>5050</v>
      </c>
      <c r="D44" s="10">
        <v>14079</v>
      </c>
      <c r="E44" s="11">
        <v>2220.9</v>
      </c>
      <c r="F44" s="10">
        <v>0</v>
      </c>
      <c r="G44" s="10">
        <v>0</v>
      </c>
      <c r="H44" s="10"/>
      <c r="I44" s="19">
        <f t="shared" si="2"/>
        <v>-19000</v>
      </c>
      <c r="J44" s="19">
        <f t="shared" si="3"/>
        <v>-12666.666666666666</v>
      </c>
      <c r="K44" s="11">
        <f t="shared" si="6"/>
        <v>0.89999999999999991</v>
      </c>
      <c r="L44" s="25">
        <f t="shared" si="4"/>
        <v>-2799.9999999997272</v>
      </c>
      <c r="M44" s="43">
        <f t="shared" si="5"/>
        <v>-633.33333333336361</v>
      </c>
      <c r="N44" s="11">
        <f t="shared" si="1"/>
        <v>19.129000000000001</v>
      </c>
      <c r="R44" t="s">
        <v>436</v>
      </c>
      <c r="S44" s="10">
        <v>5136.666666666667</v>
      </c>
      <c r="T44" s="10">
        <v>14348.666666666666</v>
      </c>
      <c r="V44" s="10">
        <f t="shared" si="0"/>
        <v>19485.333333333332</v>
      </c>
    </row>
    <row r="45" spans="1:22">
      <c r="A45" t="s">
        <v>179</v>
      </c>
      <c r="B45" s="9">
        <v>40908</v>
      </c>
      <c r="C45" s="10">
        <v>5047</v>
      </c>
      <c r="D45" s="10">
        <v>14071</v>
      </c>
      <c r="E45" s="11">
        <v>2218</v>
      </c>
      <c r="F45" s="10">
        <v>0</v>
      </c>
      <c r="G45" s="10">
        <v>0</v>
      </c>
      <c r="H45" s="10"/>
      <c r="I45" s="19">
        <f t="shared" si="2"/>
        <v>-11000</v>
      </c>
      <c r="J45" s="19">
        <f t="shared" si="3"/>
        <v>-6333.333333333333</v>
      </c>
      <c r="K45" s="11">
        <f t="shared" si="6"/>
        <v>-0.56000000000000005</v>
      </c>
      <c r="L45" s="25">
        <f t="shared" si="4"/>
        <v>-2900.0000000000909</v>
      </c>
      <c r="M45" s="43">
        <f t="shared" si="5"/>
        <v>-1966.666666666697</v>
      </c>
      <c r="N45" s="11">
        <f t="shared" si="1"/>
        <v>19.117999999999999</v>
      </c>
      <c r="R45" t="s">
        <v>455</v>
      </c>
      <c r="S45" s="10">
        <v>5160.333333333333</v>
      </c>
      <c r="T45" s="10">
        <v>14348.666666666666</v>
      </c>
      <c r="V45" s="10">
        <f t="shared" si="0"/>
        <v>19509</v>
      </c>
    </row>
    <row r="46" spans="1:22">
      <c r="A46" t="s">
        <v>180</v>
      </c>
      <c r="B46" s="9">
        <v>40939</v>
      </c>
      <c r="C46" s="10">
        <v>5045</v>
      </c>
      <c r="D46" s="10">
        <v>14068</v>
      </c>
      <c r="E46" s="11">
        <v>2212.8000000000002</v>
      </c>
      <c r="F46" s="10">
        <v>0</v>
      </c>
      <c r="G46" s="10">
        <v>0</v>
      </c>
      <c r="H46" s="10"/>
      <c r="I46" s="19">
        <f t="shared" si="2"/>
        <v>-5000</v>
      </c>
      <c r="J46" s="19">
        <f t="shared" si="3"/>
        <v>-11666.666666666666</v>
      </c>
      <c r="K46" s="11">
        <f t="shared" si="6"/>
        <v>-0.58333333333333326</v>
      </c>
      <c r="L46" s="25">
        <f t="shared" si="4"/>
        <v>-5199.9999999998181</v>
      </c>
      <c r="M46" s="43">
        <f t="shared" si="5"/>
        <v>-3633.3333333332121</v>
      </c>
      <c r="N46" s="11">
        <f t="shared" si="1"/>
        <v>19.113</v>
      </c>
      <c r="R46" t="s">
        <v>456</v>
      </c>
      <c r="S46" s="10">
        <v>5169</v>
      </c>
      <c r="T46" s="10">
        <v>14365.666666666666</v>
      </c>
      <c r="V46" s="10">
        <f t="shared" si="0"/>
        <v>19534.666666666664</v>
      </c>
    </row>
    <row r="47" spans="1:22">
      <c r="A47" t="s">
        <v>181</v>
      </c>
      <c r="B47" s="9">
        <v>40968</v>
      </c>
      <c r="C47" s="10">
        <v>5048</v>
      </c>
      <c r="D47" s="10">
        <v>14071</v>
      </c>
      <c r="E47" s="11">
        <v>2210.8000000000002</v>
      </c>
      <c r="F47" s="10">
        <v>0</v>
      </c>
      <c r="G47" s="10">
        <v>0</v>
      </c>
      <c r="H47" s="10"/>
      <c r="I47" s="19">
        <f t="shared" si="2"/>
        <v>6000</v>
      </c>
      <c r="J47" s="19">
        <f t="shared" si="3"/>
        <v>-3333.3333333333335</v>
      </c>
      <c r="K47" s="11">
        <f t="shared" si="6"/>
        <v>-1.1333333333333333</v>
      </c>
      <c r="L47" s="25">
        <f t="shared" si="4"/>
        <v>-2000</v>
      </c>
      <c r="M47" s="43">
        <f t="shared" si="5"/>
        <v>-3366.6666666666365</v>
      </c>
      <c r="N47" s="11">
        <f t="shared" si="1"/>
        <v>19.119</v>
      </c>
      <c r="R47" t="s">
        <v>461</v>
      </c>
      <c r="S47" s="10">
        <v>5167.666666666667</v>
      </c>
      <c r="T47" s="10">
        <v>14393</v>
      </c>
      <c r="V47" s="10">
        <f t="shared" si="0"/>
        <v>19560.666666666668</v>
      </c>
    </row>
    <row r="48" spans="1:22">
      <c r="A48" t="s">
        <v>182</v>
      </c>
      <c r="B48" s="9">
        <v>40999</v>
      </c>
      <c r="C48" s="10">
        <v>5051</v>
      </c>
      <c r="D48" s="10">
        <v>14064</v>
      </c>
      <c r="E48" s="11">
        <v>2211.8000000000002</v>
      </c>
      <c r="F48" s="10">
        <v>0</v>
      </c>
      <c r="G48" s="10">
        <v>0</v>
      </c>
      <c r="H48" s="10"/>
      <c r="I48" s="19">
        <f t="shared" si="2"/>
        <v>-4000</v>
      </c>
      <c r="J48" s="19">
        <f t="shared" si="3"/>
        <v>-1000</v>
      </c>
      <c r="K48" s="11">
        <f t="shared" si="6"/>
        <v>-0.83333333333333337</v>
      </c>
      <c r="L48" s="25">
        <f t="shared" si="4"/>
        <v>1000</v>
      </c>
      <c r="M48" s="43">
        <f t="shared" si="5"/>
        <v>-2066.666666666606</v>
      </c>
      <c r="N48" s="11">
        <f t="shared" si="1"/>
        <v>19.114999999999998</v>
      </c>
      <c r="R48" t="s">
        <v>470</v>
      </c>
      <c r="S48" s="10">
        <v>5163.333333333333</v>
      </c>
      <c r="T48" s="10">
        <v>14419.666666666666</v>
      </c>
      <c r="V48" s="10">
        <f t="shared" si="0"/>
        <v>19583</v>
      </c>
    </row>
    <row r="49" spans="1:23">
      <c r="A49" t="s">
        <v>183</v>
      </c>
      <c r="B49" s="9">
        <v>41029</v>
      </c>
      <c r="C49" s="10">
        <v>5055</v>
      </c>
      <c r="D49" s="10">
        <v>14050</v>
      </c>
      <c r="E49" s="11">
        <v>2210.3000000000002</v>
      </c>
      <c r="F49" s="10">
        <v>0</v>
      </c>
      <c r="G49" s="10">
        <v>0</v>
      </c>
      <c r="H49" s="10"/>
      <c r="I49" s="19">
        <f t="shared" si="2"/>
        <v>-10000</v>
      </c>
      <c r="J49" s="19">
        <f t="shared" si="3"/>
        <v>-2666.6666666666665</v>
      </c>
      <c r="K49" s="11">
        <f t="shared" si="6"/>
        <v>9</v>
      </c>
      <c r="L49" s="25">
        <f t="shared" si="4"/>
        <v>-1500</v>
      </c>
      <c r="M49" s="43">
        <f t="shared" si="5"/>
        <v>-833.33333333333337</v>
      </c>
      <c r="N49" s="11">
        <f t="shared" si="1"/>
        <v>19.105</v>
      </c>
      <c r="R49" t="s">
        <v>471</v>
      </c>
      <c r="S49" s="10">
        <v>5154</v>
      </c>
      <c r="T49" s="10">
        <v>14447.333333333334</v>
      </c>
      <c r="V49" s="10">
        <f t="shared" si="0"/>
        <v>19601.333333333336</v>
      </c>
    </row>
    <row r="50" spans="1:23">
      <c r="A50" t="s">
        <v>184</v>
      </c>
      <c r="B50" s="9">
        <v>41060</v>
      </c>
      <c r="C50" s="10">
        <v>5052</v>
      </c>
      <c r="D50" s="10">
        <v>14036</v>
      </c>
      <c r="E50" s="11">
        <v>2209.1999999999998</v>
      </c>
      <c r="F50" s="10">
        <v>0</v>
      </c>
      <c r="G50" s="10">
        <v>0</v>
      </c>
      <c r="H50" s="10"/>
      <c r="I50" s="19">
        <f t="shared" si="2"/>
        <v>-17000</v>
      </c>
      <c r="J50" s="19">
        <f t="shared" si="3"/>
        <v>-10333.333333333334</v>
      </c>
      <c r="K50" s="11">
        <f t="shared" si="6"/>
        <v>-0.6964285714285714</v>
      </c>
      <c r="L50" s="25">
        <f>IF(E50&lt;&gt;"", ((E50-F50)-(E49-F49))*1000, "")</f>
        <v>-1100.0000000003638</v>
      </c>
      <c r="M50" s="43">
        <f t="shared" si="5"/>
        <v>-533.33333333345456</v>
      </c>
      <c r="N50" s="11">
        <f t="shared" si="1"/>
        <v>19.088000000000001</v>
      </c>
      <c r="R50" t="s">
        <v>484</v>
      </c>
      <c r="S50" s="10">
        <v>5171.666666666667</v>
      </c>
      <c r="T50" s="10">
        <v>14468.333333333334</v>
      </c>
      <c r="V50" s="10">
        <f t="shared" si="0"/>
        <v>19640</v>
      </c>
      <c r="W50">
        <f>V50/V9</f>
        <v>0.99845791462608668</v>
      </c>
    </row>
    <row r="51" spans="1:23">
      <c r="A51" t="s">
        <v>185</v>
      </c>
      <c r="B51" s="9">
        <v>41090</v>
      </c>
      <c r="C51" s="10">
        <v>5059</v>
      </c>
      <c r="D51" s="10">
        <v>14047</v>
      </c>
      <c r="E51" s="11">
        <v>2210.9</v>
      </c>
      <c r="F51" s="10">
        <v>0</v>
      </c>
      <c r="G51" s="10">
        <v>0</v>
      </c>
      <c r="H51" s="10"/>
      <c r="I51" s="19">
        <f t="shared" si="2"/>
        <v>18000</v>
      </c>
      <c r="J51" s="19">
        <f t="shared" si="3"/>
        <v>-3000</v>
      </c>
      <c r="K51" s="11">
        <f t="shared" si="6"/>
        <v>-0.60869565217391308</v>
      </c>
      <c r="L51" s="25">
        <f t="shared" si="4"/>
        <v>1700.0000000002728</v>
      </c>
      <c r="M51" s="43">
        <f t="shared" si="5"/>
        <v>-300.0000000000303</v>
      </c>
      <c r="N51" s="11">
        <f t="shared" si="1"/>
        <v>19.106000000000002</v>
      </c>
      <c r="R51" t="s">
        <v>496</v>
      </c>
      <c r="S51" s="10">
        <v>5191</v>
      </c>
      <c r="T51" s="10">
        <v>14494.666666666666</v>
      </c>
    </row>
    <row r="52" spans="1:23">
      <c r="A52" t="s">
        <v>186</v>
      </c>
      <c r="B52" s="9">
        <v>41121</v>
      </c>
      <c r="C52" s="10">
        <v>5055</v>
      </c>
      <c r="D52" s="10">
        <v>14043</v>
      </c>
      <c r="E52" s="11">
        <v>2202.8000000000002</v>
      </c>
      <c r="F52" s="10">
        <v>0</v>
      </c>
      <c r="G52" s="10">
        <v>0</v>
      </c>
      <c r="H52" s="10"/>
      <c r="I52" s="19">
        <f t="shared" si="2"/>
        <v>-8000</v>
      </c>
      <c r="J52" s="19">
        <f t="shared" si="3"/>
        <v>-2333.3333333333335</v>
      </c>
      <c r="K52" s="11">
        <f t="shared" si="6"/>
        <v>-0.93162393162393164</v>
      </c>
      <c r="L52" s="25">
        <f t="shared" si="4"/>
        <v>-8099.9999999999091</v>
      </c>
      <c r="M52" s="43">
        <f t="shared" si="5"/>
        <v>-2500</v>
      </c>
      <c r="N52" s="11">
        <f t="shared" si="1"/>
        <v>19.097999999999999</v>
      </c>
      <c r="R52" t="s">
        <v>510</v>
      </c>
      <c r="S52" s="10">
        <v>5186.666666666667</v>
      </c>
      <c r="T52" s="10">
        <v>14497.666666666666</v>
      </c>
    </row>
    <row r="53" spans="1:23">
      <c r="A53" t="s">
        <v>187</v>
      </c>
      <c r="B53" s="9">
        <v>41152</v>
      </c>
      <c r="C53" s="10">
        <v>5063</v>
      </c>
      <c r="D53" s="10">
        <v>14033</v>
      </c>
      <c r="E53" s="11">
        <v>2210.6</v>
      </c>
      <c r="F53" s="10">
        <v>0</v>
      </c>
      <c r="G53" s="10">
        <v>0</v>
      </c>
      <c r="H53" s="10"/>
      <c r="I53" s="19">
        <f t="shared" si="2"/>
        <v>-2000</v>
      </c>
      <c r="J53" s="19">
        <f t="shared" si="3"/>
        <v>2666.6666666666665</v>
      </c>
      <c r="K53" s="11">
        <f t="shared" si="6"/>
        <v>-0.9</v>
      </c>
      <c r="L53" s="25">
        <f t="shared" si="4"/>
        <v>7799.9999999997272</v>
      </c>
      <c r="M53" s="43">
        <f t="shared" si="5"/>
        <v>466.66666666669698</v>
      </c>
      <c r="N53" s="11">
        <f t="shared" si="1"/>
        <v>19.096</v>
      </c>
      <c r="R53" t="s">
        <v>521</v>
      </c>
      <c r="S53" s="10">
        <v>5189.333333333333</v>
      </c>
      <c r="T53" s="10">
        <v>14521.666666666666</v>
      </c>
    </row>
    <row r="54" spans="1:23">
      <c r="A54" t="s">
        <v>188</v>
      </c>
      <c r="B54" s="9">
        <v>41182</v>
      </c>
      <c r="C54" s="10">
        <v>5076</v>
      </c>
      <c r="D54" s="10">
        <v>14027</v>
      </c>
      <c r="E54" s="11">
        <v>2216.3000000000002</v>
      </c>
      <c r="F54" s="10">
        <v>0</v>
      </c>
      <c r="G54" s="10">
        <v>0</v>
      </c>
      <c r="H54" s="10"/>
      <c r="I54" s="19">
        <f t="shared" si="2"/>
        <v>7000</v>
      </c>
      <c r="J54" s="19">
        <f t="shared" si="3"/>
        <v>-1000</v>
      </c>
      <c r="K54" s="11">
        <f t="shared" si="6"/>
        <v>-1.2333333333333334</v>
      </c>
      <c r="L54" s="25">
        <f t="shared" si="4"/>
        <v>5700.0000000002728</v>
      </c>
      <c r="M54" s="43">
        <f t="shared" si="5"/>
        <v>1800.0000000000302</v>
      </c>
      <c r="N54" s="11">
        <f t="shared" si="1"/>
        <v>19.103000000000002</v>
      </c>
      <c r="S54" s="11"/>
    </row>
    <row r="55" spans="1:23">
      <c r="A55" t="s">
        <v>189</v>
      </c>
      <c r="B55" s="9">
        <v>41213</v>
      </c>
      <c r="C55" s="10">
        <v>5055</v>
      </c>
      <c r="D55" s="10">
        <v>14024</v>
      </c>
      <c r="E55" s="11">
        <v>2213.6</v>
      </c>
      <c r="F55" s="10">
        <v>0</v>
      </c>
      <c r="G55" s="10">
        <v>0</v>
      </c>
      <c r="H55" s="10"/>
      <c r="I55" s="19">
        <f t="shared" si="2"/>
        <v>-24000</v>
      </c>
      <c r="J55" s="19">
        <f t="shared" si="3"/>
        <v>-6333.333333333333</v>
      </c>
      <c r="K55" s="11">
        <f t="shared" si="6"/>
        <v>-3.1818181818181817</v>
      </c>
      <c r="L55" s="25">
        <f t="shared" si="4"/>
        <v>-2700.0000000002728</v>
      </c>
      <c r="M55" s="43">
        <f t="shared" si="5"/>
        <v>3599.9999999999091</v>
      </c>
      <c r="N55" s="11">
        <f t="shared" si="1"/>
        <v>19.079000000000001</v>
      </c>
      <c r="S55" s="10"/>
    </row>
    <row r="56" spans="1:23">
      <c r="A56" t="s">
        <v>190</v>
      </c>
      <c r="B56" s="9">
        <v>41243</v>
      </c>
      <c r="C56" s="10">
        <v>5052</v>
      </c>
      <c r="D56" s="10">
        <v>14022</v>
      </c>
      <c r="E56" s="11">
        <v>2209.1</v>
      </c>
      <c r="F56" s="10">
        <v>0</v>
      </c>
      <c r="G56" s="10">
        <v>0</v>
      </c>
      <c r="H56" s="10"/>
      <c r="I56" s="19">
        <f t="shared" si="2"/>
        <v>-5000</v>
      </c>
      <c r="J56" s="19">
        <f t="shared" si="3"/>
        <v>-7333.333333333333</v>
      </c>
      <c r="K56" s="11">
        <f t="shared" si="6"/>
        <v>-0.73684210526315796</v>
      </c>
      <c r="L56" s="25">
        <f t="shared" si="4"/>
        <v>-4500</v>
      </c>
      <c r="M56" s="43">
        <f t="shared" si="5"/>
        <v>-500</v>
      </c>
      <c r="N56" s="11">
        <f t="shared" si="1"/>
        <v>19.074000000000002</v>
      </c>
      <c r="S56" s="11"/>
    </row>
    <row r="57" spans="1:23">
      <c r="A57" t="s">
        <v>191</v>
      </c>
      <c r="B57" s="9">
        <v>41274</v>
      </c>
      <c r="C57" s="10">
        <v>5048</v>
      </c>
      <c r="D57" s="10">
        <v>14033</v>
      </c>
      <c r="E57" s="11">
        <v>2207.9</v>
      </c>
      <c r="F57" s="10">
        <v>0</v>
      </c>
      <c r="G57" s="10">
        <v>0</v>
      </c>
      <c r="H57" s="10"/>
      <c r="I57" s="19">
        <f t="shared" si="2"/>
        <v>7000</v>
      </c>
      <c r="J57" s="19">
        <f t="shared" si="3"/>
        <v>-7333.333333333333</v>
      </c>
      <c r="K57" s="11">
        <f t="shared" si="6"/>
        <v>-1.6363636363636362</v>
      </c>
      <c r="L57" s="25">
        <f t="shared" si="4"/>
        <v>-1199.9999999998181</v>
      </c>
      <c r="M57" s="43">
        <f t="shared" si="5"/>
        <v>-2800.0000000000305</v>
      </c>
      <c r="N57" s="11">
        <f t="shared" si="1"/>
        <v>19.081</v>
      </c>
      <c r="S57" s="10"/>
    </row>
    <row r="58" spans="1:23">
      <c r="A58" t="s">
        <v>192</v>
      </c>
      <c r="B58" s="9">
        <v>41305</v>
      </c>
      <c r="C58" s="10">
        <v>5029</v>
      </c>
      <c r="D58" s="10">
        <v>14034</v>
      </c>
      <c r="E58" s="11">
        <v>2203.6</v>
      </c>
      <c r="F58" s="10">
        <v>0</v>
      </c>
      <c r="G58" s="10">
        <v>0</v>
      </c>
      <c r="H58" s="10"/>
      <c r="I58" s="19">
        <f t="shared" si="2"/>
        <v>-18000</v>
      </c>
      <c r="J58" s="19">
        <f t="shared" si="3"/>
        <v>-5333.333333333333</v>
      </c>
      <c r="K58" s="11">
        <f t="shared" si="6"/>
        <v>2.6</v>
      </c>
      <c r="L58" s="25">
        <f t="shared" si="4"/>
        <v>-4300.0000000001819</v>
      </c>
      <c r="M58" s="43">
        <f t="shared" si="5"/>
        <v>-3333.3333333333335</v>
      </c>
      <c r="N58" s="11">
        <f t="shared" si="1"/>
        <v>19.062999999999999</v>
      </c>
      <c r="S58" s="11"/>
    </row>
    <row r="59" spans="1:23">
      <c r="A59" t="s">
        <v>193</v>
      </c>
      <c r="B59" s="9">
        <v>41333</v>
      </c>
      <c r="C59" s="10">
        <v>5045</v>
      </c>
      <c r="D59" s="10">
        <v>14030</v>
      </c>
      <c r="E59" s="11">
        <v>2203.4</v>
      </c>
      <c r="F59" s="10">
        <v>0</v>
      </c>
      <c r="G59" s="10">
        <v>0</v>
      </c>
      <c r="H59" s="10"/>
      <c r="I59" s="19">
        <f t="shared" si="2"/>
        <v>12000</v>
      </c>
      <c r="J59" s="19">
        <f t="shared" si="3"/>
        <v>333.33333333333331</v>
      </c>
      <c r="K59" s="11">
        <f t="shared" si="6"/>
        <v>1</v>
      </c>
      <c r="L59" s="25">
        <f t="shared" si="4"/>
        <v>-199.9999999998181</v>
      </c>
      <c r="M59" s="43">
        <f t="shared" si="5"/>
        <v>-1899.9999999999393</v>
      </c>
      <c r="N59" s="11">
        <f t="shared" si="1"/>
        <v>19.074999999999999</v>
      </c>
      <c r="S59" s="10"/>
    </row>
    <row r="60" spans="1:23">
      <c r="A60" t="s">
        <v>194</v>
      </c>
      <c r="B60" s="9">
        <v>41364</v>
      </c>
      <c r="C60" s="10">
        <v>5052</v>
      </c>
      <c r="D60" s="10">
        <v>14024</v>
      </c>
      <c r="E60" s="11">
        <v>2201.8000000000002</v>
      </c>
      <c r="F60" s="10">
        <v>0</v>
      </c>
      <c r="G60" s="10">
        <v>0</v>
      </c>
      <c r="H60" s="10"/>
      <c r="I60" s="19">
        <f t="shared" si="2"/>
        <v>1000</v>
      </c>
      <c r="J60" s="19">
        <f t="shared" si="3"/>
        <v>-1666.6666666666667</v>
      </c>
      <c r="K60" s="11">
        <f t="shared" si="6"/>
        <v>-1.25</v>
      </c>
      <c r="L60" s="25">
        <f t="shared" si="4"/>
        <v>-1599.9999999999091</v>
      </c>
      <c r="M60" s="43">
        <f t="shared" si="5"/>
        <v>-2033.333333333303</v>
      </c>
      <c r="N60" s="11">
        <f t="shared" si="1"/>
        <v>19.076000000000001</v>
      </c>
      <c r="S60" s="11"/>
    </row>
    <row r="61" spans="1:23">
      <c r="A61" t="s">
        <v>195</v>
      </c>
      <c r="B61" s="9">
        <v>41394</v>
      </c>
      <c r="C61" s="10">
        <v>5047</v>
      </c>
      <c r="D61" s="10">
        <v>14028</v>
      </c>
      <c r="E61" s="11">
        <v>2192.6</v>
      </c>
      <c r="F61" s="10">
        <v>0</v>
      </c>
      <c r="G61" s="10">
        <v>0</v>
      </c>
      <c r="H61" s="10"/>
      <c r="I61" s="19">
        <f t="shared" si="2"/>
        <v>-1000</v>
      </c>
      <c r="J61" s="19">
        <f t="shared" si="3"/>
        <v>4000</v>
      </c>
      <c r="K61" s="11">
        <f t="shared" si="6"/>
        <v>-0.9</v>
      </c>
      <c r="L61" s="25">
        <f t="shared" si="4"/>
        <v>-9200.0000000002728</v>
      </c>
      <c r="M61" s="43">
        <f t="shared" si="5"/>
        <v>-3666.6666666666665</v>
      </c>
      <c r="N61" s="11">
        <f t="shared" si="1"/>
        <v>19.074999999999999</v>
      </c>
      <c r="S61" s="10"/>
    </row>
    <row r="62" spans="1:23">
      <c r="A62" t="s">
        <v>196</v>
      </c>
      <c r="B62" s="9">
        <v>41425</v>
      </c>
      <c r="C62" s="10">
        <v>5049</v>
      </c>
      <c r="D62" s="10">
        <v>14040</v>
      </c>
      <c r="E62" s="11">
        <v>2184.6999999999998</v>
      </c>
      <c r="F62" s="10">
        <v>0</v>
      </c>
      <c r="G62" s="10">
        <v>0</v>
      </c>
      <c r="H62" s="10"/>
      <c r="I62" s="19">
        <f t="shared" si="2"/>
        <v>14000</v>
      </c>
      <c r="J62" s="19">
        <f t="shared" si="3"/>
        <v>4666.666666666667</v>
      </c>
      <c r="K62" s="11">
        <f t="shared" si="6"/>
        <v>-1.8235294117647058</v>
      </c>
      <c r="L62" s="25">
        <f t="shared" si="4"/>
        <v>-7900.0000000000909</v>
      </c>
      <c r="M62" s="43">
        <f t="shared" si="5"/>
        <v>-6233.333333333424</v>
      </c>
      <c r="N62" s="11">
        <f t="shared" si="1"/>
        <v>19.088999999999999</v>
      </c>
      <c r="S62" s="11"/>
    </row>
    <row r="63" spans="1:23">
      <c r="A63" t="s">
        <v>197</v>
      </c>
      <c r="B63" s="9">
        <v>41455</v>
      </c>
      <c r="C63" s="10">
        <v>5038</v>
      </c>
      <c r="D63" s="10">
        <v>14031</v>
      </c>
      <c r="E63" s="11">
        <v>2177.9</v>
      </c>
      <c r="F63" s="10">
        <v>0</v>
      </c>
      <c r="G63" s="10">
        <v>0</v>
      </c>
      <c r="H63" s="10"/>
      <c r="I63" s="19">
        <f t="shared" si="2"/>
        <v>-20000</v>
      </c>
      <c r="J63" s="19">
        <f t="shared" si="3"/>
        <v>-2333.3333333333335</v>
      </c>
      <c r="K63" s="11">
        <f t="shared" si="6"/>
        <v>-2.1111111111111112</v>
      </c>
      <c r="L63" s="25">
        <f t="shared" si="4"/>
        <v>-6799.9999999997272</v>
      </c>
      <c r="M63" s="43">
        <f t="shared" si="5"/>
        <v>-7966.666666666697</v>
      </c>
      <c r="N63" s="11">
        <f t="shared" si="1"/>
        <v>19.068999999999999</v>
      </c>
      <c r="S63" s="10"/>
    </row>
    <row r="64" spans="1:23">
      <c r="A64" t="s">
        <v>198</v>
      </c>
      <c r="B64" s="9">
        <v>41486</v>
      </c>
      <c r="C64" s="10">
        <v>5025</v>
      </c>
      <c r="D64" s="10">
        <v>14029</v>
      </c>
      <c r="E64" s="11">
        <v>2168.9</v>
      </c>
      <c r="F64" s="10">
        <v>0</v>
      </c>
      <c r="G64" s="10">
        <v>0</v>
      </c>
      <c r="H64" s="10"/>
      <c r="I64" s="19">
        <f t="shared" si="2"/>
        <v>-15000</v>
      </c>
      <c r="J64" s="19">
        <f t="shared" si="3"/>
        <v>-7000</v>
      </c>
      <c r="K64" s="11">
        <f t="shared" si="6"/>
        <v>0.875</v>
      </c>
      <c r="L64" s="25">
        <f t="shared" si="4"/>
        <v>-9000</v>
      </c>
      <c r="M64" s="43">
        <f t="shared" si="5"/>
        <v>-7899.9999999999391</v>
      </c>
      <c r="N64" s="11">
        <f t="shared" si="1"/>
        <v>19.053999999999998</v>
      </c>
      <c r="S64" s="11"/>
    </row>
    <row r="65" spans="1:19">
      <c r="A65" t="s">
        <v>199</v>
      </c>
      <c r="B65" s="9">
        <v>41517</v>
      </c>
      <c r="C65" s="10">
        <v>5045</v>
      </c>
      <c r="D65" s="10">
        <v>14032</v>
      </c>
      <c r="E65" s="11">
        <v>2162</v>
      </c>
      <c r="F65" s="10">
        <v>0</v>
      </c>
      <c r="G65" s="10">
        <v>0</v>
      </c>
      <c r="H65" s="10"/>
      <c r="I65" s="19">
        <f t="shared" si="2"/>
        <v>23000</v>
      </c>
      <c r="J65" s="19">
        <f t="shared" si="3"/>
        <v>-4000</v>
      </c>
      <c r="K65" s="11">
        <f t="shared" si="6"/>
        <v>-12.5</v>
      </c>
      <c r="L65" s="25">
        <f t="shared" si="4"/>
        <v>-6900.0000000000909</v>
      </c>
      <c r="M65" s="43">
        <f t="shared" si="5"/>
        <v>-7566.666666666606</v>
      </c>
      <c r="N65" s="11">
        <f t="shared" si="1"/>
        <v>19.077000000000002</v>
      </c>
      <c r="S65" s="10"/>
    </row>
    <row r="66" spans="1:19">
      <c r="A66" t="s">
        <v>200</v>
      </c>
      <c r="B66" s="9">
        <v>41547</v>
      </c>
      <c r="C66" s="10">
        <v>5050</v>
      </c>
      <c r="D66" s="10">
        <v>14032</v>
      </c>
      <c r="E66" s="11">
        <v>2159.6999999999998</v>
      </c>
      <c r="F66" s="10">
        <v>0</v>
      </c>
      <c r="G66" s="10">
        <v>0</v>
      </c>
      <c r="H66" s="10"/>
      <c r="I66" s="19">
        <f t="shared" si="2"/>
        <v>5000</v>
      </c>
      <c r="J66" s="19">
        <f t="shared" si="3"/>
        <v>4333.333333333333</v>
      </c>
      <c r="K66" s="11">
        <f t="shared" si="6"/>
        <v>-0.2857142857142857</v>
      </c>
      <c r="L66" s="25">
        <f t="shared" si="4"/>
        <v>-2300.0000000001819</v>
      </c>
      <c r="M66" s="43">
        <f t="shared" si="5"/>
        <v>-6066.6666666667579</v>
      </c>
      <c r="N66" s="11">
        <f t="shared" si="1"/>
        <v>19.082000000000001</v>
      </c>
      <c r="S66" s="11"/>
    </row>
    <row r="67" spans="1:19">
      <c r="A67" t="s">
        <v>201</v>
      </c>
      <c r="B67" s="9">
        <v>41578</v>
      </c>
      <c r="C67" s="10">
        <v>5057</v>
      </c>
      <c r="D67" s="10">
        <v>14034</v>
      </c>
      <c r="E67" s="11">
        <v>2148.8000000000002</v>
      </c>
      <c r="F67" s="10">
        <v>0</v>
      </c>
      <c r="G67" s="10">
        <v>0</v>
      </c>
      <c r="H67" s="10"/>
      <c r="I67" s="19">
        <f t="shared" si="2"/>
        <v>9000</v>
      </c>
      <c r="J67" s="19">
        <f t="shared" si="3"/>
        <v>12333.333333333334</v>
      </c>
      <c r="K67" s="11">
        <f t="shared" si="6"/>
        <v>-1.375</v>
      </c>
      <c r="L67" s="25">
        <f t="shared" si="4"/>
        <v>-10899.999999999636</v>
      </c>
      <c r="M67" s="43">
        <f t="shared" si="5"/>
        <v>-6699.99999999997</v>
      </c>
      <c r="N67" s="11">
        <f t="shared" si="1"/>
        <v>19.091000000000001</v>
      </c>
      <c r="S67" s="10"/>
    </row>
    <row r="68" spans="1:19">
      <c r="A68" t="s">
        <v>202</v>
      </c>
      <c r="B68" s="9">
        <v>41608</v>
      </c>
      <c r="C68" s="10">
        <v>5056</v>
      </c>
      <c r="D68" s="10">
        <v>14041</v>
      </c>
      <c r="E68" s="11">
        <v>2151.6</v>
      </c>
      <c r="F68" s="10">
        <v>0</v>
      </c>
      <c r="G68" s="10">
        <v>0</v>
      </c>
      <c r="H68" s="10"/>
      <c r="I68" s="19">
        <f t="shared" si="2"/>
        <v>6000</v>
      </c>
      <c r="J68" s="19">
        <f t="shared" si="3"/>
        <v>6666.666666666667</v>
      </c>
      <c r="K68" s="11">
        <f t="shared" si="6"/>
        <v>-2.2000000000000002</v>
      </c>
      <c r="L68" s="25">
        <f t="shared" si="4"/>
        <v>2799.9999999997272</v>
      </c>
      <c r="M68" s="43">
        <f t="shared" si="5"/>
        <v>-3466.666666666697</v>
      </c>
      <c r="N68" s="11">
        <f t="shared" si="1"/>
        <v>19.097000000000001</v>
      </c>
      <c r="S68" s="11"/>
    </row>
    <row r="69" spans="1:19">
      <c r="A69" t="s">
        <v>203</v>
      </c>
      <c r="B69" s="9">
        <v>41639</v>
      </c>
      <c r="C69" s="10">
        <v>5053</v>
      </c>
      <c r="D69" s="10">
        <v>14026</v>
      </c>
      <c r="E69" s="11">
        <v>2147.1999999999998</v>
      </c>
      <c r="F69" s="10">
        <v>0</v>
      </c>
      <c r="G69" s="10">
        <v>0</v>
      </c>
      <c r="H69" s="10"/>
      <c r="I69" s="19">
        <f t="shared" si="2"/>
        <v>-18000</v>
      </c>
      <c r="J69" s="19">
        <f t="shared" si="3"/>
        <v>-1000</v>
      </c>
      <c r="K69" s="11">
        <f t="shared" si="6"/>
        <v>-3.5714285714285716</v>
      </c>
      <c r="L69" s="25">
        <f t="shared" si="4"/>
        <v>-4400.0000000000909</v>
      </c>
      <c r="M69" s="43">
        <f t="shared" si="5"/>
        <v>-4166.666666666667</v>
      </c>
      <c r="N69" s="11">
        <f t="shared" si="1"/>
        <v>19.079000000000001</v>
      </c>
      <c r="S69" s="10"/>
    </row>
    <row r="70" spans="1:19">
      <c r="A70" t="s">
        <v>204</v>
      </c>
      <c r="B70" s="9">
        <v>41670</v>
      </c>
      <c r="C70" s="10">
        <v>5052</v>
      </c>
      <c r="D70" s="10">
        <v>14026</v>
      </c>
      <c r="E70" s="11">
        <v>2143.8000000000002</v>
      </c>
      <c r="F70" s="10">
        <v>0</v>
      </c>
      <c r="G70" s="10">
        <v>0</v>
      </c>
      <c r="H70" s="10"/>
      <c r="I70" s="19">
        <f t="shared" si="2"/>
        <v>-1000</v>
      </c>
      <c r="J70" s="19">
        <f t="shared" si="3"/>
        <v>-4333.333333333333</v>
      </c>
      <c r="K70" s="11">
        <f t="shared" si="6"/>
        <v>-0.94444444444444442</v>
      </c>
      <c r="L70" s="25">
        <f t="shared" si="4"/>
        <v>-3399.9999999996362</v>
      </c>
      <c r="M70" s="43">
        <f t="shared" si="5"/>
        <v>-1666.6666666666667</v>
      </c>
      <c r="N70" s="11">
        <f t="shared" si="1"/>
        <v>19.077999999999999</v>
      </c>
      <c r="S70" s="11"/>
    </row>
    <row r="71" spans="1:19">
      <c r="A71" t="s">
        <v>205</v>
      </c>
      <c r="B71" s="9">
        <v>41698</v>
      </c>
      <c r="C71" s="10">
        <v>5057</v>
      </c>
      <c r="D71" s="10">
        <v>14037</v>
      </c>
      <c r="E71" s="11">
        <v>2139.9</v>
      </c>
      <c r="F71" s="10">
        <v>0</v>
      </c>
      <c r="G71" s="10">
        <v>0</v>
      </c>
      <c r="H71" s="10"/>
      <c r="I71" s="19">
        <f t="shared" si="2"/>
        <v>16000</v>
      </c>
      <c r="J71" s="19">
        <f t="shared" si="3"/>
        <v>-1000</v>
      </c>
      <c r="K71" s="11">
        <f t="shared" si="6"/>
        <v>0.33333333333333326</v>
      </c>
      <c r="L71" s="25">
        <f t="shared" si="4"/>
        <v>-3900.0000000000909</v>
      </c>
      <c r="M71" s="43">
        <f t="shared" si="5"/>
        <v>-3899.9999999999395</v>
      </c>
      <c r="N71" s="11">
        <f t="shared" si="1"/>
        <v>19.094000000000001</v>
      </c>
      <c r="S71" s="10"/>
    </row>
    <row r="72" spans="1:19">
      <c r="A72" t="s">
        <v>206</v>
      </c>
      <c r="B72" s="9">
        <v>41729</v>
      </c>
      <c r="C72" s="10">
        <v>5055</v>
      </c>
      <c r="D72" s="10">
        <v>14050</v>
      </c>
      <c r="E72" s="11">
        <v>2137.9</v>
      </c>
      <c r="F72" s="10">
        <v>0</v>
      </c>
      <c r="G72" s="10">
        <v>0</v>
      </c>
      <c r="H72" s="10"/>
      <c r="I72" s="19">
        <f t="shared" si="2"/>
        <v>11000</v>
      </c>
      <c r="J72" s="19">
        <f t="shared" si="3"/>
        <v>8666.6666666666661</v>
      </c>
      <c r="K72" s="11">
        <f t="shared" si="6"/>
        <v>10</v>
      </c>
      <c r="L72" s="25">
        <f t="shared" si="4"/>
        <v>-2000</v>
      </c>
      <c r="M72" s="43">
        <f t="shared" si="5"/>
        <v>-3099.9999999999091</v>
      </c>
      <c r="N72" s="11">
        <f t="shared" ref="N72:N133" si="7">(C72+D72)/1000</f>
        <v>19.105</v>
      </c>
      <c r="S72" s="11"/>
    </row>
    <row r="73" spans="1:19">
      <c r="A73" t="s">
        <v>207</v>
      </c>
      <c r="B73" s="9">
        <v>41759</v>
      </c>
      <c r="C73" s="10">
        <v>5055</v>
      </c>
      <c r="D73" s="10">
        <v>14070</v>
      </c>
      <c r="E73" s="11">
        <v>2135.5</v>
      </c>
      <c r="F73" s="10">
        <v>0</v>
      </c>
      <c r="G73" s="10">
        <v>0</v>
      </c>
      <c r="H73" s="10"/>
      <c r="I73" s="19">
        <f t="shared" ref="I73:I133" si="8">IF(C73&lt;&gt;"", ((C73+D73)-(C72+D72))*1000, "")</f>
        <v>20000</v>
      </c>
      <c r="J73" s="19">
        <f t="shared" ref="J73:J133" si="9">IF(I72&lt;&gt;"", IF(I73&lt;&gt;"", (AVERAGE(I71:I73)), ""), "")</f>
        <v>15666.666666666666</v>
      </c>
      <c r="K73" s="11">
        <f t="shared" si="6"/>
        <v>-21</v>
      </c>
      <c r="L73" s="25">
        <f t="shared" ref="L73:L133" si="10">IF(E73&lt;&gt;"", ((E73-F73)-(E72-F72))*1000, "")</f>
        <v>-2400.0000000000909</v>
      </c>
      <c r="M73" s="43">
        <f t="shared" si="5"/>
        <v>-2766.6666666667275</v>
      </c>
      <c r="N73" s="11">
        <f t="shared" si="7"/>
        <v>19.125</v>
      </c>
      <c r="S73" s="10"/>
    </row>
    <row r="74" spans="1:19">
      <c r="A74" t="s">
        <v>208</v>
      </c>
      <c r="B74" s="9">
        <v>41790</v>
      </c>
      <c r="C74" s="10">
        <v>5051</v>
      </c>
      <c r="D74" s="10">
        <v>14053</v>
      </c>
      <c r="E74" s="11">
        <v>2136.1999999999998</v>
      </c>
      <c r="F74" s="10">
        <v>0</v>
      </c>
      <c r="G74" s="10">
        <v>0</v>
      </c>
      <c r="H74" s="10"/>
      <c r="I74" s="19">
        <f t="shared" si="8"/>
        <v>-21000</v>
      </c>
      <c r="J74" s="19">
        <f t="shared" si="9"/>
        <v>3333.3333333333335</v>
      </c>
      <c r="K74" s="11">
        <f t="shared" si="6"/>
        <v>-2.5</v>
      </c>
      <c r="L74" s="25">
        <f t="shared" si="10"/>
        <v>699.9999999998181</v>
      </c>
      <c r="M74" s="43">
        <f t="shared" si="5"/>
        <v>-1233.3333333334242</v>
      </c>
      <c r="N74" s="11">
        <f t="shared" si="7"/>
        <v>19.103999999999999</v>
      </c>
      <c r="S74" s="11"/>
    </row>
    <row r="75" spans="1:19">
      <c r="A75" t="s">
        <v>209</v>
      </c>
      <c r="B75" s="9">
        <v>41820</v>
      </c>
      <c r="C75" s="10">
        <v>5058</v>
      </c>
      <c r="D75" s="10">
        <v>14108</v>
      </c>
      <c r="E75" s="11">
        <v>2136.4</v>
      </c>
      <c r="F75" s="10">
        <v>0</v>
      </c>
      <c r="G75" s="10">
        <v>0</v>
      </c>
      <c r="H75" s="10"/>
      <c r="I75" s="19">
        <f t="shared" si="8"/>
        <v>62000</v>
      </c>
      <c r="J75" s="19">
        <f t="shared" si="9"/>
        <v>20333.333333333332</v>
      </c>
      <c r="K75" s="11">
        <f t="shared" si="6"/>
        <v>-4.0999999999999996</v>
      </c>
      <c r="L75" s="25">
        <f t="shared" si="10"/>
        <v>200.00000000027285</v>
      </c>
      <c r="M75" s="43">
        <f t="shared" ref="M75:M133" si="11">IF(L74&lt;&gt;"", IF(L75&lt;&gt;"", AVERAGE(L73:L75), ""), "")</f>
        <v>-500</v>
      </c>
      <c r="N75" s="11">
        <f t="shared" si="7"/>
        <v>19.166</v>
      </c>
      <c r="S75" s="10"/>
    </row>
    <row r="76" spans="1:19">
      <c r="A76" t="s">
        <v>210</v>
      </c>
      <c r="B76" s="9">
        <v>41851</v>
      </c>
      <c r="C76" s="10">
        <v>5035</v>
      </c>
      <c r="D76" s="10">
        <v>14135</v>
      </c>
      <c r="E76" s="11">
        <v>2139</v>
      </c>
      <c r="F76" s="10">
        <v>0</v>
      </c>
      <c r="G76" s="10">
        <v>0</v>
      </c>
      <c r="H76" s="10"/>
      <c r="I76" s="19">
        <f t="shared" si="8"/>
        <v>4000</v>
      </c>
      <c r="J76" s="19">
        <f t="shared" si="9"/>
        <v>15000</v>
      </c>
      <c r="K76" s="11">
        <f t="shared" si="6"/>
        <v>-1.2666666666666666</v>
      </c>
      <c r="L76" s="25">
        <f t="shared" si="10"/>
        <v>2599.9999999999091</v>
      </c>
      <c r="M76" s="43">
        <f t="shared" si="11"/>
        <v>1166.6666666666667</v>
      </c>
      <c r="N76" s="11">
        <f t="shared" si="7"/>
        <v>19.170000000000002</v>
      </c>
      <c r="S76" s="11"/>
    </row>
    <row r="77" spans="1:19">
      <c r="A77" t="s">
        <v>211</v>
      </c>
      <c r="B77" s="9">
        <v>41882</v>
      </c>
      <c r="C77" s="10">
        <v>5016</v>
      </c>
      <c r="D77" s="10">
        <v>14104</v>
      </c>
      <c r="E77" s="11">
        <v>2142.6</v>
      </c>
      <c r="F77" s="10">
        <v>0</v>
      </c>
      <c r="G77" s="10">
        <v>0</v>
      </c>
      <c r="H77" s="10"/>
      <c r="I77" s="19">
        <f t="shared" si="8"/>
        <v>-50000</v>
      </c>
      <c r="J77" s="19">
        <f t="shared" si="9"/>
        <v>5333.333333333333</v>
      </c>
      <c r="K77" s="11">
        <f t="shared" si="6"/>
        <v>-3.1739130434782608</v>
      </c>
      <c r="L77" s="25">
        <f t="shared" si="10"/>
        <v>3599.9999999999091</v>
      </c>
      <c r="M77" s="43">
        <f t="shared" si="11"/>
        <v>2133.3333333333635</v>
      </c>
      <c r="N77" s="11">
        <f t="shared" si="7"/>
        <v>19.12</v>
      </c>
      <c r="S77" s="10"/>
    </row>
    <row r="78" spans="1:19">
      <c r="A78" t="s">
        <v>303</v>
      </c>
      <c r="B78" s="9">
        <v>41912</v>
      </c>
      <c r="C78" s="10">
        <v>5041</v>
      </c>
      <c r="D78" s="10">
        <v>14121</v>
      </c>
      <c r="E78" s="11">
        <v>2141.1999999999998</v>
      </c>
      <c r="F78" s="10">
        <v>0</v>
      </c>
      <c r="G78" s="10">
        <v>0</v>
      </c>
      <c r="H78" s="10"/>
      <c r="I78" s="19">
        <f t="shared" si="8"/>
        <v>42000</v>
      </c>
      <c r="J78" s="19">
        <f t="shared" si="9"/>
        <v>-1333.3333333333333</v>
      </c>
      <c r="K78" s="11">
        <f t="shared" si="6"/>
        <v>7.4</v>
      </c>
      <c r="L78" s="25">
        <f t="shared" si="10"/>
        <v>-1400.0000000000909</v>
      </c>
      <c r="M78" s="43">
        <f t="shared" si="11"/>
        <v>1599.9999999999091</v>
      </c>
      <c r="N78" s="11">
        <f t="shared" si="7"/>
        <v>19.161999999999999</v>
      </c>
      <c r="S78" s="11"/>
    </row>
    <row r="79" spans="1:19">
      <c r="A79" t="s">
        <v>309</v>
      </c>
      <c r="B79" s="9">
        <v>41943</v>
      </c>
      <c r="C79" s="10">
        <v>5046</v>
      </c>
      <c r="D79" s="10">
        <v>14136</v>
      </c>
      <c r="E79" s="11">
        <v>2141.3000000000002</v>
      </c>
      <c r="F79" s="10">
        <v>0</v>
      </c>
      <c r="G79" s="10">
        <v>0</v>
      </c>
      <c r="H79" s="10"/>
      <c r="I79" s="19">
        <f t="shared" si="8"/>
        <v>20000</v>
      </c>
      <c r="J79" s="19">
        <f>IF(I78&lt;&gt;"", IF(I79&lt;&gt;"", (AVERAGE(I77:I79)), ""), "")</f>
        <v>4000</v>
      </c>
      <c r="K79" s="11">
        <f t="shared" si="6"/>
        <v>1.2222222222222223</v>
      </c>
      <c r="L79" s="25">
        <f t="shared" si="10"/>
        <v>100.0000000003638</v>
      </c>
      <c r="M79" s="43">
        <f t="shared" si="11"/>
        <v>766.66666666672734</v>
      </c>
      <c r="N79" s="11">
        <f t="shared" si="7"/>
        <v>19.181999999999999</v>
      </c>
      <c r="S79" s="10"/>
    </row>
    <row r="80" spans="1:19">
      <c r="A80" t="s">
        <v>311</v>
      </c>
      <c r="B80" s="9">
        <v>41973</v>
      </c>
      <c r="C80" s="10">
        <v>5053</v>
      </c>
      <c r="D80" s="10">
        <v>14139</v>
      </c>
      <c r="E80" s="11">
        <v>2145</v>
      </c>
      <c r="F80" s="10">
        <v>0</v>
      </c>
      <c r="G80" s="10">
        <v>0</v>
      </c>
      <c r="H80" s="10"/>
      <c r="I80" s="19">
        <f t="shared" si="8"/>
        <v>10000</v>
      </c>
      <c r="J80" s="19">
        <f t="shared" si="9"/>
        <v>24000</v>
      </c>
      <c r="K80" s="11">
        <f t="shared" si="6"/>
        <v>0.66666666666666674</v>
      </c>
      <c r="L80" s="25">
        <f t="shared" si="10"/>
        <v>3699.9999999998181</v>
      </c>
      <c r="M80" s="43">
        <f t="shared" si="11"/>
        <v>800.00000000003035</v>
      </c>
      <c r="N80" s="11">
        <f t="shared" si="7"/>
        <v>19.192</v>
      </c>
      <c r="S80" s="11"/>
    </row>
    <row r="81" spans="1:19">
      <c r="A81" t="s">
        <v>344</v>
      </c>
      <c r="B81" s="9">
        <v>42004</v>
      </c>
      <c r="C81" s="10">
        <v>5059</v>
      </c>
      <c r="D81" s="10">
        <v>14145</v>
      </c>
      <c r="E81" s="11">
        <v>2146.6999999999998</v>
      </c>
      <c r="F81" s="10">
        <v>0</v>
      </c>
      <c r="G81" s="10">
        <v>0</v>
      </c>
      <c r="H81" s="10"/>
      <c r="I81" s="19">
        <f t="shared" si="8"/>
        <v>12000</v>
      </c>
      <c r="J81" s="19">
        <f t="shared" si="9"/>
        <v>14000</v>
      </c>
      <c r="K81" s="11">
        <f t="shared" si="6"/>
        <v>-1.6666666666666665</v>
      </c>
      <c r="L81" s="25">
        <f t="shared" si="10"/>
        <v>1699.9999999998181</v>
      </c>
      <c r="M81" s="43">
        <f t="shared" si="11"/>
        <v>1833.3333333333333</v>
      </c>
      <c r="N81" s="11">
        <f t="shared" si="7"/>
        <v>19.204000000000001</v>
      </c>
      <c r="S81" s="10"/>
    </row>
    <row r="82" spans="1:19">
      <c r="A82" t="s">
        <v>345</v>
      </c>
      <c r="B82" s="9">
        <v>42035</v>
      </c>
      <c r="C82" s="10">
        <v>5066</v>
      </c>
      <c r="D82" s="10">
        <v>14149</v>
      </c>
      <c r="E82" s="11">
        <v>2149.6999999999998</v>
      </c>
      <c r="F82" s="10">
        <v>0</v>
      </c>
      <c r="G82" s="10">
        <v>0</v>
      </c>
      <c r="H82" s="10"/>
      <c r="I82" s="19">
        <f t="shared" si="8"/>
        <v>11000</v>
      </c>
      <c r="J82" s="19">
        <f t="shared" si="9"/>
        <v>11000</v>
      </c>
      <c r="K82" s="11">
        <f t="shared" si="6"/>
        <v>-12</v>
      </c>
      <c r="L82" s="25">
        <f t="shared" si="10"/>
        <v>3000</v>
      </c>
      <c r="M82" s="43">
        <f t="shared" si="11"/>
        <v>2799.9999999998786</v>
      </c>
      <c r="N82" s="11">
        <f t="shared" si="7"/>
        <v>19.215</v>
      </c>
      <c r="S82" s="11"/>
    </row>
    <row r="83" spans="1:19">
      <c r="A83" t="s">
        <v>347</v>
      </c>
      <c r="B83" s="9">
        <v>42063</v>
      </c>
      <c r="C83" s="10">
        <v>5072</v>
      </c>
      <c r="D83" s="10">
        <v>14160</v>
      </c>
      <c r="E83" s="11">
        <v>2151.5</v>
      </c>
      <c r="F83" s="10">
        <v>0</v>
      </c>
      <c r="G83" s="10">
        <v>0</v>
      </c>
      <c r="H83" s="10"/>
      <c r="I83" s="19">
        <f t="shared" si="8"/>
        <v>17000</v>
      </c>
      <c r="J83" s="19">
        <f t="shared" si="9"/>
        <v>13333.333333333334</v>
      </c>
      <c r="K83" s="11">
        <f t="shared" si="6"/>
        <v>6.25E-2</v>
      </c>
      <c r="L83" s="25">
        <f t="shared" si="10"/>
        <v>1800.0000000001819</v>
      </c>
      <c r="M83" s="43">
        <f t="shared" si="11"/>
        <v>2166.6666666666665</v>
      </c>
      <c r="N83" s="11">
        <f t="shared" si="7"/>
        <v>19.231999999999999</v>
      </c>
      <c r="S83" s="10"/>
    </row>
    <row r="84" spans="1:19">
      <c r="A84" t="s">
        <v>349</v>
      </c>
      <c r="B84" s="9">
        <v>42094</v>
      </c>
      <c r="C84" s="10">
        <v>5067</v>
      </c>
      <c r="D84" s="10">
        <v>14155</v>
      </c>
      <c r="E84" s="11">
        <v>2153.6999999999998</v>
      </c>
      <c r="F84" s="10">
        <v>0</v>
      </c>
      <c r="G84" s="10">
        <v>0</v>
      </c>
      <c r="H84" s="10"/>
      <c r="I84" s="19">
        <f t="shared" si="8"/>
        <v>-10000</v>
      </c>
      <c r="J84" s="19">
        <f t="shared" si="9"/>
        <v>6000</v>
      </c>
      <c r="K84" s="11">
        <f t="shared" ref="K84:K129" si="12">(I84/I72)-1</f>
        <v>-1.9090909090909092</v>
      </c>
      <c r="L84" s="25">
        <f t="shared" si="10"/>
        <v>2199.9999999998181</v>
      </c>
      <c r="M84" s="43">
        <f t="shared" si="11"/>
        <v>2333.3333333333335</v>
      </c>
      <c r="N84" s="11">
        <f t="shared" si="7"/>
        <v>19.222000000000001</v>
      </c>
      <c r="S84" s="11"/>
    </row>
    <row r="85" spans="1:19">
      <c r="A85" t="s">
        <v>351</v>
      </c>
      <c r="B85" s="9">
        <v>42124</v>
      </c>
      <c r="C85" s="10">
        <v>5072</v>
      </c>
      <c r="D85" s="10">
        <v>14174</v>
      </c>
      <c r="E85" s="11">
        <v>2155.3000000000002</v>
      </c>
      <c r="F85" s="10">
        <v>0</v>
      </c>
      <c r="G85" s="10">
        <v>0</v>
      </c>
      <c r="H85" s="10"/>
      <c r="I85" s="19">
        <f t="shared" si="8"/>
        <v>24000</v>
      </c>
      <c r="J85" s="19">
        <f t="shared" si="9"/>
        <v>10333.333333333334</v>
      </c>
      <c r="K85" s="11">
        <f t="shared" si="12"/>
        <v>0.19999999999999996</v>
      </c>
      <c r="L85" s="25">
        <f t="shared" si="10"/>
        <v>1600.0000000003638</v>
      </c>
      <c r="M85" s="43">
        <f t="shared" si="11"/>
        <v>1866.6666666667879</v>
      </c>
      <c r="N85" s="11">
        <f t="shared" si="7"/>
        <v>19.245999999999999</v>
      </c>
      <c r="S85" s="10"/>
    </row>
    <row r="86" spans="1:19">
      <c r="A86" t="s">
        <v>353</v>
      </c>
      <c r="B86" s="9">
        <v>42155</v>
      </c>
      <c r="C86" s="10">
        <v>5076</v>
      </c>
      <c r="D86" s="10">
        <v>14185</v>
      </c>
      <c r="E86" s="11">
        <v>2158.1999999999998</v>
      </c>
      <c r="F86" s="10">
        <v>0</v>
      </c>
      <c r="G86" s="10">
        <v>0</v>
      </c>
      <c r="H86" s="10"/>
      <c r="I86" s="19">
        <f t="shared" si="8"/>
        <v>15000</v>
      </c>
      <c r="J86" s="19">
        <f t="shared" si="9"/>
        <v>9666.6666666666661</v>
      </c>
      <c r="K86" s="11">
        <f t="shared" si="12"/>
        <v>-1.7142857142857144</v>
      </c>
      <c r="L86" s="25">
        <f t="shared" si="10"/>
        <v>2899.9999999996362</v>
      </c>
      <c r="M86" s="43">
        <f t="shared" si="11"/>
        <v>2233.3333333332725</v>
      </c>
      <c r="N86" s="11">
        <f t="shared" si="7"/>
        <v>19.260999999999999</v>
      </c>
      <c r="S86" s="11"/>
    </row>
    <row r="87" spans="1:19">
      <c r="A87" t="s">
        <v>356</v>
      </c>
      <c r="B87" s="9">
        <v>42185</v>
      </c>
      <c r="C87" s="10">
        <v>5069</v>
      </c>
      <c r="D87" s="10">
        <v>14189</v>
      </c>
      <c r="E87" s="11">
        <v>2158</v>
      </c>
      <c r="F87" s="10">
        <v>0</v>
      </c>
      <c r="G87" s="10">
        <v>0</v>
      </c>
      <c r="H87" s="10"/>
      <c r="I87" s="19">
        <f t="shared" si="8"/>
        <v>-3000</v>
      </c>
      <c r="J87" s="19">
        <f t="shared" si="9"/>
        <v>12000</v>
      </c>
      <c r="K87" s="11">
        <f t="shared" si="12"/>
        <v>-1.0483870967741935</v>
      </c>
      <c r="L87" s="25">
        <f t="shared" si="10"/>
        <v>-199.9999999998181</v>
      </c>
      <c r="M87" s="43">
        <f t="shared" si="11"/>
        <v>1433.333333333394</v>
      </c>
      <c r="N87" s="11">
        <f t="shared" si="7"/>
        <v>19.257999999999999</v>
      </c>
      <c r="S87" s="10"/>
    </row>
    <row r="88" spans="1:19">
      <c r="A88" t="s">
        <v>359</v>
      </c>
      <c r="B88" s="9">
        <v>42216</v>
      </c>
      <c r="C88" s="10">
        <v>5072</v>
      </c>
      <c r="D88" s="10">
        <v>14223</v>
      </c>
      <c r="E88" s="11">
        <v>2161.6999999999998</v>
      </c>
      <c r="F88" s="10">
        <v>0</v>
      </c>
      <c r="G88" s="10">
        <v>0</v>
      </c>
      <c r="H88" s="10"/>
      <c r="I88" s="19">
        <f t="shared" si="8"/>
        <v>37000</v>
      </c>
      <c r="J88" s="19">
        <f t="shared" si="9"/>
        <v>16333.333333333334</v>
      </c>
      <c r="K88" s="11">
        <f t="shared" si="12"/>
        <v>8.25</v>
      </c>
      <c r="L88" s="25">
        <f t="shared" si="10"/>
        <v>3699.9999999998181</v>
      </c>
      <c r="M88" s="43">
        <f t="shared" si="11"/>
        <v>2133.3333333332121</v>
      </c>
      <c r="N88" s="11">
        <f t="shared" si="7"/>
        <v>19.295000000000002</v>
      </c>
      <c r="S88" s="11"/>
    </row>
    <row r="89" spans="1:19">
      <c r="A89" t="s">
        <v>360</v>
      </c>
      <c r="B89" s="9">
        <v>42247</v>
      </c>
      <c r="C89" s="10">
        <v>5076</v>
      </c>
      <c r="D89" s="10">
        <v>14226</v>
      </c>
      <c r="E89" s="11">
        <v>2163.1</v>
      </c>
      <c r="F89" s="10">
        <v>0</v>
      </c>
      <c r="G89" s="10">
        <v>0</v>
      </c>
      <c r="H89" s="10"/>
      <c r="I89" s="19">
        <f t="shared" si="8"/>
        <v>7000</v>
      </c>
      <c r="J89" s="19">
        <f t="shared" si="9"/>
        <v>13666.666666666666</v>
      </c>
      <c r="K89" s="11">
        <f t="shared" si="12"/>
        <v>-1.1400000000000001</v>
      </c>
      <c r="L89" s="25">
        <f t="shared" si="10"/>
        <v>1400.0000000000909</v>
      </c>
      <c r="M89" s="43">
        <f t="shared" si="11"/>
        <v>1633.3333333333637</v>
      </c>
      <c r="N89" s="11">
        <f t="shared" si="7"/>
        <v>19.302</v>
      </c>
      <c r="S89" s="10"/>
    </row>
    <row r="90" spans="1:19">
      <c r="A90" t="s">
        <v>361</v>
      </c>
      <c r="B90" s="9">
        <v>42277</v>
      </c>
      <c r="C90" s="10">
        <v>5085</v>
      </c>
      <c r="D90" s="10">
        <v>14198</v>
      </c>
      <c r="E90" s="11">
        <v>2163.1999999999998</v>
      </c>
      <c r="F90" s="10">
        <v>0</v>
      </c>
      <c r="G90" s="10">
        <v>0</v>
      </c>
      <c r="H90" s="10"/>
      <c r="I90" s="19">
        <f t="shared" si="8"/>
        <v>-19000</v>
      </c>
      <c r="J90" s="19">
        <f t="shared" si="9"/>
        <v>8333.3333333333339</v>
      </c>
      <c r="K90" s="11">
        <f t="shared" si="12"/>
        <v>-1.4523809523809523</v>
      </c>
      <c r="L90" s="25">
        <f t="shared" si="10"/>
        <v>99.999999999909051</v>
      </c>
      <c r="M90" s="43">
        <f t="shared" si="11"/>
        <v>1733.3333333332728</v>
      </c>
      <c r="N90" s="11">
        <f t="shared" si="7"/>
        <v>19.283000000000001</v>
      </c>
      <c r="S90" s="11"/>
    </row>
    <row r="91" spans="1:19">
      <c r="A91" t="s">
        <v>364</v>
      </c>
      <c r="B91" s="9">
        <v>42308</v>
      </c>
      <c r="C91" s="10">
        <v>5086</v>
      </c>
      <c r="D91" s="10">
        <v>14215</v>
      </c>
      <c r="E91" s="11">
        <v>2159.4</v>
      </c>
      <c r="F91" s="10">
        <v>0</v>
      </c>
      <c r="G91" s="10">
        <v>0</v>
      </c>
      <c r="H91" s="10"/>
      <c r="I91" s="19">
        <f t="shared" si="8"/>
        <v>18000</v>
      </c>
      <c r="J91" s="19">
        <f t="shared" si="9"/>
        <v>2000</v>
      </c>
      <c r="K91" s="11">
        <f t="shared" si="12"/>
        <v>-9.9999999999999978E-2</v>
      </c>
      <c r="L91" s="25">
        <f t="shared" si="10"/>
        <v>-3799.9999999997272</v>
      </c>
      <c r="M91" s="43">
        <f t="shared" si="11"/>
        <v>-766.66666666657568</v>
      </c>
      <c r="N91" s="11">
        <f t="shared" si="7"/>
        <v>19.300999999999998</v>
      </c>
      <c r="S91" s="10"/>
    </row>
    <row r="92" spans="1:19">
      <c r="A92" t="s">
        <v>365</v>
      </c>
      <c r="B92" s="9">
        <v>42338</v>
      </c>
      <c r="C92" s="10">
        <v>5090</v>
      </c>
      <c r="D92" s="10">
        <v>14222</v>
      </c>
      <c r="E92" s="11">
        <v>2165.6</v>
      </c>
      <c r="F92" s="10">
        <v>0</v>
      </c>
      <c r="G92" s="10">
        <v>0</v>
      </c>
      <c r="H92" s="10"/>
      <c r="I92" s="19">
        <f t="shared" si="8"/>
        <v>11000</v>
      </c>
      <c r="J92" s="19">
        <f t="shared" si="9"/>
        <v>3333.3333333333335</v>
      </c>
      <c r="K92" s="11">
        <f t="shared" si="12"/>
        <v>0.10000000000000009</v>
      </c>
      <c r="L92" s="25">
        <f t="shared" si="10"/>
        <v>6199.9999999998181</v>
      </c>
      <c r="M92" s="43">
        <f t="shared" si="11"/>
        <v>833.33333333333337</v>
      </c>
      <c r="N92" s="11">
        <f t="shared" si="7"/>
        <v>19.312000000000001</v>
      </c>
      <c r="S92" s="11"/>
    </row>
    <row r="93" spans="1:19">
      <c r="A93" t="s">
        <v>368</v>
      </c>
      <c r="B93" s="9">
        <v>42369</v>
      </c>
      <c r="C93" s="10">
        <v>5091</v>
      </c>
      <c r="D93" s="10">
        <v>14234</v>
      </c>
      <c r="E93" s="11">
        <v>2171.6</v>
      </c>
      <c r="F93" s="10">
        <v>0</v>
      </c>
      <c r="G93" s="10">
        <v>0</v>
      </c>
      <c r="H93" s="10"/>
      <c r="I93" s="19">
        <f t="shared" si="8"/>
        <v>13000</v>
      </c>
      <c r="J93" s="19">
        <f t="shared" si="9"/>
        <v>14000</v>
      </c>
      <c r="K93" s="11">
        <f t="shared" si="12"/>
        <v>8.3333333333333259E-2</v>
      </c>
      <c r="L93" s="104">
        <f t="shared" si="10"/>
        <v>6000</v>
      </c>
      <c r="M93" s="43">
        <f t="shared" si="11"/>
        <v>2800.0000000000305</v>
      </c>
      <c r="N93" s="11">
        <f t="shared" si="7"/>
        <v>19.324999999999999</v>
      </c>
      <c r="S93" s="10"/>
    </row>
    <row r="94" spans="1:19">
      <c r="A94" t="s">
        <v>384</v>
      </c>
      <c r="B94" s="9">
        <v>42400</v>
      </c>
      <c r="C94" s="10">
        <v>5092</v>
      </c>
      <c r="D94" s="10">
        <v>14258</v>
      </c>
      <c r="E94" s="11">
        <v>2171.4</v>
      </c>
      <c r="F94" s="10">
        <v>0</v>
      </c>
      <c r="G94" s="10">
        <v>0</v>
      </c>
      <c r="H94" s="10"/>
      <c r="I94" s="19">
        <f>IF(C94&lt;&gt;"", ((C94+D94)-(C93+D93))*1000, "")</f>
        <v>25000</v>
      </c>
      <c r="J94" s="19">
        <f>IF(I93&lt;&gt;"", IF(I94&lt;&gt;"", (AVERAGE(I92:I94)), ""), "")</f>
        <v>16333.333333333334</v>
      </c>
      <c r="K94" s="11">
        <f t="shared" si="12"/>
        <v>1.2727272727272729</v>
      </c>
      <c r="L94" s="25">
        <f>IF(E94&lt;&gt;"", ((E94-F94)-(E93-F93))*1000, "")</f>
        <v>-199.9999999998181</v>
      </c>
      <c r="M94" s="43">
        <f>IF(L93&lt;&gt;"", IF(L94&lt;&gt;"", AVERAGE(L92:L94), ""), "")</f>
        <v>4000</v>
      </c>
      <c r="N94" s="11">
        <f t="shared" si="7"/>
        <v>19.350000000000001</v>
      </c>
      <c r="S94" s="11"/>
    </row>
    <row r="95" spans="1:19">
      <c r="A95" t="s">
        <v>411</v>
      </c>
      <c r="B95" s="9">
        <v>42429</v>
      </c>
      <c r="C95" s="10">
        <v>5086</v>
      </c>
      <c r="D95" s="10">
        <v>14279</v>
      </c>
      <c r="E95" s="11">
        <v>2173.1999999999998</v>
      </c>
      <c r="F95" s="10">
        <v>0</v>
      </c>
      <c r="G95" s="10">
        <v>0</v>
      </c>
      <c r="H95" s="10"/>
      <c r="I95" s="19">
        <f t="shared" si="8"/>
        <v>15000</v>
      </c>
      <c r="J95" s="19">
        <f>IF(I94&lt;&gt;"", IF(I95&lt;&gt;"", (AVERAGE(I93:I95)), ""), "")</f>
        <v>17666.666666666668</v>
      </c>
      <c r="K95" s="11">
        <f t="shared" si="12"/>
        <v>-0.11764705882352944</v>
      </c>
      <c r="L95" s="25">
        <f t="shared" si="10"/>
        <v>1799.9999999997272</v>
      </c>
      <c r="M95" s="43">
        <f>IF(L94&lt;&gt;"", IF(L95&lt;&gt;"", AVERAGE(L93:L95), ""), "")</f>
        <v>2533.333333333303</v>
      </c>
      <c r="N95" s="11">
        <f t="shared" si="7"/>
        <v>19.364999999999998</v>
      </c>
      <c r="S95" s="10"/>
    </row>
    <row r="96" spans="1:19">
      <c r="A96" t="s">
        <v>412</v>
      </c>
      <c r="B96" s="9">
        <v>42460</v>
      </c>
      <c r="C96" s="10">
        <v>5095</v>
      </c>
      <c r="D96" s="10">
        <v>14305</v>
      </c>
      <c r="E96" s="11">
        <v>2176.5</v>
      </c>
      <c r="F96" s="10">
        <v>0</v>
      </c>
      <c r="G96" s="10">
        <v>0</v>
      </c>
      <c r="H96" s="10"/>
      <c r="I96" s="19">
        <f t="shared" si="8"/>
        <v>35000</v>
      </c>
      <c r="J96" s="19">
        <f t="shared" si="9"/>
        <v>25000</v>
      </c>
      <c r="K96" s="11">
        <f t="shared" si="12"/>
        <v>-4.5</v>
      </c>
      <c r="L96" s="25">
        <f t="shared" si="10"/>
        <v>3300.0000000001819</v>
      </c>
      <c r="M96" s="43">
        <f t="shared" si="11"/>
        <v>1633.3333333333637</v>
      </c>
      <c r="N96" s="11">
        <f t="shared" si="7"/>
        <v>19.399999999999999</v>
      </c>
      <c r="S96" s="11"/>
    </row>
    <row r="97" spans="1:19">
      <c r="A97" t="s">
        <v>422</v>
      </c>
      <c r="B97" s="9">
        <v>42490</v>
      </c>
      <c r="C97" s="10">
        <v>5099</v>
      </c>
      <c r="D97" s="10">
        <v>14307</v>
      </c>
      <c r="E97" s="11">
        <v>2179.1</v>
      </c>
      <c r="F97" s="10">
        <v>0</v>
      </c>
      <c r="G97" s="10">
        <v>0</v>
      </c>
      <c r="H97" s="10"/>
      <c r="I97" s="19">
        <f t="shared" si="8"/>
        <v>6000</v>
      </c>
      <c r="J97" s="19">
        <f t="shared" si="9"/>
        <v>18666.666666666668</v>
      </c>
      <c r="K97" s="11">
        <f t="shared" si="12"/>
        <v>-0.75</v>
      </c>
      <c r="L97" s="25">
        <f t="shared" si="10"/>
        <v>2599.9999999999091</v>
      </c>
      <c r="M97" s="43">
        <f t="shared" si="11"/>
        <v>2566.666666666606</v>
      </c>
      <c r="N97" s="11">
        <f t="shared" si="7"/>
        <v>19.405999999999999</v>
      </c>
      <c r="S97" s="10"/>
    </row>
    <row r="98" spans="1:19">
      <c r="A98" t="s">
        <v>423</v>
      </c>
      <c r="B98" s="9">
        <v>42521</v>
      </c>
      <c r="C98" s="10">
        <v>5092</v>
      </c>
      <c r="D98" s="10">
        <v>14312</v>
      </c>
      <c r="E98" s="11">
        <v>2183.1999999999998</v>
      </c>
      <c r="F98" s="10">
        <v>0</v>
      </c>
      <c r="G98" s="10">
        <v>0</v>
      </c>
      <c r="H98" s="10"/>
      <c r="I98" s="19">
        <f t="shared" si="8"/>
        <v>-2000</v>
      </c>
      <c r="J98" s="19">
        <f t="shared" si="9"/>
        <v>13000</v>
      </c>
      <c r="K98" s="11">
        <f t="shared" si="12"/>
        <v>-1.1333333333333333</v>
      </c>
      <c r="L98" s="25">
        <f t="shared" si="10"/>
        <v>4099.9999999999091</v>
      </c>
      <c r="M98" s="43">
        <f t="shared" si="11"/>
        <v>3333.3333333333335</v>
      </c>
      <c r="N98" s="11">
        <f t="shared" si="7"/>
        <v>19.404</v>
      </c>
      <c r="S98" s="11"/>
    </row>
    <row r="99" spans="1:19">
      <c r="A99" t="s">
        <v>424</v>
      </c>
      <c r="B99" s="9">
        <v>42551</v>
      </c>
      <c r="C99" s="10">
        <v>5108</v>
      </c>
      <c r="D99" s="10">
        <v>14297</v>
      </c>
      <c r="E99" s="11">
        <v>2188.1</v>
      </c>
      <c r="F99" s="10">
        <v>0</v>
      </c>
      <c r="G99" s="10">
        <v>0</v>
      </c>
      <c r="H99" s="10"/>
      <c r="I99" s="19">
        <f t="shared" si="8"/>
        <v>1000</v>
      </c>
      <c r="J99" s="19">
        <f t="shared" si="9"/>
        <v>1666.6666666666667</v>
      </c>
      <c r="K99" s="11">
        <f t="shared" si="12"/>
        <v>-1.3333333333333333</v>
      </c>
      <c r="L99" s="25">
        <f t="shared" si="10"/>
        <v>4900.0000000000909</v>
      </c>
      <c r="M99" s="43">
        <f t="shared" si="11"/>
        <v>3866.6666666666365</v>
      </c>
      <c r="N99" s="11">
        <f t="shared" si="7"/>
        <v>19.405000000000001</v>
      </c>
      <c r="S99" s="10"/>
    </row>
    <row r="100" spans="1:19">
      <c r="A100" t="s">
        <v>428</v>
      </c>
      <c r="B100" s="9">
        <v>42582</v>
      </c>
      <c r="C100" s="10">
        <v>5117</v>
      </c>
      <c r="D100" s="10">
        <v>14380</v>
      </c>
      <c r="E100" s="11">
        <v>2192</v>
      </c>
      <c r="F100" s="10">
        <v>0</v>
      </c>
      <c r="G100" s="10">
        <v>0</v>
      </c>
      <c r="H100" s="10"/>
      <c r="I100" s="19">
        <f t="shared" si="8"/>
        <v>92000</v>
      </c>
      <c r="J100" s="19">
        <f t="shared" si="9"/>
        <v>30333.333333333332</v>
      </c>
      <c r="K100" s="11">
        <f t="shared" si="12"/>
        <v>1.4864864864864864</v>
      </c>
      <c r="L100" s="25">
        <f t="shared" si="10"/>
        <v>3900.0000000000909</v>
      </c>
      <c r="M100" s="43">
        <f t="shared" si="11"/>
        <v>4300.00000000003</v>
      </c>
      <c r="N100" s="11">
        <f t="shared" si="7"/>
        <v>19.497</v>
      </c>
      <c r="S100" s="11"/>
    </row>
    <row r="101" spans="1:19">
      <c r="A101" t="s">
        <v>429</v>
      </c>
      <c r="B101" s="9">
        <v>42613</v>
      </c>
      <c r="C101" s="10">
        <v>5112</v>
      </c>
      <c r="D101" s="10">
        <v>14356</v>
      </c>
      <c r="E101" s="11">
        <v>2189.9</v>
      </c>
      <c r="F101" s="10">
        <v>0</v>
      </c>
      <c r="G101" s="10">
        <v>0</v>
      </c>
      <c r="H101" s="10"/>
      <c r="I101" s="19">
        <f t="shared" si="8"/>
        <v>-29000</v>
      </c>
      <c r="J101" s="19">
        <f t="shared" si="9"/>
        <v>21333.333333333332</v>
      </c>
      <c r="K101" s="11">
        <f t="shared" si="12"/>
        <v>-5.1428571428571432</v>
      </c>
      <c r="L101" s="25">
        <f t="shared" si="10"/>
        <v>-2099.9999999999091</v>
      </c>
      <c r="M101" s="43">
        <f t="shared" si="11"/>
        <v>2233.3333333334244</v>
      </c>
      <c r="N101" s="11">
        <f t="shared" si="7"/>
        <v>19.468</v>
      </c>
      <c r="S101" s="10"/>
    </row>
    <row r="102" spans="1:19">
      <c r="A102" t="s">
        <v>430</v>
      </c>
      <c r="B102" s="9">
        <v>42643</v>
      </c>
      <c r="C102" s="10">
        <v>5146</v>
      </c>
      <c r="D102" s="10">
        <v>14344</v>
      </c>
      <c r="E102" s="11">
        <v>2193</v>
      </c>
      <c r="F102" s="10">
        <v>0</v>
      </c>
      <c r="G102" s="10">
        <v>0</v>
      </c>
      <c r="H102" s="10"/>
      <c r="I102" s="19">
        <f t="shared" si="8"/>
        <v>22000</v>
      </c>
      <c r="J102" s="19">
        <f t="shared" si="9"/>
        <v>28333.333333333332</v>
      </c>
      <c r="K102" s="11">
        <f t="shared" si="12"/>
        <v>-2.1578947368421053</v>
      </c>
      <c r="L102" s="25">
        <f t="shared" si="10"/>
        <v>3099.9999999999091</v>
      </c>
      <c r="M102" s="43">
        <f t="shared" si="11"/>
        <v>1633.3333333333637</v>
      </c>
      <c r="N102" s="11">
        <f t="shared" si="7"/>
        <v>19.489999999999998</v>
      </c>
      <c r="S102" s="11"/>
    </row>
    <row r="103" spans="1:19">
      <c r="A103" t="s">
        <v>433</v>
      </c>
      <c r="B103" s="9">
        <v>42674</v>
      </c>
      <c r="C103" s="10">
        <v>5137</v>
      </c>
      <c r="D103" s="10">
        <v>14351</v>
      </c>
      <c r="E103" s="11">
        <v>2194.3000000000002</v>
      </c>
      <c r="F103" s="10">
        <v>0</v>
      </c>
      <c r="G103" s="10">
        <v>0</v>
      </c>
      <c r="H103" s="10"/>
      <c r="I103" s="19">
        <f t="shared" si="8"/>
        <v>-2000</v>
      </c>
      <c r="J103" s="19">
        <f t="shared" si="9"/>
        <v>-3000</v>
      </c>
      <c r="K103" s="11">
        <f t="shared" si="12"/>
        <v>-1.1111111111111112</v>
      </c>
      <c r="L103" s="25">
        <f t="shared" si="10"/>
        <v>1300.0000000001819</v>
      </c>
      <c r="M103" s="43">
        <f t="shared" si="11"/>
        <v>766.66666666672734</v>
      </c>
      <c r="N103" s="11">
        <f t="shared" si="7"/>
        <v>19.488</v>
      </c>
      <c r="S103" s="10"/>
    </row>
    <row r="104" spans="1:19">
      <c r="A104" t="s">
        <v>434</v>
      </c>
      <c r="B104" s="9">
        <v>42704</v>
      </c>
      <c r="C104" s="10">
        <v>5136</v>
      </c>
      <c r="D104" s="10">
        <v>14345</v>
      </c>
      <c r="E104" s="11">
        <v>2187.1999999999998</v>
      </c>
      <c r="F104" s="10">
        <v>0</v>
      </c>
      <c r="G104" s="10">
        <v>0</v>
      </c>
      <c r="H104" s="10"/>
      <c r="I104" s="19">
        <f t="shared" si="8"/>
        <v>-7000</v>
      </c>
      <c r="J104" s="19">
        <f t="shared" si="9"/>
        <v>4333.333333333333</v>
      </c>
      <c r="K104" s="11">
        <f t="shared" si="12"/>
        <v>-1.6363636363636362</v>
      </c>
      <c r="L104" s="25">
        <f t="shared" si="10"/>
        <v>-7100.0000000003638</v>
      </c>
      <c r="M104" s="43">
        <f t="shared" si="11"/>
        <v>-900.00000000009095</v>
      </c>
      <c r="N104" s="11">
        <f t="shared" si="7"/>
        <v>19.481000000000002</v>
      </c>
      <c r="S104" s="11"/>
    </row>
    <row r="105" spans="1:19">
      <c r="A105" t="s">
        <v>435</v>
      </c>
      <c r="B105" s="9">
        <v>42735</v>
      </c>
      <c r="C105" s="10">
        <v>5137</v>
      </c>
      <c r="D105" s="10">
        <v>14350</v>
      </c>
      <c r="E105" s="11">
        <v>2199.1999999999998</v>
      </c>
      <c r="F105" s="10">
        <v>0</v>
      </c>
      <c r="G105" s="10">
        <v>0</v>
      </c>
      <c r="H105" s="10"/>
      <c r="I105" s="19">
        <f t="shared" si="8"/>
        <v>6000</v>
      </c>
      <c r="J105" s="19">
        <f t="shared" si="9"/>
        <v>-1000</v>
      </c>
      <c r="K105" s="11">
        <f t="shared" si="12"/>
        <v>-0.53846153846153844</v>
      </c>
      <c r="L105" s="25">
        <f t="shared" si="10"/>
        <v>12000</v>
      </c>
      <c r="M105" s="43">
        <f t="shared" si="11"/>
        <v>2066.666666666606</v>
      </c>
      <c r="N105" s="11">
        <f t="shared" si="7"/>
        <v>19.486999999999998</v>
      </c>
      <c r="S105" s="10"/>
    </row>
    <row r="106" spans="1:19">
      <c r="A106" t="s">
        <v>449</v>
      </c>
      <c r="B106" s="9">
        <v>42766</v>
      </c>
      <c r="C106" s="10">
        <v>5150</v>
      </c>
      <c r="D106" s="10">
        <v>14350</v>
      </c>
      <c r="E106" s="11">
        <v>2198.9</v>
      </c>
      <c r="F106" s="10">
        <v>0</v>
      </c>
      <c r="G106" s="10">
        <v>0</v>
      </c>
      <c r="H106" s="10"/>
      <c r="I106" s="19">
        <f t="shared" si="8"/>
        <v>13000</v>
      </c>
      <c r="J106" s="19">
        <f t="shared" si="9"/>
        <v>4000</v>
      </c>
      <c r="K106" s="11">
        <f t="shared" si="12"/>
        <v>-0.48</v>
      </c>
      <c r="L106" s="25">
        <f t="shared" si="10"/>
        <v>-299.99999999972715</v>
      </c>
      <c r="M106" s="43">
        <f t="shared" si="11"/>
        <v>1533.333333333303</v>
      </c>
      <c r="N106" s="11">
        <f t="shared" si="7"/>
        <v>19.5</v>
      </c>
      <c r="S106" s="11"/>
    </row>
    <row r="107" spans="1:19">
      <c r="A107" t="s">
        <v>450</v>
      </c>
      <c r="B107" s="9">
        <v>42794</v>
      </c>
      <c r="C107" s="10">
        <v>5164</v>
      </c>
      <c r="D107" s="10">
        <v>14344</v>
      </c>
      <c r="E107" s="11">
        <v>2197.3000000000002</v>
      </c>
      <c r="F107" s="10">
        <v>0</v>
      </c>
      <c r="G107" s="10">
        <v>0</v>
      </c>
      <c r="H107" s="10"/>
      <c r="I107" s="19">
        <f t="shared" si="8"/>
        <v>8000</v>
      </c>
      <c r="J107" s="19">
        <f t="shared" si="9"/>
        <v>9000</v>
      </c>
      <c r="K107" s="11">
        <f t="shared" si="12"/>
        <v>-0.46666666666666667</v>
      </c>
      <c r="L107" s="25">
        <f t="shared" si="10"/>
        <v>-1599.9999999999091</v>
      </c>
      <c r="M107" s="43">
        <f t="shared" si="11"/>
        <v>3366.6666666667879</v>
      </c>
      <c r="N107" s="11">
        <f t="shared" si="7"/>
        <v>19.507999999999999</v>
      </c>
      <c r="S107" s="10"/>
    </row>
    <row r="108" spans="1:19">
      <c r="A108" t="s">
        <v>451</v>
      </c>
      <c r="B108" s="9">
        <v>42825</v>
      </c>
      <c r="C108" s="10">
        <v>5167</v>
      </c>
      <c r="D108" s="10">
        <v>14352</v>
      </c>
      <c r="E108" s="11">
        <v>2193.3000000000002</v>
      </c>
      <c r="F108" s="10">
        <v>0</v>
      </c>
      <c r="G108" s="10">
        <v>0</v>
      </c>
      <c r="H108" s="10"/>
      <c r="I108" s="19">
        <f t="shared" si="8"/>
        <v>11000</v>
      </c>
      <c r="J108" s="19">
        <f t="shared" si="9"/>
        <v>10666.666666666666</v>
      </c>
      <c r="K108" s="11">
        <f t="shared" si="12"/>
        <v>-0.68571428571428572</v>
      </c>
      <c r="L108" s="25">
        <f t="shared" si="10"/>
        <v>-4000</v>
      </c>
      <c r="M108" s="43">
        <f t="shared" si="11"/>
        <v>-1966.6666666665453</v>
      </c>
      <c r="N108" s="11">
        <f t="shared" si="7"/>
        <v>19.518999999999998</v>
      </c>
      <c r="S108" s="11"/>
    </row>
    <row r="109" spans="1:19">
      <c r="A109" t="s">
        <v>452</v>
      </c>
      <c r="B109" s="9">
        <v>42855</v>
      </c>
      <c r="C109" s="10">
        <v>5167</v>
      </c>
      <c r="D109" s="10">
        <v>14365</v>
      </c>
      <c r="E109" s="11">
        <v>2188.4</v>
      </c>
      <c r="F109" s="10">
        <v>0</v>
      </c>
      <c r="G109" s="10">
        <v>0</v>
      </c>
      <c r="H109" s="10"/>
      <c r="I109" s="19">
        <f t="shared" si="8"/>
        <v>13000</v>
      </c>
      <c r="J109" s="19">
        <f t="shared" si="9"/>
        <v>10666.666666666666</v>
      </c>
      <c r="K109" s="11">
        <f t="shared" si="12"/>
        <v>1.1666666666666665</v>
      </c>
      <c r="L109" s="25">
        <f t="shared" si="10"/>
        <v>-4900.0000000000909</v>
      </c>
      <c r="M109" s="43">
        <f t="shared" si="11"/>
        <v>-3500</v>
      </c>
      <c r="N109" s="11">
        <f t="shared" si="7"/>
        <v>19.532</v>
      </c>
      <c r="S109" s="10"/>
    </row>
    <row r="110" spans="1:19">
      <c r="A110" t="s">
        <v>453</v>
      </c>
      <c r="B110" s="9">
        <v>42886</v>
      </c>
      <c r="C110" s="10">
        <v>5170</v>
      </c>
      <c r="D110" s="10">
        <v>14353</v>
      </c>
      <c r="E110" s="11">
        <v>2191.3000000000002</v>
      </c>
      <c r="F110" s="10">
        <v>0</v>
      </c>
      <c r="G110" s="10">
        <v>0</v>
      </c>
      <c r="H110" s="10"/>
      <c r="I110" s="19">
        <f t="shared" si="8"/>
        <v>-9000</v>
      </c>
      <c r="J110" s="19">
        <f t="shared" si="9"/>
        <v>5000</v>
      </c>
      <c r="K110" s="11">
        <f t="shared" si="12"/>
        <v>3.5</v>
      </c>
      <c r="L110" s="25">
        <f t="shared" si="10"/>
        <v>2900.0000000000909</v>
      </c>
      <c r="M110" s="43">
        <f t="shared" si="11"/>
        <v>-2000</v>
      </c>
      <c r="N110" s="11">
        <f t="shared" si="7"/>
        <v>19.523</v>
      </c>
      <c r="S110" s="11"/>
    </row>
    <row r="111" spans="1:19">
      <c r="A111" t="s">
        <v>454</v>
      </c>
      <c r="B111" s="9">
        <v>42916</v>
      </c>
      <c r="C111" s="10">
        <v>5170</v>
      </c>
      <c r="D111" s="10">
        <v>14379</v>
      </c>
      <c r="E111" s="11">
        <v>2189.3000000000002</v>
      </c>
      <c r="F111" s="10">
        <v>0</v>
      </c>
      <c r="G111" s="10">
        <v>0</v>
      </c>
      <c r="H111" s="10"/>
      <c r="I111" s="19">
        <f t="shared" si="8"/>
        <v>26000</v>
      </c>
      <c r="J111" s="19">
        <f t="shared" si="9"/>
        <v>10000</v>
      </c>
      <c r="K111" s="11">
        <f t="shared" si="12"/>
        <v>25</v>
      </c>
      <c r="L111" s="25">
        <f t="shared" si="10"/>
        <v>-2000</v>
      </c>
      <c r="M111" s="43">
        <f t="shared" si="11"/>
        <v>-1333.3333333333333</v>
      </c>
      <c r="N111" s="11">
        <f t="shared" si="7"/>
        <v>19.548999999999999</v>
      </c>
      <c r="S111" s="10"/>
    </row>
    <row r="112" spans="1:19">
      <c r="A112" t="s">
        <v>458</v>
      </c>
      <c r="B112" s="9">
        <v>42947</v>
      </c>
      <c r="C112" s="10">
        <v>5174</v>
      </c>
      <c r="D112" s="10">
        <v>14387</v>
      </c>
      <c r="E112" s="11">
        <v>2187.6999999999998</v>
      </c>
      <c r="F112" s="10">
        <v>0</v>
      </c>
      <c r="G112" s="10">
        <v>0</v>
      </c>
      <c r="H112" s="10"/>
      <c r="I112" s="19">
        <f t="shared" si="8"/>
        <v>12000</v>
      </c>
      <c r="J112" s="19">
        <f t="shared" si="9"/>
        <v>9666.6666666666661</v>
      </c>
      <c r="K112" s="11">
        <f t="shared" si="12"/>
        <v>-0.86956521739130432</v>
      </c>
      <c r="L112" s="25">
        <f t="shared" si="10"/>
        <v>-1600.0000000003638</v>
      </c>
      <c r="M112" s="43">
        <f t="shared" si="11"/>
        <v>-233.33333333342429</v>
      </c>
      <c r="N112" s="11">
        <f t="shared" si="7"/>
        <v>19.561</v>
      </c>
      <c r="S112" s="11"/>
    </row>
    <row r="113" spans="1:19">
      <c r="A113" t="s">
        <v>459</v>
      </c>
      <c r="B113" s="9">
        <v>42978</v>
      </c>
      <c r="C113" s="10">
        <v>5168</v>
      </c>
      <c r="D113" s="10">
        <v>14391</v>
      </c>
      <c r="E113" s="11">
        <v>2187.5</v>
      </c>
      <c r="F113" s="10">
        <v>0</v>
      </c>
      <c r="G113" s="10">
        <v>0</v>
      </c>
      <c r="H113" s="10"/>
      <c r="I113" s="19">
        <f t="shared" si="8"/>
        <v>-2000</v>
      </c>
      <c r="J113" s="19">
        <f t="shared" si="9"/>
        <v>12000</v>
      </c>
      <c r="K113" s="11">
        <f t="shared" si="12"/>
        <v>-0.93103448275862066</v>
      </c>
      <c r="L113" s="25">
        <f t="shared" si="10"/>
        <v>-199.9999999998181</v>
      </c>
      <c r="M113" s="43">
        <f t="shared" si="11"/>
        <v>-1266.6666666667272</v>
      </c>
      <c r="N113" s="11">
        <f t="shared" si="7"/>
        <v>19.559000000000001</v>
      </c>
      <c r="S113" s="10"/>
    </row>
    <row r="114" spans="1:19">
      <c r="A114" t="s">
        <v>460</v>
      </c>
      <c r="B114" s="9">
        <v>43008</v>
      </c>
      <c r="C114" s="10">
        <v>5161</v>
      </c>
      <c r="D114" s="10">
        <v>14401</v>
      </c>
      <c r="E114" s="11">
        <v>2186.8000000000002</v>
      </c>
      <c r="F114" s="10">
        <v>0</v>
      </c>
      <c r="G114" s="10">
        <v>0</v>
      </c>
      <c r="H114" s="10"/>
      <c r="I114" s="19">
        <f t="shared" si="8"/>
        <v>3000</v>
      </c>
      <c r="J114" s="19">
        <f t="shared" si="9"/>
        <v>4333.333333333333</v>
      </c>
      <c r="K114" s="11">
        <f t="shared" si="12"/>
        <v>-0.86363636363636365</v>
      </c>
      <c r="L114" s="25">
        <f t="shared" si="10"/>
        <v>-699.9999999998181</v>
      </c>
      <c r="M114" s="43">
        <f t="shared" si="11"/>
        <v>-833.33333333333337</v>
      </c>
      <c r="N114" s="11">
        <f t="shared" si="7"/>
        <v>19.562000000000001</v>
      </c>
      <c r="S114" s="11"/>
    </row>
    <row r="115" spans="1:19">
      <c r="A115" t="s">
        <v>463</v>
      </c>
      <c r="B115" s="9">
        <v>43039</v>
      </c>
      <c r="C115" s="10">
        <v>5160</v>
      </c>
      <c r="D115" s="10">
        <v>14410</v>
      </c>
      <c r="E115" s="11">
        <v>2188</v>
      </c>
      <c r="F115" s="10">
        <v>0</v>
      </c>
      <c r="G115" s="10">
        <v>0</v>
      </c>
      <c r="H115" s="10"/>
      <c r="I115" s="19">
        <f t="shared" ref="I115" si="13">IF(C115&lt;&gt;"", ((C115+D115)-(C114+D114))*1000, "")</f>
        <v>8000</v>
      </c>
      <c r="J115" s="19">
        <f t="shared" ref="J115" si="14">IF(I114&lt;&gt;"", IF(I115&lt;&gt;"", (AVERAGE(I113:I115)), ""), "")</f>
        <v>3000</v>
      </c>
      <c r="K115" s="11">
        <f t="shared" si="12"/>
        <v>-5</v>
      </c>
      <c r="L115" s="25">
        <f t="shared" ref="L115" si="15">IF(E115&lt;&gt;"", ((E115-F115)-(E114-F114))*1000, "")</f>
        <v>1199.9999999998181</v>
      </c>
      <c r="M115" s="43">
        <f t="shared" ref="M115" si="16">IF(L114&lt;&gt;"", IF(L115&lt;&gt;"", AVERAGE(L113:L115), ""), "")</f>
        <v>100.00000000006064</v>
      </c>
      <c r="N115" s="11">
        <f t="shared" si="7"/>
        <v>19.57</v>
      </c>
      <c r="S115" s="10"/>
    </row>
    <row r="116" spans="1:19">
      <c r="A116" t="s">
        <v>464</v>
      </c>
      <c r="B116" s="9">
        <v>43069</v>
      </c>
      <c r="C116" s="10">
        <v>5166</v>
      </c>
      <c r="D116" s="10">
        <v>14419</v>
      </c>
      <c r="E116" s="11">
        <v>2184.8000000000002</v>
      </c>
      <c r="F116" s="10">
        <v>0</v>
      </c>
      <c r="G116" s="10">
        <v>0</v>
      </c>
      <c r="H116" s="10"/>
      <c r="I116" s="19">
        <f t="shared" si="8"/>
        <v>15000</v>
      </c>
      <c r="J116" s="19">
        <f t="shared" si="9"/>
        <v>8666.6666666666661</v>
      </c>
      <c r="K116" s="11">
        <f t="shared" si="12"/>
        <v>-3.1428571428571428</v>
      </c>
      <c r="L116" s="25">
        <f t="shared" si="10"/>
        <v>-3199.9999999998181</v>
      </c>
      <c r="M116" s="43">
        <f t="shared" si="11"/>
        <v>-899.9999999999394</v>
      </c>
      <c r="N116" s="11">
        <f t="shared" si="7"/>
        <v>19.585000000000001</v>
      </c>
      <c r="S116" s="11"/>
    </row>
    <row r="117" spans="1:19">
      <c r="A117" t="s">
        <v>466</v>
      </c>
      <c r="B117" s="9">
        <v>43100</v>
      </c>
      <c r="C117" s="10">
        <v>5164</v>
      </c>
      <c r="D117" s="10">
        <v>14430</v>
      </c>
      <c r="E117" s="11">
        <v>2182.8000000000002</v>
      </c>
      <c r="F117" s="10">
        <v>0</v>
      </c>
      <c r="G117" s="10">
        <v>0</v>
      </c>
      <c r="H117" s="10"/>
      <c r="I117" s="19">
        <f t="shared" si="8"/>
        <v>9000</v>
      </c>
      <c r="J117" s="19">
        <f t="shared" si="9"/>
        <v>10666.666666666666</v>
      </c>
      <c r="K117" s="11">
        <f t="shared" si="12"/>
        <v>0.5</v>
      </c>
      <c r="L117" s="25">
        <f t="shared" si="10"/>
        <v>-2000</v>
      </c>
      <c r="M117" s="43">
        <f t="shared" si="11"/>
        <v>-1333.3333333333333</v>
      </c>
      <c r="N117" s="11">
        <f t="shared" si="7"/>
        <v>19.594000000000001</v>
      </c>
      <c r="S117" s="10"/>
    </row>
    <row r="118" spans="1:19">
      <c r="A118" t="s">
        <v>467</v>
      </c>
      <c r="B118" s="9">
        <v>43131</v>
      </c>
      <c r="C118" s="10">
        <v>5147</v>
      </c>
      <c r="D118" s="10">
        <v>14432</v>
      </c>
      <c r="E118" s="11">
        <v>2183.5</v>
      </c>
      <c r="F118" s="10">
        <v>0</v>
      </c>
      <c r="G118" s="10">
        <v>0</v>
      </c>
      <c r="H118" s="10"/>
      <c r="I118" s="19">
        <f t="shared" si="8"/>
        <v>-15000</v>
      </c>
      <c r="J118" s="19">
        <f t="shared" si="9"/>
        <v>3000</v>
      </c>
      <c r="K118" s="11">
        <f t="shared" si="12"/>
        <v>-2.1538461538461537</v>
      </c>
      <c r="L118" s="25">
        <f t="shared" si="10"/>
        <v>699.9999999998181</v>
      </c>
      <c r="M118" s="43">
        <f t="shared" si="11"/>
        <v>-1500</v>
      </c>
      <c r="N118" s="11">
        <f t="shared" si="7"/>
        <v>19.579000000000001</v>
      </c>
      <c r="S118" s="11"/>
    </row>
    <row r="119" spans="1:19">
      <c r="A119" t="s">
        <v>468</v>
      </c>
      <c r="B119" s="9">
        <v>43159</v>
      </c>
      <c r="C119" s="10">
        <v>5155</v>
      </c>
      <c r="D119" s="10">
        <v>14453</v>
      </c>
      <c r="E119" s="11">
        <v>2183.9</v>
      </c>
      <c r="F119" s="10">
        <v>0</v>
      </c>
      <c r="G119" s="10">
        <v>0</v>
      </c>
      <c r="H119" s="10"/>
      <c r="I119" s="19">
        <f t="shared" si="8"/>
        <v>29000</v>
      </c>
      <c r="J119" s="19">
        <f t="shared" si="9"/>
        <v>7666.666666666667</v>
      </c>
      <c r="K119" s="11">
        <f t="shared" si="12"/>
        <v>2.625</v>
      </c>
      <c r="L119" s="25">
        <f t="shared" si="10"/>
        <v>400.00000000009095</v>
      </c>
      <c r="M119" s="43">
        <f t="shared" si="11"/>
        <v>-300.0000000000303</v>
      </c>
      <c r="N119" s="11">
        <f t="shared" si="7"/>
        <v>19.608000000000001</v>
      </c>
      <c r="S119" s="10"/>
    </row>
    <row r="120" spans="1:19">
      <c r="A120" t="s">
        <v>469</v>
      </c>
      <c r="B120" s="9">
        <v>43190</v>
      </c>
      <c r="C120" s="10">
        <v>5160</v>
      </c>
      <c r="D120" s="10">
        <v>14457</v>
      </c>
      <c r="E120" s="11">
        <v>2184.8000000000002</v>
      </c>
      <c r="F120" s="10">
        <v>0</v>
      </c>
      <c r="G120" s="10">
        <v>0</v>
      </c>
      <c r="H120" s="10"/>
      <c r="I120" s="19">
        <f t="shared" si="8"/>
        <v>9000</v>
      </c>
      <c r="J120" s="19">
        <f t="shared" si="9"/>
        <v>7666.666666666667</v>
      </c>
      <c r="K120" s="11">
        <f t="shared" si="12"/>
        <v>-0.18181818181818177</v>
      </c>
      <c r="L120" s="25">
        <f t="shared" si="10"/>
        <v>900.00000000009095</v>
      </c>
      <c r="M120" s="43">
        <f t="shared" si="11"/>
        <v>666.66666666666663</v>
      </c>
      <c r="N120" s="11">
        <f t="shared" si="7"/>
        <v>19.617000000000001</v>
      </c>
      <c r="S120" s="11"/>
    </row>
    <row r="121" spans="1:19">
      <c r="A121" t="s">
        <v>473</v>
      </c>
      <c r="B121" s="9">
        <v>43220</v>
      </c>
      <c r="C121" s="10">
        <v>5169</v>
      </c>
      <c r="D121" s="10">
        <v>14459</v>
      </c>
      <c r="E121" s="11">
        <v>2186.3000000000002</v>
      </c>
      <c r="F121" s="10">
        <v>0</v>
      </c>
      <c r="G121" s="10">
        <v>0</v>
      </c>
      <c r="H121" s="10"/>
      <c r="I121" s="19">
        <f t="shared" si="8"/>
        <v>11000</v>
      </c>
      <c r="J121" s="19">
        <f t="shared" si="9"/>
        <v>16333.333333333334</v>
      </c>
      <c r="K121" s="11">
        <f t="shared" si="12"/>
        <v>-0.15384615384615385</v>
      </c>
      <c r="L121" s="25">
        <f t="shared" si="10"/>
        <v>1500</v>
      </c>
      <c r="M121" s="43">
        <f t="shared" si="11"/>
        <v>933.33333333339397</v>
      </c>
      <c r="N121" s="11">
        <f t="shared" si="7"/>
        <v>19.628</v>
      </c>
      <c r="S121" s="10"/>
    </row>
    <row r="122" spans="1:19">
      <c r="A122" t="s">
        <v>474</v>
      </c>
      <c r="B122" s="9">
        <v>43251</v>
      </c>
      <c r="C122" s="10">
        <v>5168</v>
      </c>
      <c r="D122" s="10">
        <v>14466</v>
      </c>
      <c r="E122" s="11">
        <v>2187</v>
      </c>
      <c r="F122" s="10">
        <v>0</v>
      </c>
      <c r="G122" s="10">
        <v>0</v>
      </c>
      <c r="H122" s="19"/>
      <c r="I122" s="19">
        <f>IF(C122&lt;&gt;"", ((C122+D122)-(C121+D121))*1000, "")</f>
        <v>6000</v>
      </c>
      <c r="J122" s="19">
        <f t="shared" si="9"/>
        <v>8666.6666666666661</v>
      </c>
      <c r="K122" s="11">
        <f t="shared" si="12"/>
        <v>-1.6666666666666665</v>
      </c>
      <c r="L122" s="25">
        <f t="shared" si="10"/>
        <v>699.9999999998181</v>
      </c>
      <c r="M122" s="43">
        <f t="shared" si="11"/>
        <v>1033.333333333303</v>
      </c>
      <c r="N122" s="11">
        <f t="shared" si="7"/>
        <v>19.634</v>
      </c>
      <c r="S122" s="11"/>
    </row>
    <row r="123" spans="1:19">
      <c r="A123" t="s">
        <v>487</v>
      </c>
      <c r="B123" s="9">
        <v>43281</v>
      </c>
      <c r="C123" s="10">
        <v>5178</v>
      </c>
      <c r="D123" s="10">
        <v>14480</v>
      </c>
      <c r="E123" s="11">
        <v>2188.8000000000002</v>
      </c>
      <c r="F123" s="10">
        <v>0</v>
      </c>
      <c r="G123" s="10">
        <v>0</v>
      </c>
      <c r="H123" s="10"/>
      <c r="I123" s="19">
        <f t="shared" si="8"/>
        <v>24000</v>
      </c>
      <c r="J123" s="19">
        <f t="shared" si="9"/>
        <v>13666.666666666666</v>
      </c>
      <c r="K123" s="11">
        <f t="shared" si="12"/>
        <v>-7.6923076923076872E-2</v>
      </c>
      <c r="L123" s="25">
        <f t="shared" si="10"/>
        <v>1800.0000000001819</v>
      </c>
      <c r="M123" s="43">
        <f t="shared" si="11"/>
        <v>1333.3333333333333</v>
      </c>
      <c r="N123" s="11">
        <f t="shared" si="7"/>
        <v>19.658000000000001</v>
      </c>
      <c r="S123" s="10"/>
    </row>
    <row r="124" spans="1:19">
      <c r="A124" t="s">
        <v>488</v>
      </c>
      <c r="B124" s="9">
        <v>43312</v>
      </c>
      <c r="C124" s="10">
        <v>5179</v>
      </c>
      <c r="D124" s="10">
        <v>14483</v>
      </c>
      <c r="E124" s="11">
        <v>2189.6</v>
      </c>
      <c r="F124" s="10">
        <v>0</v>
      </c>
      <c r="G124" s="10">
        <v>0</v>
      </c>
      <c r="H124" s="10"/>
      <c r="I124" s="19">
        <f t="shared" si="8"/>
        <v>4000</v>
      </c>
      <c r="J124" s="19">
        <f t="shared" si="9"/>
        <v>11333.333333333334</v>
      </c>
      <c r="K124" s="11">
        <f t="shared" si="12"/>
        <v>-0.66666666666666674</v>
      </c>
      <c r="L124" s="25">
        <f t="shared" si="10"/>
        <v>799.99999999972715</v>
      </c>
      <c r="M124" s="43">
        <f t="shared" si="11"/>
        <v>1099.9999999999091</v>
      </c>
      <c r="N124" s="11">
        <f t="shared" si="7"/>
        <v>19.661999999999999</v>
      </c>
      <c r="S124" s="11"/>
    </row>
    <row r="125" spans="1:19">
      <c r="A125" t="s">
        <v>489</v>
      </c>
      <c r="B125" s="9">
        <v>43343</v>
      </c>
      <c r="C125" s="10">
        <v>5190</v>
      </c>
      <c r="D125" s="10">
        <v>14508</v>
      </c>
      <c r="E125" s="11">
        <v>2190.1</v>
      </c>
      <c r="F125" s="10">
        <v>0</v>
      </c>
      <c r="G125" s="10">
        <v>0</v>
      </c>
      <c r="H125" s="10"/>
      <c r="I125" s="19">
        <f t="shared" si="8"/>
        <v>36000</v>
      </c>
      <c r="J125" s="19">
        <f t="shared" si="9"/>
        <v>21333.333333333332</v>
      </c>
      <c r="K125" s="11">
        <f t="shared" si="12"/>
        <v>-19</v>
      </c>
      <c r="L125" s="25">
        <f t="shared" si="10"/>
        <v>500</v>
      </c>
      <c r="M125" s="43">
        <f t="shared" si="11"/>
        <v>1033.333333333303</v>
      </c>
      <c r="N125" s="11">
        <f t="shared" si="7"/>
        <v>19.698</v>
      </c>
      <c r="S125" s="10"/>
    </row>
    <row r="126" spans="1:19">
      <c r="A126" t="s">
        <v>495</v>
      </c>
      <c r="B126" s="9">
        <v>43373</v>
      </c>
      <c r="C126" s="10">
        <v>5204</v>
      </c>
      <c r="D126" s="10">
        <v>14493</v>
      </c>
      <c r="E126" s="11">
        <v>2190.9</v>
      </c>
      <c r="F126" s="10">
        <v>0</v>
      </c>
      <c r="G126" s="10">
        <v>0</v>
      </c>
      <c r="H126" s="10"/>
      <c r="I126" s="19">
        <f t="shared" si="8"/>
        <v>-1000</v>
      </c>
      <c r="J126" s="19">
        <f t="shared" si="9"/>
        <v>13000</v>
      </c>
      <c r="K126" s="11">
        <f t="shared" si="12"/>
        <v>-1.3333333333333333</v>
      </c>
      <c r="L126" s="25">
        <f t="shared" si="10"/>
        <v>800.0000000001819</v>
      </c>
      <c r="M126" s="43">
        <f t="shared" si="11"/>
        <v>699.99999999996965</v>
      </c>
      <c r="N126" s="11">
        <f t="shared" si="7"/>
        <v>19.696999999999999</v>
      </c>
      <c r="S126" s="11"/>
    </row>
    <row r="127" spans="1:19">
      <c r="A127" t="s">
        <v>498</v>
      </c>
      <c r="B127" s="9">
        <v>43404</v>
      </c>
      <c r="C127" s="10">
        <v>5197</v>
      </c>
      <c r="D127" s="10">
        <v>14491</v>
      </c>
      <c r="E127" s="11">
        <v>2193.3000000000002</v>
      </c>
      <c r="F127" s="10">
        <v>0</v>
      </c>
      <c r="G127" s="10">
        <v>0</v>
      </c>
      <c r="H127" s="10"/>
      <c r="I127" s="19">
        <f t="shared" si="8"/>
        <v>-9000</v>
      </c>
      <c r="J127" s="19">
        <f t="shared" si="9"/>
        <v>8666.6666666666661</v>
      </c>
      <c r="K127" s="11">
        <f t="shared" si="12"/>
        <v>-2.125</v>
      </c>
      <c r="L127" s="25">
        <f t="shared" si="10"/>
        <v>2400.0000000000909</v>
      </c>
      <c r="M127" s="43">
        <f t="shared" si="11"/>
        <v>1233.3333333334242</v>
      </c>
      <c r="N127" s="11">
        <f t="shared" si="7"/>
        <v>19.687999999999999</v>
      </c>
      <c r="S127" s="10"/>
    </row>
    <row r="128" spans="1:19">
      <c r="A128" t="s">
        <v>502</v>
      </c>
      <c r="B128" s="9">
        <v>43434</v>
      </c>
      <c r="C128" s="10">
        <v>5180</v>
      </c>
      <c r="D128" s="10">
        <v>14498</v>
      </c>
      <c r="E128" s="11">
        <v>2193</v>
      </c>
      <c r="F128" s="10">
        <v>0</v>
      </c>
      <c r="G128" s="10">
        <v>0</v>
      </c>
      <c r="H128" s="10"/>
      <c r="I128" s="19">
        <f t="shared" si="8"/>
        <v>-10000</v>
      </c>
      <c r="J128" s="19">
        <f t="shared" si="9"/>
        <v>-6666.666666666667</v>
      </c>
      <c r="K128" s="11">
        <f t="shared" si="12"/>
        <v>-1.6666666666666665</v>
      </c>
      <c r="L128" s="25">
        <f t="shared" si="10"/>
        <v>-300.0000000001819</v>
      </c>
      <c r="M128" s="43">
        <f t="shared" si="11"/>
        <v>966.66666666669698</v>
      </c>
      <c r="N128" s="11">
        <f t="shared" si="7"/>
        <v>19.678000000000001</v>
      </c>
      <c r="S128" s="11"/>
    </row>
    <row r="129" spans="1:19">
      <c r="A129" t="s">
        <v>503</v>
      </c>
      <c r="B129" s="9">
        <v>43465</v>
      </c>
      <c r="C129" s="10">
        <v>5183</v>
      </c>
      <c r="D129" s="10">
        <v>14504</v>
      </c>
      <c r="E129" s="11">
        <v>2191.9</v>
      </c>
      <c r="F129" s="10">
        <v>0</v>
      </c>
      <c r="G129" s="10">
        <v>0</v>
      </c>
      <c r="H129" s="10"/>
      <c r="I129" s="19">
        <f t="shared" si="8"/>
        <v>9000</v>
      </c>
      <c r="J129" s="19">
        <f t="shared" si="9"/>
        <v>-3333.3333333333335</v>
      </c>
      <c r="K129" s="11">
        <f t="shared" si="12"/>
        <v>0</v>
      </c>
      <c r="L129" s="25">
        <f t="shared" si="10"/>
        <v>-1099.9999999999091</v>
      </c>
      <c r="M129" s="43">
        <f t="shared" si="11"/>
        <v>333.33333333333331</v>
      </c>
      <c r="N129" s="11">
        <f t="shared" si="7"/>
        <v>19.687000000000001</v>
      </c>
      <c r="S129" s="10"/>
    </row>
    <row r="130" spans="1:19">
      <c r="A130" t="s">
        <v>504</v>
      </c>
      <c r="B130" s="9">
        <v>43496</v>
      </c>
      <c r="C130" s="10">
        <v>5184</v>
      </c>
      <c r="D130" s="10">
        <v>14519</v>
      </c>
      <c r="E130" s="11">
        <v>2191.4</v>
      </c>
      <c r="F130" s="10">
        <v>0</v>
      </c>
      <c r="G130" s="10">
        <v>0</v>
      </c>
      <c r="H130" s="10"/>
      <c r="I130" s="19">
        <f t="shared" si="8"/>
        <v>16000</v>
      </c>
      <c r="J130" s="19">
        <f t="shared" si="9"/>
        <v>5000</v>
      </c>
      <c r="K130" s="11">
        <f>(I130/I118)-1</f>
        <v>-2.0666666666666664</v>
      </c>
      <c r="L130" s="25">
        <f t="shared" si="10"/>
        <v>-500</v>
      </c>
      <c r="M130" s="43">
        <f t="shared" si="11"/>
        <v>-633.33333333336361</v>
      </c>
      <c r="N130" s="11">
        <f t="shared" si="7"/>
        <v>19.702999999999999</v>
      </c>
      <c r="S130" s="11"/>
    </row>
    <row r="131" spans="1:19">
      <c r="A131" t="s">
        <v>515</v>
      </c>
      <c r="B131" s="9">
        <v>43524</v>
      </c>
      <c r="C131" s="10">
        <v>5190</v>
      </c>
      <c r="D131" s="10">
        <v>14517</v>
      </c>
      <c r="E131" s="11">
        <v>2192.1999999999998</v>
      </c>
      <c r="F131" s="10">
        <v>0</v>
      </c>
      <c r="G131" s="10">
        <v>0</v>
      </c>
      <c r="H131" s="10"/>
      <c r="I131" s="19">
        <f t="shared" si="8"/>
        <v>4000</v>
      </c>
      <c r="J131" s="19">
        <f t="shared" si="9"/>
        <v>9666.6666666666661</v>
      </c>
      <c r="K131" s="11"/>
      <c r="L131" s="25">
        <f t="shared" si="10"/>
        <v>799.99999999972715</v>
      </c>
      <c r="M131" s="43">
        <f t="shared" si="11"/>
        <v>-266.66666666672728</v>
      </c>
      <c r="N131" s="11">
        <f t="shared" si="7"/>
        <v>19.707000000000001</v>
      </c>
      <c r="S131" s="10"/>
    </row>
    <row r="132" spans="1:19">
      <c r="A132" t="s">
        <v>516</v>
      </c>
      <c r="B132" s="9">
        <v>43555</v>
      </c>
      <c r="C132" s="10">
        <v>5194</v>
      </c>
      <c r="D132" s="10">
        <v>14529</v>
      </c>
      <c r="E132" s="11">
        <v>2190.6999999999998</v>
      </c>
      <c r="F132" s="10">
        <v>0</v>
      </c>
      <c r="G132" s="10">
        <v>0</v>
      </c>
      <c r="H132" s="10"/>
      <c r="I132" s="19">
        <f t="shared" si="8"/>
        <v>16000</v>
      </c>
      <c r="J132" s="19">
        <f t="shared" si="9"/>
        <v>12000</v>
      </c>
      <c r="K132" s="11"/>
      <c r="L132" s="25">
        <f t="shared" si="10"/>
        <v>-1500</v>
      </c>
      <c r="M132" s="43">
        <f t="shared" si="11"/>
        <v>-400.00000000009095</v>
      </c>
      <c r="N132" s="11">
        <f t="shared" si="7"/>
        <v>19.722999999999999</v>
      </c>
      <c r="S132" s="11"/>
    </row>
    <row r="133" spans="1:19">
      <c r="B133" s="9"/>
      <c r="C133" s="10"/>
      <c r="D133" s="10"/>
      <c r="E133" s="11"/>
      <c r="F133" s="10"/>
      <c r="I133" s="19" t="str">
        <f t="shared" si="8"/>
        <v/>
      </c>
      <c r="J133" s="19" t="str">
        <f t="shared" si="9"/>
        <v/>
      </c>
      <c r="K133" s="11"/>
      <c r="L133" s="25" t="str">
        <f t="shared" si="10"/>
        <v/>
      </c>
      <c r="M133" s="43" t="str">
        <f t="shared" si="11"/>
        <v/>
      </c>
      <c r="N133" s="11">
        <f t="shared" si="7"/>
        <v>0</v>
      </c>
    </row>
    <row r="134" spans="1:19">
      <c r="B134" s="9"/>
      <c r="I134" s="19"/>
      <c r="J134" s="20"/>
      <c r="K134" s="11"/>
      <c r="L134" s="25"/>
      <c r="M134" s="25"/>
      <c r="N134" s="11"/>
    </row>
    <row r="135" spans="1:19">
      <c r="B135" s="9"/>
      <c r="I135" s="19"/>
      <c r="J135" s="20"/>
      <c r="K135" s="11"/>
      <c r="L135" s="25"/>
      <c r="M135" s="25"/>
      <c r="N135" s="11"/>
    </row>
    <row r="136" spans="1:19">
      <c r="B136" s="9"/>
      <c r="I136" s="19"/>
      <c r="J136" s="20"/>
      <c r="K136" s="11"/>
      <c r="L136" s="25"/>
      <c r="M136" s="25"/>
      <c r="N136" s="11"/>
    </row>
    <row r="137" spans="1:19">
      <c r="B137" s="9"/>
      <c r="I137" s="19"/>
      <c r="J137" s="20"/>
      <c r="K137" s="11"/>
      <c r="L137" s="25"/>
      <c r="M137" s="25"/>
      <c r="N137" s="11"/>
    </row>
    <row r="138" spans="1:19">
      <c r="B138" s="9"/>
      <c r="I138" s="19"/>
      <c r="J138" s="20"/>
      <c r="K138" s="11"/>
      <c r="L138" s="25"/>
      <c r="M138" s="25"/>
      <c r="N138" s="11"/>
    </row>
    <row r="139" spans="1:19">
      <c r="I139" s="19"/>
      <c r="J139" s="20"/>
    </row>
    <row r="140" spans="1:19">
      <c r="I140" s="19"/>
      <c r="J140" s="20"/>
    </row>
    <row r="141" spans="1:19">
      <c r="I141" s="19"/>
      <c r="J141" s="20"/>
    </row>
    <row r="142" spans="1:19">
      <c r="I142" s="19"/>
      <c r="J142" s="20"/>
    </row>
    <row r="143" spans="1:19">
      <c r="I143" s="19"/>
      <c r="J143" s="20"/>
    </row>
    <row r="144" spans="1:19">
      <c r="I144" s="19"/>
      <c r="J144" s="20"/>
    </row>
    <row r="145" spans="9:10">
      <c r="I145" s="19"/>
      <c r="J145" s="20"/>
    </row>
    <row r="146" spans="9:10">
      <c r="I146" s="19"/>
      <c r="J146" s="20"/>
    </row>
    <row r="147" spans="9:10">
      <c r="I147" s="19"/>
      <c r="J147" s="20"/>
    </row>
    <row r="148" spans="9:10">
      <c r="I148" s="19"/>
      <c r="J148" s="20"/>
    </row>
    <row r="149" spans="9:10">
      <c r="I149" s="19"/>
      <c r="J149" s="20"/>
    </row>
    <row r="150" spans="9:10">
      <c r="I150" s="19"/>
      <c r="J150" s="20"/>
    </row>
    <row r="151" spans="9:10">
      <c r="I151" s="19"/>
      <c r="J151" s="20"/>
    </row>
    <row r="152" spans="9:10">
      <c r="I152" s="19"/>
    </row>
    <row r="153" spans="9:10">
      <c r="I153" s="19"/>
    </row>
    <row r="154" spans="9:10">
      <c r="I154" s="19"/>
    </row>
  </sheetData>
  <hyperlinks>
    <hyperlink ref="G3" r:id="rId1" xr:uid="{00000000-0004-0000-0400-000000000000}"/>
    <hyperlink ref="F3" r:id="rId2" xr:uid="{00000000-0004-0000-0400-000001000000}"/>
    <hyperlink ref="E3" r:id="rId3" xr:uid="{00000000-0004-0000-0400-000002000000}"/>
    <hyperlink ref="D3" r:id="rId4" xr:uid="{00000000-0004-0000-0400-000003000000}"/>
    <hyperlink ref="C3" r:id="rId5" xr:uid="{00000000-0004-0000-0400-000004000000}"/>
    <hyperlink ref="T2" r:id="rId6" xr:uid="{00000000-0004-0000-0400-000005000000}"/>
    <hyperlink ref="S2" r:id="rId7" xr:uid="{00000000-0004-0000-0400-000006000000}"/>
  </hyperlinks>
  <pageMargins left="0.7" right="0.7" top="0.75" bottom="0.75" header="0.3" footer="0.3"/>
  <pageSetup orientation="portrait" r:id="rId8"/>
  <drawing r:id="rId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O67"/>
  <sheetViews>
    <sheetView zoomScale="85" zoomScaleNormal="85" workbookViewId="0">
      <selection activeCell="D4" sqref="D4"/>
    </sheetView>
  </sheetViews>
  <sheetFormatPr defaultColWidth="12" defaultRowHeight="15"/>
  <cols>
    <col min="2" max="2" width="12" style="14"/>
    <col min="3" max="3" width="12" style="11"/>
    <col min="4" max="4" width="12" style="14"/>
    <col min="5" max="5" width="12" style="11"/>
    <col min="6" max="6" width="12" style="14"/>
    <col min="7" max="7" width="12" style="11"/>
    <col min="8" max="8" width="12" style="14"/>
    <col min="9" max="9" width="12" style="11"/>
  </cols>
  <sheetData>
    <row r="2" spans="1:15">
      <c r="G2" s="27">
        <v>39814</v>
      </c>
      <c r="K2" s="8" t="s">
        <v>475</v>
      </c>
      <c r="L2" s="16" t="s">
        <v>499</v>
      </c>
      <c r="M2" s="11" t="s">
        <v>317</v>
      </c>
      <c r="O2" s="7"/>
    </row>
    <row r="3" spans="1:15">
      <c r="A3" t="s">
        <v>318</v>
      </c>
      <c r="B3" s="14" t="s">
        <v>313</v>
      </c>
      <c r="C3" s="11" t="s">
        <v>317</v>
      </c>
      <c r="D3" s="7" t="s">
        <v>314</v>
      </c>
      <c r="K3" t="s">
        <v>7</v>
      </c>
      <c r="L3" t="s">
        <v>500</v>
      </c>
      <c r="M3" t="s">
        <v>485</v>
      </c>
    </row>
    <row r="4" spans="1:15">
      <c r="A4" t="s">
        <v>7</v>
      </c>
      <c r="C4" s="11" t="s">
        <v>485</v>
      </c>
      <c r="D4" s="14" t="s">
        <v>399</v>
      </c>
      <c r="K4" t="s">
        <v>310</v>
      </c>
      <c r="L4" t="s">
        <v>407</v>
      </c>
      <c r="M4" t="s">
        <v>407</v>
      </c>
    </row>
    <row r="5" spans="1:15">
      <c r="A5" t="s">
        <v>8</v>
      </c>
      <c r="B5" s="15"/>
      <c r="C5" s="16" t="s">
        <v>408</v>
      </c>
      <c r="D5" s="15" t="s">
        <v>410</v>
      </c>
      <c r="F5" s="15"/>
      <c r="H5" s="15"/>
      <c r="K5" t="s">
        <v>476</v>
      </c>
      <c r="L5" s="11">
        <v>381.1</v>
      </c>
      <c r="M5" s="11">
        <v>314.5</v>
      </c>
    </row>
    <row r="6" spans="1:15">
      <c r="A6" t="s">
        <v>9</v>
      </c>
      <c r="C6" s="11" t="s">
        <v>522</v>
      </c>
      <c r="D6" s="14" t="s">
        <v>523</v>
      </c>
      <c r="K6" t="s">
        <v>477</v>
      </c>
      <c r="L6" s="11">
        <v>384.2</v>
      </c>
      <c r="M6" s="11">
        <v>314.5</v>
      </c>
      <c r="N6" s="84"/>
      <c r="O6" s="77">
        <f>M50/M11-1</f>
        <v>-0.15777777777777779</v>
      </c>
    </row>
    <row r="7" spans="1:15">
      <c r="A7" t="s">
        <v>310</v>
      </c>
      <c r="C7" s="11" t="s">
        <v>407</v>
      </c>
      <c r="D7" s="14" t="s">
        <v>409</v>
      </c>
      <c r="K7" t="s">
        <v>478</v>
      </c>
      <c r="L7" s="11">
        <v>386.3</v>
      </c>
      <c r="M7" s="11">
        <v>314.7</v>
      </c>
      <c r="N7" s="84"/>
      <c r="O7" s="10"/>
    </row>
    <row r="8" spans="1:15">
      <c r="A8" t="s">
        <v>319</v>
      </c>
      <c r="B8" s="14">
        <v>39814</v>
      </c>
      <c r="C8" s="11">
        <v>310.5</v>
      </c>
      <c r="D8" s="10">
        <v>1</v>
      </c>
      <c r="F8">
        <v>382.8</v>
      </c>
      <c r="K8" t="s">
        <v>479</v>
      </c>
      <c r="L8" s="11">
        <v>390.5</v>
      </c>
      <c r="M8" s="11">
        <v>316.5</v>
      </c>
      <c r="N8" s="84"/>
      <c r="O8" s="10"/>
    </row>
    <row r="9" spans="1:15">
      <c r="A9" t="s">
        <v>320</v>
      </c>
      <c r="B9" s="14">
        <v>39904</v>
      </c>
      <c r="C9" s="11">
        <v>315.8</v>
      </c>
      <c r="D9" s="10">
        <v>1</v>
      </c>
      <c r="F9">
        <v>384.6</v>
      </c>
      <c r="K9" t="s">
        <v>480</v>
      </c>
      <c r="L9" s="11">
        <v>387.4</v>
      </c>
      <c r="M9" s="11">
        <v>313.2</v>
      </c>
      <c r="N9" s="84"/>
      <c r="O9" s="10"/>
    </row>
    <row r="10" spans="1:15">
      <c r="A10" t="s">
        <v>321</v>
      </c>
      <c r="B10" s="14">
        <v>39995</v>
      </c>
      <c r="C10" s="11">
        <v>314.2</v>
      </c>
      <c r="D10" s="10">
        <v>0</v>
      </c>
      <c r="F10">
        <v>380.4</v>
      </c>
      <c r="K10" t="s">
        <v>481</v>
      </c>
      <c r="L10" s="11">
        <v>388.6</v>
      </c>
      <c r="M10" s="11">
        <v>314.8</v>
      </c>
      <c r="N10" s="84"/>
      <c r="O10" s="10"/>
    </row>
    <row r="11" spans="1:15">
      <c r="A11" t="s">
        <v>322</v>
      </c>
      <c r="B11" s="14">
        <v>40087</v>
      </c>
      <c r="C11" s="11">
        <v>304.60000000000002</v>
      </c>
      <c r="D11" s="10">
        <v>0</v>
      </c>
      <c r="F11">
        <v>376.9</v>
      </c>
      <c r="K11" t="s">
        <v>482</v>
      </c>
      <c r="L11" s="11">
        <v>389</v>
      </c>
      <c r="M11" s="11">
        <v>315</v>
      </c>
      <c r="N11" s="84"/>
      <c r="O11" s="10"/>
    </row>
    <row r="12" spans="1:15">
      <c r="A12" t="s">
        <v>323</v>
      </c>
      <c r="B12" s="14">
        <v>40179</v>
      </c>
      <c r="C12" s="11">
        <v>293.8</v>
      </c>
      <c r="D12" s="10">
        <v>0</v>
      </c>
      <c r="F12">
        <v>381.1</v>
      </c>
      <c r="K12" t="s">
        <v>483</v>
      </c>
      <c r="L12" s="11">
        <v>382</v>
      </c>
      <c r="M12" s="11">
        <v>310.89999999999998</v>
      </c>
      <c r="N12" s="84"/>
      <c r="O12" s="10"/>
    </row>
    <row r="13" spans="1:15">
      <c r="A13" t="s">
        <v>324</v>
      </c>
      <c r="B13" s="14">
        <v>40269</v>
      </c>
      <c r="C13" s="11">
        <v>303.5</v>
      </c>
      <c r="D13" s="10">
        <v>0</v>
      </c>
      <c r="F13">
        <v>384.2</v>
      </c>
      <c r="K13" t="s">
        <v>319</v>
      </c>
      <c r="L13" s="11">
        <v>382</v>
      </c>
      <c r="M13" s="11">
        <v>310.5</v>
      </c>
      <c r="N13" s="84"/>
      <c r="O13" s="10"/>
    </row>
    <row r="14" spans="1:15">
      <c r="A14" t="s">
        <v>325</v>
      </c>
      <c r="B14" s="14">
        <v>40360</v>
      </c>
      <c r="C14" s="11">
        <v>305.89999999999998</v>
      </c>
      <c r="D14" s="10">
        <v>0</v>
      </c>
      <c r="F14">
        <v>386.3</v>
      </c>
      <c r="K14" t="s">
        <v>320</v>
      </c>
      <c r="L14" s="11">
        <v>387.3</v>
      </c>
      <c r="M14" s="11">
        <v>315.8</v>
      </c>
      <c r="N14" s="84"/>
      <c r="O14" s="10"/>
    </row>
    <row r="15" spans="1:15">
      <c r="A15" t="s">
        <v>326</v>
      </c>
      <c r="B15" s="14">
        <v>40452</v>
      </c>
      <c r="C15" s="11">
        <v>299</v>
      </c>
      <c r="D15" s="10">
        <v>0</v>
      </c>
      <c r="F15">
        <v>390.5</v>
      </c>
      <c r="K15" t="s">
        <v>321</v>
      </c>
      <c r="L15" s="11">
        <v>385.5</v>
      </c>
      <c r="M15" s="11">
        <v>314.2</v>
      </c>
      <c r="N15" s="84"/>
      <c r="O15" s="10"/>
    </row>
    <row r="16" spans="1:15">
      <c r="A16" t="s">
        <v>327</v>
      </c>
      <c r="B16" s="14">
        <v>40544</v>
      </c>
      <c r="C16" s="11">
        <v>290.39999999999998</v>
      </c>
      <c r="D16" s="10">
        <v>0</v>
      </c>
      <c r="F16">
        <v>387.4</v>
      </c>
      <c r="K16" t="s">
        <v>322</v>
      </c>
      <c r="L16" s="11">
        <v>376.7</v>
      </c>
      <c r="M16" s="11">
        <v>304.60000000000002</v>
      </c>
      <c r="N16" s="84"/>
      <c r="O16" s="10"/>
    </row>
    <row r="17" spans="1:15">
      <c r="A17" t="s">
        <v>328</v>
      </c>
      <c r="B17" s="14">
        <v>40634</v>
      </c>
      <c r="C17" s="11">
        <v>283.39999999999998</v>
      </c>
      <c r="D17" s="10">
        <v>0</v>
      </c>
      <c r="F17">
        <v>388.6</v>
      </c>
      <c r="K17" t="s">
        <v>323</v>
      </c>
      <c r="L17" s="11">
        <v>364.2</v>
      </c>
      <c r="M17" s="11">
        <v>293.8</v>
      </c>
      <c r="N17" s="84"/>
      <c r="O17" s="10"/>
    </row>
    <row r="18" spans="1:15">
      <c r="A18" t="s">
        <v>329</v>
      </c>
      <c r="B18" s="14">
        <v>40725</v>
      </c>
      <c r="C18" s="11">
        <v>279.8</v>
      </c>
      <c r="D18" s="10">
        <v>0</v>
      </c>
      <c r="F18">
        <v>389</v>
      </c>
      <c r="K18" t="s">
        <v>324</v>
      </c>
      <c r="L18" s="11">
        <v>371.4</v>
      </c>
      <c r="M18" s="11">
        <v>303.5</v>
      </c>
      <c r="N18" s="84"/>
      <c r="O18" s="10"/>
    </row>
    <row r="19" spans="1:15">
      <c r="A19" t="s">
        <v>330</v>
      </c>
      <c r="B19" s="14">
        <v>40817</v>
      </c>
      <c r="C19" s="11">
        <v>281.60000000000002</v>
      </c>
      <c r="D19" s="10">
        <v>0</v>
      </c>
      <c r="F19">
        <v>382</v>
      </c>
      <c r="K19" t="s">
        <v>325</v>
      </c>
      <c r="L19" s="11">
        <v>372.5</v>
      </c>
      <c r="M19" s="11">
        <v>305.89999999999998</v>
      </c>
      <c r="N19" s="84"/>
      <c r="O19" s="10"/>
    </row>
    <row r="20" spans="1:15">
      <c r="A20" t="s">
        <v>331</v>
      </c>
      <c r="B20" s="14">
        <v>40909</v>
      </c>
      <c r="C20" s="11">
        <v>273.3</v>
      </c>
      <c r="D20" s="10">
        <v>0</v>
      </c>
      <c r="F20">
        <v>382</v>
      </c>
      <c r="K20" t="s">
        <v>326</v>
      </c>
      <c r="L20" s="11">
        <v>365.9</v>
      </c>
      <c r="M20" s="11">
        <v>299</v>
      </c>
      <c r="N20" s="84"/>
      <c r="O20" s="10"/>
    </row>
    <row r="21" spans="1:15">
      <c r="A21" t="s">
        <v>332</v>
      </c>
      <c r="B21" s="14">
        <v>41000</v>
      </c>
      <c r="C21" s="11">
        <v>268.8</v>
      </c>
      <c r="D21" s="10">
        <v>0</v>
      </c>
      <c r="F21">
        <v>387.3</v>
      </c>
      <c r="K21" t="s">
        <v>327</v>
      </c>
      <c r="L21" s="11">
        <v>357.6</v>
      </c>
      <c r="M21" s="11">
        <v>290.39999999999998</v>
      </c>
      <c r="N21" s="84"/>
      <c r="O21" s="10"/>
    </row>
    <row r="22" spans="1:15">
      <c r="A22" t="s">
        <v>333</v>
      </c>
      <c r="B22" s="14">
        <v>41091</v>
      </c>
      <c r="C22" s="11">
        <v>261.8</v>
      </c>
      <c r="D22" s="10">
        <v>0</v>
      </c>
      <c r="F22">
        <v>385.5</v>
      </c>
      <c r="K22" t="s">
        <v>328</v>
      </c>
      <c r="L22" s="11">
        <v>351.8</v>
      </c>
      <c r="M22" s="11">
        <v>283.39999999999998</v>
      </c>
      <c r="N22" s="84"/>
      <c r="O22" s="10"/>
    </row>
    <row r="23" spans="1:15">
      <c r="A23" t="s">
        <v>334</v>
      </c>
      <c r="B23" s="14">
        <v>41183</v>
      </c>
      <c r="C23" s="11">
        <v>255.9</v>
      </c>
      <c r="D23" s="10">
        <v>0</v>
      </c>
      <c r="F23">
        <v>376.7</v>
      </c>
      <c r="K23" t="s">
        <v>329</v>
      </c>
      <c r="L23" s="11">
        <v>348.9</v>
      </c>
      <c r="M23" s="11">
        <v>279.8</v>
      </c>
      <c r="N23" s="84"/>
      <c r="O23" s="10"/>
    </row>
    <row r="24" spans="1:15">
      <c r="A24" t="s">
        <v>335</v>
      </c>
      <c r="B24" s="14">
        <v>41275</v>
      </c>
      <c r="C24" s="11">
        <v>252.1</v>
      </c>
      <c r="D24" s="10">
        <v>0</v>
      </c>
      <c r="F24">
        <v>364.2</v>
      </c>
      <c r="K24" t="s">
        <v>330</v>
      </c>
      <c r="L24" s="11">
        <v>349.4</v>
      </c>
      <c r="M24" s="11">
        <v>281.60000000000002</v>
      </c>
      <c r="N24" s="84"/>
      <c r="O24" s="10"/>
    </row>
    <row r="25" spans="1:15">
      <c r="A25" t="s">
        <v>336</v>
      </c>
      <c r="B25" s="14">
        <v>41365</v>
      </c>
      <c r="C25" s="11">
        <v>254.3</v>
      </c>
      <c r="D25" s="10">
        <v>0</v>
      </c>
      <c r="F25">
        <v>371.4</v>
      </c>
      <c r="K25" t="s">
        <v>331</v>
      </c>
      <c r="L25" s="11">
        <v>340.7</v>
      </c>
      <c r="M25" s="11">
        <v>273.3</v>
      </c>
      <c r="N25" s="84"/>
      <c r="O25" s="10"/>
    </row>
    <row r="26" spans="1:15">
      <c r="A26" t="s">
        <v>337</v>
      </c>
      <c r="B26" s="14">
        <v>41456</v>
      </c>
      <c r="C26" s="11">
        <v>255.3</v>
      </c>
      <c r="D26" s="10">
        <v>0</v>
      </c>
      <c r="F26">
        <v>372.5</v>
      </c>
      <c r="K26" t="s">
        <v>332</v>
      </c>
      <c r="L26" s="11">
        <v>337.4</v>
      </c>
      <c r="M26" s="11">
        <v>268.8</v>
      </c>
      <c r="N26" s="84"/>
      <c r="O26" s="10"/>
    </row>
    <row r="27" spans="1:15">
      <c r="A27" t="s">
        <v>338</v>
      </c>
      <c r="B27" s="14">
        <v>41548</v>
      </c>
      <c r="C27" s="11">
        <v>252.6</v>
      </c>
      <c r="D27" s="10">
        <v>0</v>
      </c>
      <c r="F27">
        <v>365.9</v>
      </c>
      <c r="K27" t="s">
        <v>333</v>
      </c>
      <c r="L27" s="11">
        <v>330.7</v>
      </c>
      <c r="M27" s="11">
        <v>261.8</v>
      </c>
      <c r="N27" s="84"/>
      <c r="O27" s="10"/>
    </row>
    <row r="28" spans="1:15">
      <c r="A28" t="s">
        <v>339</v>
      </c>
      <c r="B28" s="14">
        <v>41640</v>
      </c>
      <c r="C28" s="11">
        <v>246.3</v>
      </c>
      <c r="D28" s="10">
        <v>0</v>
      </c>
      <c r="F28">
        <v>357.6</v>
      </c>
      <c r="K28" t="s">
        <v>334</v>
      </c>
      <c r="L28" s="11">
        <v>326.2</v>
      </c>
      <c r="M28" s="11">
        <v>255.9</v>
      </c>
      <c r="N28" s="84"/>
      <c r="O28" s="10"/>
    </row>
    <row r="29" spans="1:15">
      <c r="A29" t="s">
        <v>340</v>
      </c>
      <c r="B29" s="14">
        <v>41730</v>
      </c>
      <c r="C29" s="11">
        <v>252.8</v>
      </c>
      <c r="D29" s="10">
        <v>0</v>
      </c>
      <c r="F29">
        <v>351.8</v>
      </c>
      <c r="K29" t="s">
        <v>335</v>
      </c>
      <c r="L29" s="11">
        <v>322.89999999999998</v>
      </c>
      <c r="M29" s="11">
        <v>252.1</v>
      </c>
      <c r="N29" s="84"/>
      <c r="O29" s="10"/>
    </row>
    <row r="30" spans="1:15">
      <c r="A30" t="s">
        <v>341</v>
      </c>
      <c r="B30" s="14">
        <v>41821</v>
      </c>
      <c r="C30" s="11">
        <v>255.6</v>
      </c>
      <c r="D30" s="10">
        <v>0</v>
      </c>
      <c r="F30">
        <v>348.9</v>
      </c>
      <c r="K30" t="s">
        <v>336</v>
      </c>
      <c r="L30" s="11">
        <v>325.10000000000002</v>
      </c>
      <c r="M30" s="11">
        <v>254.3</v>
      </c>
      <c r="N30" s="84"/>
      <c r="O30" s="10"/>
    </row>
    <row r="31" spans="1:15">
      <c r="A31" t="s">
        <v>346</v>
      </c>
      <c r="B31" s="14">
        <v>41913</v>
      </c>
      <c r="C31" s="11">
        <v>258.10000000000002</v>
      </c>
      <c r="D31" s="10">
        <v>0</v>
      </c>
      <c r="F31">
        <v>349.4</v>
      </c>
      <c r="K31" t="s">
        <v>337</v>
      </c>
      <c r="L31" s="11">
        <v>326.60000000000002</v>
      </c>
      <c r="M31" s="11">
        <v>255.3</v>
      </c>
    </row>
    <row r="32" spans="1:15">
      <c r="A32" t="s">
        <v>350</v>
      </c>
      <c r="B32" s="14">
        <v>42005</v>
      </c>
      <c r="C32" s="11">
        <v>256.3</v>
      </c>
      <c r="D32" s="10">
        <v>0</v>
      </c>
      <c r="F32">
        <v>340.7</v>
      </c>
      <c r="K32" t="s">
        <v>338</v>
      </c>
      <c r="L32" s="11">
        <v>324</v>
      </c>
      <c r="M32" s="11">
        <v>252.6</v>
      </c>
    </row>
    <row r="33" spans="1:13">
      <c r="A33" t="s">
        <v>357</v>
      </c>
      <c r="B33" s="14">
        <v>42095</v>
      </c>
      <c r="C33" s="11">
        <v>270.2</v>
      </c>
      <c r="D33" s="10">
        <v>0</v>
      </c>
      <c r="F33">
        <v>337.4</v>
      </c>
      <c r="K33" t="s">
        <v>339</v>
      </c>
      <c r="L33" s="11">
        <v>316.89999999999998</v>
      </c>
      <c r="M33" s="11">
        <v>246.3</v>
      </c>
    </row>
    <row r="34" spans="1:13">
      <c r="A34" t="s">
        <v>362</v>
      </c>
      <c r="B34" s="14">
        <v>42186</v>
      </c>
      <c r="C34" s="11">
        <v>272.7</v>
      </c>
      <c r="D34" s="10">
        <v>0</v>
      </c>
      <c r="F34">
        <v>330.7</v>
      </c>
      <c r="K34" t="s">
        <v>340</v>
      </c>
      <c r="L34" s="11">
        <v>324.2</v>
      </c>
      <c r="M34" s="11">
        <v>252.8</v>
      </c>
    </row>
    <row r="35" spans="1:13">
      <c r="A35" t="s">
        <v>366</v>
      </c>
      <c r="B35" s="14">
        <v>42278</v>
      </c>
      <c r="C35" s="11">
        <v>262.2</v>
      </c>
      <c r="D35" s="10">
        <v>0</v>
      </c>
      <c r="F35">
        <v>326.2</v>
      </c>
      <c r="K35" t="s">
        <v>341</v>
      </c>
      <c r="L35" s="11">
        <v>327.2</v>
      </c>
      <c r="M35" s="11">
        <v>255.6</v>
      </c>
    </row>
    <row r="36" spans="1:13">
      <c r="A36" t="s">
        <v>413</v>
      </c>
      <c r="B36" s="14">
        <v>42370</v>
      </c>
      <c r="C36" s="11">
        <v>277.2</v>
      </c>
      <c r="D36" s="10">
        <v>0</v>
      </c>
      <c r="F36">
        <v>322.89999999999998</v>
      </c>
      <c r="K36" t="s">
        <v>346</v>
      </c>
      <c r="L36" s="11">
        <v>331</v>
      </c>
      <c r="M36" s="11">
        <v>258.10000000000002</v>
      </c>
    </row>
    <row r="37" spans="1:13">
      <c r="A37" t="s">
        <v>426</v>
      </c>
      <c r="B37" s="14">
        <v>42461</v>
      </c>
      <c r="C37" s="11">
        <v>269</v>
      </c>
      <c r="D37" s="10">
        <v>0</v>
      </c>
      <c r="F37">
        <v>325.10000000000002</v>
      </c>
      <c r="K37" t="s">
        <v>350</v>
      </c>
      <c r="L37" s="11">
        <v>329</v>
      </c>
      <c r="M37" s="11">
        <v>256.3</v>
      </c>
    </row>
    <row r="38" spans="1:13">
      <c r="A38" t="s">
        <v>431</v>
      </c>
      <c r="B38" s="14">
        <v>42552</v>
      </c>
      <c r="C38" s="11">
        <v>265.39999999999998</v>
      </c>
      <c r="D38" s="10">
        <v>0</v>
      </c>
      <c r="F38">
        <v>326.60000000000002</v>
      </c>
      <c r="K38" t="s">
        <v>357</v>
      </c>
      <c r="L38" s="11">
        <v>343</v>
      </c>
      <c r="M38" s="11">
        <v>270.2</v>
      </c>
    </row>
    <row r="39" spans="1:13">
      <c r="A39" t="s">
        <v>436</v>
      </c>
      <c r="B39" s="14">
        <v>42644</v>
      </c>
      <c r="C39" s="11">
        <v>267</v>
      </c>
      <c r="D39" s="10">
        <v>0</v>
      </c>
      <c r="F39">
        <v>324</v>
      </c>
      <c r="K39" t="s">
        <v>362</v>
      </c>
      <c r="L39" s="11">
        <v>347.4</v>
      </c>
      <c r="M39" s="11">
        <v>272.7</v>
      </c>
    </row>
    <row r="40" spans="1:13">
      <c r="A40" t="s">
        <v>455</v>
      </c>
      <c r="B40" s="14">
        <v>42736</v>
      </c>
      <c r="C40" s="11">
        <v>261.2</v>
      </c>
      <c r="D40" s="10">
        <v>0</v>
      </c>
      <c r="F40">
        <v>316.89999999999998</v>
      </c>
      <c r="K40" t="s">
        <v>366</v>
      </c>
      <c r="L40" s="11">
        <v>337.8</v>
      </c>
      <c r="M40" s="11">
        <v>262.2</v>
      </c>
    </row>
    <row r="41" spans="1:13">
      <c r="A41" t="s">
        <v>456</v>
      </c>
      <c r="B41" s="14">
        <v>42826</v>
      </c>
      <c r="C41" s="11">
        <v>256.39999999999998</v>
      </c>
      <c r="D41" s="10">
        <v>0</v>
      </c>
      <c r="F41">
        <v>324.2</v>
      </c>
      <c r="K41" t="s">
        <v>413</v>
      </c>
      <c r="L41" s="11">
        <v>354.1</v>
      </c>
      <c r="M41" s="11">
        <v>277.2</v>
      </c>
    </row>
    <row r="42" spans="1:13">
      <c r="A42" t="s">
        <v>461</v>
      </c>
      <c r="B42" s="14">
        <v>42917</v>
      </c>
      <c r="C42" s="11">
        <v>252.1</v>
      </c>
      <c r="D42" s="10">
        <v>0</v>
      </c>
      <c r="E42" s="77"/>
      <c r="F42">
        <v>327.2</v>
      </c>
      <c r="K42" t="s">
        <v>426</v>
      </c>
      <c r="L42" s="11">
        <v>346</v>
      </c>
      <c r="M42" s="11">
        <v>269</v>
      </c>
    </row>
    <row r="43" spans="1:13">
      <c r="A43" t="s">
        <v>470</v>
      </c>
      <c r="B43" s="14">
        <v>43009</v>
      </c>
      <c r="C43" s="11">
        <v>259.3</v>
      </c>
      <c r="D43" s="10">
        <v>0</v>
      </c>
      <c r="F43">
        <v>331</v>
      </c>
      <c r="K43" t="s">
        <v>431</v>
      </c>
      <c r="L43" s="11">
        <v>342.7</v>
      </c>
      <c r="M43" s="11">
        <v>265.39999999999998</v>
      </c>
    </row>
    <row r="44" spans="1:13">
      <c r="A44" t="s">
        <v>471</v>
      </c>
      <c r="B44" s="14">
        <v>43101</v>
      </c>
      <c r="C44" s="11">
        <v>261.3</v>
      </c>
      <c r="D44" s="10">
        <v>0</v>
      </c>
      <c r="E44" s="103">
        <f>C44/C8</f>
        <v>0.84154589371980681</v>
      </c>
      <c r="F44">
        <v>329</v>
      </c>
      <c r="K44" t="s">
        <v>436</v>
      </c>
      <c r="L44" s="11">
        <v>343.6</v>
      </c>
      <c r="M44" s="11">
        <v>267</v>
      </c>
    </row>
    <row r="45" spans="1:13">
      <c r="A45" t="s">
        <v>484</v>
      </c>
      <c r="B45" s="14">
        <v>43191</v>
      </c>
      <c r="C45" s="11">
        <v>265.3</v>
      </c>
      <c r="D45" s="10">
        <v>0</v>
      </c>
      <c r="F45">
        <v>343</v>
      </c>
      <c r="K45" t="s">
        <v>455</v>
      </c>
      <c r="L45" s="11">
        <v>340.6</v>
      </c>
      <c r="M45" s="11">
        <v>261.2</v>
      </c>
    </row>
    <row r="46" spans="1:13">
      <c r="A46" t="s">
        <v>496</v>
      </c>
      <c r="B46" s="27">
        <v>43282</v>
      </c>
      <c r="C46" s="20">
        <v>268.3</v>
      </c>
      <c r="D46" s="10">
        <v>0</v>
      </c>
      <c r="F46">
        <v>347.4</v>
      </c>
      <c r="K46" t="s">
        <v>456</v>
      </c>
      <c r="L46" s="11">
        <v>335.9</v>
      </c>
      <c r="M46" s="11">
        <v>256.39999999999998</v>
      </c>
    </row>
    <row r="47" spans="1:13">
      <c r="A47" t="s">
        <v>510</v>
      </c>
      <c r="B47" s="27">
        <v>43374</v>
      </c>
      <c r="C47" s="20">
        <v>260.3</v>
      </c>
      <c r="D47" s="10">
        <v>0</v>
      </c>
      <c r="F47">
        <v>337.8</v>
      </c>
      <c r="K47" t="s">
        <v>461</v>
      </c>
      <c r="L47" s="11">
        <v>331.9</v>
      </c>
      <c r="M47" s="11">
        <v>252.1</v>
      </c>
    </row>
    <row r="48" spans="1:13">
      <c r="A48" t="s">
        <v>521</v>
      </c>
      <c r="B48" s="27">
        <v>43466</v>
      </c>
      <c r="C48" s="20" t="e">
        <v>#N/A</v>
      </c>
      <c r="D48" s="10">
        <v>0</v>
      </c>
      <c r="F48">
        <v>354.1</v>
      </c>
      <c r="K48" t="s">
        <v>470</v>
      </c>
      <c r="L48" s="11">
        <v>339</v>
      </c>
      <c r="M48" s="11">
        <v>259.3</v>
      </c>
    </row>
    <row r="49" spans="2:13">
      <c r="B49" s="27"/>
      <c r="C49" s="20"/>
      <c r="D49"/>
      <c r="F49">
        <v>346</v>
      </c>
      <c r="K49" t="s">
        <v>471</v>
      </c>
      <c r="L49" s="11">
        <v>342.4</v>
      </c>
      <c r="M49" s="11">
        <v>261.3</v>
      </c>
    </row>
    <row r="50" spans="2:13">
      <c r="B50" s="27"/>
      <c r="C50" s="20"/>
      <c r="D50"/>
      <c r="F50">
        <v>342.7</v>
      </c>
      <c r="K50" t="s">
        <v>484</v>
      </c>
      <c r="L50" s="11">
        <v>348.7</v>
      </c>
      <c r="M50" s="11">
        <v>265.3</v>
      </c>
    </row>
    <row r="51" spans="2:13">
      <c r="B51" s="27"/>
      <c r="C51" s="20"/>
      <c r="D51"/>
      <c r="F51">
        <v>343.6</v>
      </c>
      <c r="K51" t="s">
        <v>496</v>
      </c>
      <c r="L51" s="11">
        <v>353.3</v>
      </c>
      <c r="M51" s="11">
        <v>268.3</v>
      </c>
    </row>
    <row r="52" spans="2:13">
      <c r="B52" s="27"/>
      <c r="C52" s="20"/>
      <c r="D52"/>
      <c r="F52">
        <v>340.6</v>
      </c>
      <c r="K52" t="s">
        <v>510</v>
      </c>
      <c r="L52" s="11">
        <v>345.3</v>
      </c>
      <c r="M52" s="11">
        <v>260.3</v>
      </c>
    </row>
    <row r="53" spans="2:13">
      <c r="B53" s="27"/>
      <c r="C53" s="20"/>
      <c r="D53"/>
      <c r="F53">
        <v>335.9</v>
      </c>
      <c r="K53" t="s">
        <v>521</v>
      </c>
      <c r="L53" s="11" t="e">
        <v>#N/A</v>
      </c>
      <c r="M53" s="11" t="e">
        <v>#N/A</v>
      </c>
    </row>
    <row r="54" spans="2:13">
      <c r="B54" s="27"/>
      <c r="C54" s="20"/>
      <c r="D54"/>
      <c r="F54">
        <v>331.9</v>
      </c>
    </row>
    <row r="55" spans="2:13">
      <c r="B55" s="27"/>
      <c r="C55" s="20"/>
      <c r="D55"/>
      <c r="F55">
        <v>339</v>
      </c>
    </row>
    <row r="56" spans="2:13">
      <c r="B56" s="27"/>
      <c r="C56" s="20"/>
      <c r="D56"/>
      <c r="F56">
        <v>342.4</v>
      </c>
    </row>
    <row r="57" spans="2:13">
      <c r="B57" s="27"/>
      <c r="C57" s="20"/>
      <c r="D57"/>
      <c r="F57">
        <v>348.7</v>
      </c>
    </row>
    <row r="58" spans="2:13">
      <c r="B58" s="27"/>
      <c r="C58" s="20"/>
      <c r="D58"/>
      <c r="F58">
        <v>359.1</v>
      </c>
    </row>
    <row r="59" spans="2:13">
      <c r="B59" s="27"/>
      <c r="C59" s="20"/>
      <c r="D59"/>
    </row>
    <row r="60" spans="2:13">
      <c r="B60" s="27"/>
      <c r="C60" s="20"/>
      <c r="D60"/>
    </row>
    <row r="61" spans="2:13">
      <c r="B61" s="27"/>
      <c r="C61" s="20"/>
      <c r="D61"/>
    </row>
    <row r="62" spans="2:13">
      <c r="B62" s="27"/>
      <c r="C62" s="20"/>
      <c r="D62"/>
    </row>
    <row r="63" spans="2:13">
      <c r="B63" s="27"/>
      <c r="C63" s="20"/>
      <c r="D63"/>
    </row>
    <row r="64" spans="2:13">
      <c r="B64" s="27"/>
      <c r="C64" s="20"/>
      <c r="D64"/>
    </row>
    <row r="65" spans="2:4">
      <c r="B65" s="27"/>
      <c r="C65" s="20"/>
      <c r="D65"/>
    </row>
    <row r="66" spans="2:4">
      <c r="B66" s="27"/>
      <c r="C66" s="20"/>
      <c r="D66"/>
    </row>
    <row r="67" spans="2:4">
      <c r="B67" s="27"/>
      <c r="C67" s="20"/>
      <c r="D67"/>
    </row>
  </sheetData>
  <sortState ref="O8:O29">
    <sortCondition ref="O8"/>
  </sortState>
  <hyperlinks>
    <hyperlink ref="D3" r:id="rId1" xr:uid="{00000000-0004-0000-0500-000000000000}"/>
    <hyperlink ref="L2" r:id="rId2" xr:uid="{00000000-0004-0000-0500-000001000000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P126"/>
  <sheetViews>
    <sheetView zoomScale="70" zoomScaleNormal="70" workbookViewId="0">
      <selection activeCell="O13" sqref="O13:O80"/>
    </sheetView>
  </sheetViews>
  <sheetFormatPr defaultRowHeight="15"/>
  <cols>
    <col min="1" max="1" width="18.28515625" customWidth="1"/>
    <col min="2" max="2" width="13.28515625" customWidth="1"/>
    <col min="3" max="4" width="16.85546875" bestFit="1" customWidth="1"/>
    <col min="5" max="5" width="17.5703125" bestFit="1" customWidth="1"/>
    <col min="6" max="6" width="17" bestFit="1" customWidth="1"/>
    <col min="11" max="11" width="29.7109375" customWidth="1"/>
    <col min="15" max="15" width="10.7109375" customWidth="1"/>
  </cols>
  <sheetData>
    <row r="2" spans="1:16">
      <c r="A2" s="8" t="s">
        <v>274</v>
      </c>
      <c r="B2" s="8" t="s">
        <v>0</v>
      </c>
      <c r="C2" s="21" t="s">
        <v>115</v>
      </c>
      <c r="D2" s="21" t="s">
        <v>116</v>
      </c>
      <c r="E2" s="21" t="s">
        <v>117</v>
      </c>
      <c r="F2" s="21" t="s">
        <v>118</v>
      </c>
      <c r="J2" s="7"/>
    </row>
    <row r="3" spans="1:16">
      <c r="A3" t="s">
        <v>7</v>
      </c>
      <c r="C3" t="s">
        <v>372</v>
      </c>
      <c r="D3" t="s">
        <v>373</v>
      </c>
      <c r="E3" t="s">
        <v>374</v>
      </c>
      <c r="F3" t="s">
        <v>375</v>
      </c>
    </row>
    <row r="4" spans="1:16">
      <c r="A4" t="s">
        <v>10</v>
      </c>
      <c r="C4" t="s">
        <v>371</v>
      </c>
      <c r="D4" t="s">
        <v>371</v>
      </c>
      <c r="E4" t="s">
        <v>371</v>
      </c>
      <c r="F4" t="s">
        <v>371</v>
      </c>
      <c r="G4" t="s">
        <v>119</v>
      </c>
      <c r="I4" t="s">
        <v>121</v>
      </c>
    </row>
    <row r="5" spans="1:16">
      <c r="A5" t="s">
        <v>11</v>
      </c>
      <c r="C5" t="s">
        <v>501</v>
      </c>
      <c r="D5" t="s">
        <v>501</v>
      </c>
      <c r="E5" t="s">
        <v>501</v>
      </c>
      <c r="F5" t="s">
        <v>501</v>
      </c>
      <c r="H5" s="21" t="s">
        <v>120</v>
      </c>
    </row>
    <row r="6" spans="1:16">
      <c r="A6" t="s">
        <v>8</v>
      </c>
      <c r="B6" s="9"/>
      <c r="C6" s="10" t="s">
        <v>370</v>
      </c>
      <c r="D6" s="10" t="s">
        <v>370</v>
      </c>
      <c r="E6" s="10" t="s">
        <v>370</v>
      </c>
      <c r="F6" t="s">
        <v>370</v>
      </c>
    </row>
    <row r="7" spans="1:16">
      <c r="A7" t="s">
        <v>9</v>
      </c>
      <c r="B7" s="9"/>
      <c r="C7" s="10" t="s">
        <v>497</v>
      </c>
      <c r="D7" s="10" t="s">
        <v>497</v>
      </c>
      <c r="E7" s="10" t="s">
        <v>497</v>
      </c>
      <c r="F7" t="s">
        <v>497</v>
      </c>
      <c r="J7" t="s">
        <v>352</v>
      </c>
    </row>
    <row r="8" spans="1:16">
      <c r="A8" t="s">
        <v>273</v>
      </c>
      <c r="B8" s="9">
        <v>37437</v>
      </c>
      <c r="C8" s="10">
        <v>61824</v>
      </c>
      <c r="D8" s="10">
        <v>56137</v>
      </c>
      <c r="E8" s="10">
        <v>10523</v>
      </c>
      <c r="F8" s="10">
        <v>58036</v>
      </c>
      <c r="G8" s="28">
        <f t="shared" ref="G8:G57" si="0">SUM(C8:F8)/1000</f>
        <v>186.52</v>
      </c>
      <c r="J8" s="10">
        <f>VLOOKUP($B8, $O$13:$P$500, 2, FALSE)</f>
        <v>0</v>
      </c>
    </row>
    <row r="9" spans="1:16">
      <c r="A9" t="s">
        <v>275</v>
      </c>
      <c r="B9" s="9">
        <v>37529</v>
      </c>
      <c r="C9" s="10">
        <v>51833</v>
      </c>
      <c r="D9" s="10">
        <v>46454</v>
      </c>
      <c r="E9" s="10">
        <v>6550</v>
      </c>
      <c r="F9" s="10">
        <v>56374</v>
      </c>
      <c r="G9" s="28">
        <f t="shared" si="0"/>
        <v>161.21100000000001</v>
      </c>
      <c r="J9" s="10">
        <f t="shared" ref="J9:J72" si="1">VLOOKUP($B9, $O$13:$P$500, 2, FALSE)</f>
        <v>0</v>
      </c>
    </row>
    <row r="10" spans="1:16">
      <c r="A10" t="s">
        <v>276</v>
      </c>
      <c r="B10" s="9">
        <v>37621</v>
      </c>
      <c r="C10" s="10">
        <v>100702</v>
      </c>
      <c r="D10" s="10">
        <v>47128</v>
      </c>
      <c r="E10" s="10">
        <v>6089</v>
      </c>
      <c r="F10" s="10">
        <v>57685</v>
      </c>
      <c r="G10" s="28">
        <f t="shared" si="0"/>
        <v>211.60400000000001</v>
      </c>
      <c r="J10" s="10">
        <f t="shared" si="1"/>
        <v>0</v>
      </c>
    </row>
    <row r="11" spans="1:16">
      <c r="A11" t="s">
        <v>277</v>
      </c>
      <c r="B11" s="9">
        <v>37711</v>
      </c>
      <c r="C11" s="10">
        <v>77737</v>
      </c>
      <c r="D11" s="10">
        <v>44948</v>
      </c>
      <c r="E11" s="10">
        <v>7152</v>
      </c>
      <c r="F11" s="10">
        <v>56973</v>
      </c>
      <c r="G11" s="28">
        <f t="shared" si="0"/>
        <v>186.81</v>
      </c>
      <c r="J11" s="10">
        <f t="shared" si="1"/>
        <v>0</v>
      </c>
    </row>
    <row r="12" spans="1:16">
      <c r="A12" t="s">
        <v>278</v>
      </c>
      <c r="B12" s="9">
        <v>37802</v>
      </c>
      <c r="C12" s="10">
        <v>56873</v>
      </c>
      <c r="D12" s="10">
        <v>54381</v>
      </c>
      <c r="E12" s="10">
        <v>11148</v>
      </c>
      <c r="F12" s="10">
        <v>60554</v>
      </c>
      <c r="G12" s="28">
        <f t="shared" si="0"/>
        <v>182.95599999999999</v>
      </c>
      <c r="H12">
        <f t="shared" ref="H12:H57" si="2">IFERROR(G12/G8-1, "")</f>
        <v>-1.9107870469654897E-2</v>
      </c>
      <c r="J12" s="10">
        <f t="shared" si="1"/>
        <v>0</v>
      </c>
      <c r="N12" s="8" t="s">
        <v>274</v>
      </c>
      <c r="O12" s="8" t="s">
        <v>0</v>
      </c>
      <c r="P12" s="7" t="s">
        <v>314</v>
      </c>
    </row>
    <row r="13" spans="1:16">
      <c r="A13" t="s">
        <v>279</v>
      </c>
      <c r="B13" s="9">
        <v>37894</v>
      </c>
      <c r="C13" s="10">
        <v>60429</v>
      </c>
      <c r="D13" s="10">
        <v>48999</v>
      </c>
      <c r="E13" s="10">
        <v>7389</v>
      </c>
      <c r="F13" s="10">
        <v>58881</v>
      </c>
      <c r="G13" s="28">
        <f t="shared" si="0"/>
        <v>175.69800000000001</v>
      </c>
      <c r="H13">
        <f t="shared" si="2"/>
        <v>8.9863594915979617E-2</v>
      </c>
      <c r="J13" s="10">
        <f t="shared" si="1"/>
        <v>0</v>
      </c>
      <c r="N13" t="s">
        <v>273</v>
      </c>
      <c r="O13" s="9">
        <v>37437</v>
      </c>
      <c r="P13" s="10">
        <v>0</v>
      </c>
    </row>
    <row r="14" spans="1:16">
      <c r="A14" t="s">
        <v>280</v>
      </c>
      <c r="B14" s="9">
        <v>37986</v>
      </c>
      <c r="C14" s="10">
        <v>108519</v>
      </c>
      <c r="D14" s="10">
        <v>50757</v>
      </c>
      <c r="E14" s="10">
        <v>7002</v>
      </c>
      <c r="F14" s="10">
        <v>60025</v>
      </c>
      <c r="G14" s="28">
        <f t="shared" si="0"/>
        <v>226.303</v>
      </c>
      <c r="H14">
        <f t="shared" si="2"/>
        <v>6.9464660403395051E-2</v>
      </c>
      <c r="J14" s="10">
        <f t="shared" si="1"/>
        <v>0</v>
      </c>
      <c r="N14" t="s">
        <v>275</v>
      </c>
      <c r="O14" s="9">
        <v>37529</v>
      </c>
      <c r="P14" s="10">
        <v>0</v>
      </c>
    </row>
    <row r="15" spans="1:16">
      <c r="A15" t="s">
        <v>281</v>
      </c>
      <c r="B15" s="9">
        <v>38077</v>
      </c>
      <c r="C15" s="10">
        <v>82281</v>
      </c>
      <c r="D15" s="10">
        <v>48850</v>
      </c>
      <c r="E15" s="10">
        <v>7733</v>
      </c>
      <c r="F15" s="10">
        <v>61875</v>
      </c>
      <c r="G15" s="28">
        <f t="shared" si="0"/>
        <v>200.739</v>
      </c>
      <c r="H15">
        <f t="shared" si="2"/>
        <v>7.456238959370487E-2</v>
      </c>
      <c r="I15" s="17">
        <f t="shared" ref="I15:I57" si="3">IFERROR(IF(H12&lt;&gt;-1, IF(H13&lt;&gt;-1, IF(H14&lt;&gt;-1, IF(H15&lt;&gt;-1, AVERAGE(H12:H15), ""), ""), ""), ""), "")</f>
        <v>5.369569361085616E-2</v>
      </c>
      <c r="J15" s="10">
        <f t="shared" si="1"/>
        <v>0</v>
      </c>
      <c r="N15" t="s">
        <v>276</v>
      </c>
      <c r="O15" s="9">
        <v>37621</v>
      </c>
      <c r="P15" s="10">
        <v>0</v>
      </c>
    </row>
    <row r="16" spans="1:16">
      <c r="A16" t="s">
        <v>282</v>
      </c>
      <c r="B16" s="29">
        <v>38168</v>
      </c>
      <c r="C16" s="10">
        <v>61509</v>
      </c>
      <c r="D16" s="10">
        <v>63176</v>
      </c>
      <c r="E16" s="10">
        <v>11620</v>
      </c>
      <c r="F16" s="10">
        <v>65822</v>
      </c>
      <c r="G16" s="28">
        <f t="shared" si="0"/>
        <v>202.12700000000001</v>
      </c>
      <c r="H16">
        <f t="shared" si="2"/>
        <v>0.10478475699075207</v>
      </c>
      <c r="I16" s="17">
        <f t="shared" si="3"/>
        <v>8.4668850475957902E-2</v>
      </c>
      <c r="J16" s="10">
        <f t="shared" si="1"/>
        <v>0</v>
      </c>
      <c r="N16" t="s">
        <v>277</v>
      </c>
      <c r="O16" s="9">
        <v>37711</v>
      </c>
      <c r="P16" s="10">
        <v>0</v>
      </c>
    </row>
    <row r="17" spans="1:16">
      <c r="A17" t="s">
        <v>283</v>
      </c>
      <c r="B17" s="29">
        <v>38260</v>
      </c>
      <c r="C17" s="10">
        <v>61799</v>
      </c>
      <c r="D17" s="10">
        <v>51987</v>
      </c>
      <c r="E17" s="10">
        <v>9197</v>
      </c>
      <c r="F17" s="10">
        <v>63364</v>
      </c>
      <c r="G17" s="28">
        <f t="shared" si="0"/>
        <v>186.34700000000001</v>
      </c>
      <c r="H17">
        <f t="shared" si="2"/>
        <v>6.0609682523420805E-2</v>
      </c>
      <c r="I17" s="17">
        <f t="shared" si="3"/>
        <v>7.7355372377818199E-2</v>
      </c>
      <c r="J17" s="10">
        <f t="shared" si="1"/>
        <v>0</v>
      </c>
      <c r="N17" t="s">
        <v>278</v>
      </c>
      <c r="O17" s="9">
        <v>37802</v>
      </c>
      <c r="P17" s="10">
        <v>0</v>
      </c>
    </row>
    <row r="18" spans="1:16">
      <c r="A18" t="s">
        <v>284</v>
      </c>
      <c r="B18" s="29">
        <v>38352</v>
      </c>
      <c r="C18" s="10">
        <v>120567</v>
      </c>
      <c r="D18" s="10">
        <v>55315</v>
      </c>
      <c r="E18" s="10">
        <v>8659</v>
      </c>
      <c r="F18" s="10">
        <v>66353</v>
      </c>
      <c r="G18" s="28">
        <f t="shared" si="0"/>
        <v>250.89400000000001</v>
      </c>
      <c r="H18">
        <f t="shared" si="2"/>
        <v>0.10866404775897798</v>
      </c>
      <c r="I18" s="17">
        <f t="shared" si="3"/>
        <v>8.7155219216713931E-2</v>
      </c>
      <c r="J18" s="10">
        <f t="shared" si="1"/>
        <v>0</v>
      </c>
      <c r="N18" t="s">
        <v>279</v>
      </c>
      <c r="O18" s="9">
        <v>37894</v>
      </c>
      <c r="P18" s="10">
        <v>0</v>
      </c>
    </row>
    <row r="19" spans="1:16">
      <c r="A19" t="s">
        <v>285</v>
      </c>
      <c r="B19" s="29">
        <v>38442</v>
      </c>
      <c r="C19" s="10">
        <v>87426</v>
      </c>
      <c r="D19" s="10">
        <v>55171</v>
      </c>
      <c r="E19" s="10">
        <v>9986</v>
      </c>
      <c r="F19" s="10">
        <v>66927</v>
      </c>
      <c r="G19" s="28">
        <f t="shared" si="0"/>
        <v>219.51</v>
      </c>
      <c r="H19">
        <f t="shared" si="2"/>
        <v>9.350948246230173E-2</v>
      </c>
      <c r="I19" s="17">
        <f t="shared" si="3"/>
        <v>9.1891992433863146E-2</v>
      </c>
      <c r="J19" s="10">
        <f t="shared" si="1"/>
        <v>0</v>
      </c>
      <c r="N19" t="s">
        <v>280</v>
      </c>
      <c r="O19" s="9">
        <v>37986</v>
      </c>
      <c r="P19" s="10">
        <v>0</v>
      </c>
    </row>
    <row r="20" spans="1:16">
      <c r="A20" t="s">
        <v>286</v>
      </c>
      <c r="B20" s="29">
        <v>38533</v>
      </c>
      <c r="C20" s="10">
        <v>67898</v>
      </c>
      <c r="D20" s="10">
        <v>75813</v>
      </c>
      <c r="E20" s="10">
        <v>18805</v>
      </c>
      <c r="F20" s="10">
        <v>71828</v>
      </c>
      <c r="G20" s="28">
        <f t="shared" si="0"/>
        <v>234.34399999999999</v>
      </c>
      <c r="H20">
        <f t="shared" si="2"/>
        <v>0.15938988853542568</v>
      </c>
      <c r="I20" s="17">
        <f t="shared" si="3"/>
        <v>0.10554327532003155</v>
      </c>
      <c r="J20" s="10">
        <f t="shared" si="1"/>
        <v>0</v>
      </c>
      <c r="N20" t="s">
        <v>281</v>
      </c>
      <c r="O20" s="9">
        <v>38077</v>
      </c>
      <c r="P20" s="10">
        <v>0</v>
      </c>
    </row>
    <row r="21" spans="1:16">
      <c r="A21" t="s">
        <v>287</v>
      </c>
      <c r="B21" s="29">
        <v>38625</v>
      </c>
      <c r="C21" s="10">
        <v>65816</v>
      </c>
      <c r="D21" s="10">
        <v>57164</v>
      </c>
      <c r="E21" s="10">
        <v>11392</v>
      </c>
      <c r="F21" s="10">
        <v>68726</v>
      </c>
      <c r="G21" s="28">
        <f t="shared" si="0"/>
        <v>203.09800000000001</v>
      </c>
      <c r="H21">
        <f t="shared" si="2"/>
        <v>8.989143908944075E-2</v>
      </c>
      <c r="I21" s="17">
        <f t="shared" si="3"/>
        <v>0.11286371446153654</v>
      </c>
      <c r="J21" s="10">
        <f t="shared" si="1"/>
        <v>0</v>
      </c>
      <c r="N21" t="s">
        <v>282</v>
      </c>
      <c r="O21" s="9">
        <v>38168</v>
      </c>
      <c r="P21" s="10">
        <v>0</v>
      </c>
    </row>
    <row r="22" spans="1:16">
      <c r="A22" t="s">
        <v>288</v>
      </c>
      <c r="B22" s="29">
        <v>38717</v>
      </c>
      <c r="C22" s="10">
        <v>131009</v>
      </c>
      <c r="D22" s="10">
        <v>59052</v>
      </c>
      <c r="E22" s="10">
        <v>11376</v>
      </c>
      <c r="F22" s="10">
        <v>70970</v>
      </c>
      <c r="G22" s="28">
        <f t="shared" si="0"/>
        <v>272.40699999999998</v>
      </c>
      <c r="H22">
        <f t="shared" si="2"/>
        <v>8.5745374540642461E-2</v>
      </c>
      <c r="I22" s="17">
        <f t="shared" si="3"/>
        <v>0.10713404615695266</v>
      </c>
      <c r="J22" s="10">
        <f t="shared" si="1"/>
        <v>0</v>
      </c>
      <c r="N22" t="s">
        <v>283</v>
      </c>
      <c r="O22" s="9">
        <v>38260</v>
      </c>
      <c r="P22" s="10">
        <v>0</v>
      </c>
    </row>
    <row r="23" spans="1:16">
      <c r="A23" t="s">
        <v>289</v>
      </c>
      <c r="B23" s="29">
        <v>38807</v>
      </c>
      <c r="C23" s="10">
        <v>94122</v>
      </c>
      <c r="D23" s="10">
        <v>60057</v>
      </c>
      <c r="E23" s="10">
        <v>11102</v>
      </c>
      <c r="F23" s="10">
        <v>72255</v>
      </c>
      <c r="G23" s="28">
        <f t="shared" si="0"/>
        <v>237.536</v>
      </c>
      <c r="H23">
        <f t="shared" si="2"/>
        <v>8.2119265637100813E-2</v>
      </c>
      <c r="I23" s="17">
        <f t="shared" si="3"/>
        <v>0.10428649195065243</v>
      </c>
      <c r="J23" s="10">
        <f t="shared" si="1"/>
        <v>0</v>
      </c>
      <c r="N23" t="s">
        <v>284</v>
      </c>
      <c r="O23" s="9">
        <v>38352</v>
      </c>
      <c r="P23" s="10">
        <v>0</v>
      </c>
    </row>
    <row r="24" spans="1:16">
      <c r="A24" t="s">
        <v>290</v>
      </c>
      <c r="B24" s="29">
        <v>38898</v>
      </c>
      <c r="C24" s="10">
        <v>72588</v>
      </c>
      <c r="D24" s="10">
        <v>89769</v>
      </c>
      <c r="E24" s="10">
        <v>19255</v>
      </c>
      <c r="F24" s="10">
        <v>76529</v>
      </c>
      <c r="G24" s="28">
        <f t="shared" si="0"/>
        <v>258.14100000000002</v>
      </c>
      <c r="H24">
        <f t="shared" si="2"/>
        <v>0.10154729798928086</v>
      </c>
      <c r="I24" s="17">
        <f t="shared" si="3"/>
        <v>8.9825844314116221E-2</v>
      </c>
      <c r="J24" s="10">
        <f t="shared" si="1"/>
        <v>0</v>
      </c>
      <c r="N24" t="s">
        <v>285</v>
      </c>
      <c r="O24" s="9">
        <v>38442</v>
      </c>
      <c r="P24" s="10">
        <v>0</v>
      </c>
    </row>
    <row r="25" spans="1:16">
      <c r="A25" t="s">
        <v>291</v>
      </c>
      <c r="B25" s="29">
        <v>38990</v>
      </c>
      <c r="C25" s="10">
        <v>66662</v>
      </c>
      <c r="D25" s="10">
        <v>60730</v>
      </c>
      <c r="E25" s="10">
        <v>13894</v>
      </c>
      <c r="F25" s="10">
        <v>73297</v>
      </c>
      <c r="G25" s="28">
        <f t="shared" si="0"/>
        <v>214.583</v>
      </c>
      <c r="H25">
        <f t="shared" si="2"/>
        <v>5.6549055135944215E-2</v>
      </c>
      <c r="I25" s="17">
        <f t="shared" si="3"/>
        <v>8.1490248325742087E-2</v>
      </c>
      <c r="J25" s="10">
        <f t="shared" si="1"/>
        <v>0</v>
      </c>
      <c r="N25" t="s">
        <v>286</v>
      </c>
      <c r="O25" s="9">
        <v>38533</v>
      </c>
      <c r="P25" s="10">
        <v>0</v>
      </c>
    </row>
    <row r="26" spans="1:16">
      <c r="A26" t="s">
        <v>292</v>
      </c>
      <c r="B26" s="29">
        <v>39082</v>
      </c>
      <c r="C26" s="10">
        <v>142804</v>
      </c>
      <c r="D26" s="10">
        <v>61664</v>
      </c>
      <c r="E26" s="10">
        <v>13165</v>
      </c>
      <c r="F26" s="10">
        <v>74464</v>
      </c>
      <c r="G26" s="28">
        <f t="shared" si="0"/>
        <v>292.09699999999998</v>
      </c>
      <c r="H26">
        <f t="shared" si="2"/>
        <v>7.228154929939401E-2</v>
      </c>
      <c r="I26" s="17">
        <f t="shared" si="3"/>
        <v>7.8124292015429975E-2</v>
      </c>
      <c r="J26" s="10">
        <f t="shared" si="1"/>
        <v>0</v>
      </c>
      <c r="N26" t="s">
        <v>287</v>
      </c>
      <c r="O26" s="9">
        <v>38625</v>
      </c>
      <c r="P26" s="10">
        <v>0</v>
      </c>
    </row>
    <row r="27" spans="1:16">
      <c r="A27" t="s">
        <v>265</v>
      </c>
      <c r="B27" s="29">
        <v>39172</v>
      </c>
      <c r="C27" s="10">
        <v>100322</v>
      </c>
      <c r="D27" s="10">
        <v>65259</v>
      </c>
      <c r="E27" s="10">
        <v>13251</v>
      </c>
      <c r="F27" s="10">
        <v>74690</v>
      </c>
      <c r="G27" s="28">
        <f t="shared" si="0"/>
        <v>253.52199999999999</v>
      </c>
      <c r="H27">
        <f t="shared" si="2"/>
        <v>6.7299272531321508E-2</v>
      </c>
      <c r="I27" s="17">
        <f t="shared" si="3"/>
        <v>7.4419293738985148E-2</v>
      </c>
      <c r="J27" s="10">
        <f t="shared" si="1"/>
        <v>0</v>
      </c>
      <c r="N27" t="s">
        <v>288</v>
      </c>
      <c r="O27" s="9">
        <v>38717</v>
      </c>
      <c r="P27" s="10">
        <v>0</v>
      </c>
    </row>
    <row r="28" spans="1:16">
      <c r="A28" t="s">
        <v>266</v>
      </c>
      <c r="B28" s="29">
        <v>39263</v>
      </c>
      <c r="C28" s="10">
        <v>78753</v>
      </c>
      <c r="D28" s="10">
        <v>97627</v>
      </c>
      <c r="E28" s="10">
        <v>20977</v>
      </c>
      <c r="F28" s="10">
        <v>79508</v>
      </c>
      <c r="G28" s="28">
        <f t="shared" si="0"/>
        <v>276.86500000000001</v>
      </c>
      <c r="H28">
        <f t="shared" si="2"/>
        <v>7.2534002734939484E-2</v>
      </c>
      <c r="I28" s="17">
        <f t="shared" si="3"/>
        <v>6.7165969925399804E-2</v>
      </c>
      <c r="J28" s="10">
        <f t="shared" si="1"/>
        <v>0</v>
      </c>
      <c r="N28" t="s">
        <v>289</v>
      </c>
      <c r="O28" s="9">
        <v>38807</v>
      </c>
      <c r="P28" s="10">
        <v>0</v>
      </c>
    </row>
    <row r="29" spans="1:16">
      <c r="A29" t="s">
        <v>267</v>
      </c>
      <c r="B29" s="29">
        <v>39355</v>
      </c>
      <c r="C29" s="10">
        <v>69286</v>
      </c>
      <c r="D29" s="10">
        <v>64945</v>
      </c>
      <c r="E29" s="10">
        <v>14076</v>
      </c>
      <c r="F29" s="10">
        <v>73521</v>
      </c>
      <c r="G29" s="28">
        <f t="shared" si="0"/>
        <v>221.828</v>
      </c>
      <c r="H29">
        <f t="shared" si="2"/>
        <v>3.3763159243742624E-2</v>
      </c>
      <c r="I29" s="17">
        <f t="shared" si="3"/>
        <v>6.1469495952349407E-2</v>
      </c>
      <c r="J29" s="10">
        <f t="shared" si="1"/>
        <v>0</v>
      </c>
      <c r="N29" t="s">
        <v>290</v>
      </c>
      <c r="O29" s="9">
        <v>38898</v>
      </c>
      <c r="P29" s="10">
        <v>0</v>
      </c>
    </row>
    <row r="30" spans="1:16">
      <c r="A30" t="s">
        <v>268</v>
      </c>
      <c r="B30" s="29">
        <v>39447</v>
      </c>
      <c r="C30" s="10">
        <v>153441</v>
      </c>
      <c r="D30" s="10">
        <v>64311</v>
      </c>
      <c r="E30" s="10">
        <v>11281</v>
      </c>
      <c r="F30" s="10">
        <v>77486</v>
      </c>
      <c r="G30" s="28">
        <f t="shared" si="0"/>
        <v>306.51900000000001</v>
      </c>
      <c r="H30">
        <f t="shared" si="2"/>
        <v>4.9374009318822187E-2</v>
      </c>
      <c r="I30" s="17">
        <f t="shared" si="3"/>
        <v>5.5742610957206451E-2</v>
      </c>
      <c r="J30" s="10">
        <f t="shared" si="1"/>
        <v>0</v>
      </c>
      <c r="N30" t="s">
        <v>291</v>
      </c>
      <c r="O30" s="9">
        <v>38990</v>
      </c>
      <c r="P30" s="10">
        <v>0</v>
      </c>
    </row>
    <row r="31" spans="1:16">
      <c r="A31" t="s">
        <v>269</v>
      </c>
      <c r="B31" s="29">
        <v>39538</v>
      </c>
      <c r="C31" s="10">
        <v>100236</v>
      </c>
      <c r="D31" s="10">
        <v>68446</v>
      </c>
      <c r="E31" s="10">
        <v>13323</v>
      </c>
      <c r="F31" s="10">
        <v>75486</v>
      </c>
      <c r="G31" s="28">
        <f t="shared" si="0"/>
        <v>257.49099999999999</v>
      </c>
      <c r="H31">
        <f t="shared" si="2"/>
        <v>1.5655446075685697E-2</v>
      </c>
      <c r="I31" s="17">
        <f t="shared" si="3"/>
        <v>4.2831654343297498E-2</v>
      </c>
      <c r="J31" s="10">
        <f t="shared" si="1"/>
        <v>1</v>
      </c>
      <c r="N31" t="s">
        <v>292</v>
      </c>
      <c r="O31" s="9">
        <v>39082</v>
      </c>
      <c r="P31" s="10">
        <v>0</v>
      </c>
    </row>
    <row r="32" spans="1:16">
      <c r="A32" t="s">
        <v>270</v>
      </c>
      <c r="B32" s="29">
        <v>39629</v>
      </c>
      <c r="C32" s="10">
        <v>80696</v>
      </c>
      <c r="D32" s="10">
        <v>106245</v>
      </c>
      <c r="E32" s="10">
        <v>18209</v>
      </c>
      <c r="F32" s="10">
        <v>80362</v>
      </c>
      <c r="G32" s="28">
        <f t="shared" si="0"/>
        <v>285.512</v>
      </c>
      <c r="H32">
        <f t="shared" si="2"/>
        <v>3.1231827786105004E-2</v>
      </c>
      <c r="I32" s="17">
        <f t="shared" si="3"/>
        <v>3.2506110606088878E-2</v>
      </c>
      <c r="J32" s="10">
        <f t="shared" si="1"/>
        <v>1</v>
      </c>
      <c r="N32" t="s">
        <v>265</v>
      </c>
      <c r="O32" s="9">
        <v>39172</v>
      </c>
      <c r="P32" s="10">
        <v>0</v>
      </c>
    </row>
    <row r="33" spans="1:16">
      <c r="A33" t="s">
        <v>271</v>
      </c>
      <c r="B33" s="29">
        <v>39721</v>
      </c>
      <c r="C33" s="10">
        <v>76929</v>
      </c>
      <c r="D33" s="10">
        <v>65680</v>
      </c>
      <c r="E33" s="10">
        <v>11550</v>
      </c>
      <c r="F33" s="10">
        <v>76584</v>
      </c>
      <c r="G33" s="28">
        <f t="shared" si="0"/>
        <v>230.74299999999999</v>
      </c>
      <c r="H33">
        <f t="shared" si="2"/>
        <v>4.0188794922191962E-2</v>
      </c>
      <c r="I33" s="17">
        <f t="shared" si="3"/>
        <v>3.4112519525701213E-2</v>
      </c>
      <c r="J33" s="10">
        <f t="shared" si="1"/>
        <v>1</v>
      </c>
      <c r="N33" t="s">
        <v>266</v>
      </c>
      <c r="O33" s="9">
        <v>39263</v>
      </c>
      <c r="P33" s="10">
        <v>0</v>
      </c>
    </row>
    <row r="34" spans="1:16">
      <c r="A34" t="s">
        <v>272</v>
      </c>
      <c r="B34" s="29">
        <v>39813</v>
      </c>
      <c r="C34" s="10">
        <v>173688</v>
      </c>
      <c r="D34" s="10">
        <v>62683</v>
      </c>
      <c r="E34" s="10">
        <v>8729</v>
      </c>
      <c r="F34" s="10">
        <v>73790</v>
      </c>
      <c r="G34" s="28">
        <f t="shared" si="0"/>
        <v>318.89</v>
      </c>
      <c r="H34">
        <f t="shared" si="2"/>
        <v>4.0359651440856847E-2</v>
      </c>
      <c r="I34" s="17">
        <f t="shared" si="3"/>
        <v>3.1858930056209878E-2</v>
      </c>
      <c r="J34" s="10">
        <f t="shared" si="1"/>
        <v>1</v>
      </c>
      <c r="N34" t="s">
        <v>267</v>
      </c>
      <c r="O34" s="9">
        <v>39355</v>
      </c>
      <c r="P34" s="10">
        <v>0</v>
      </c>
    </row>
    <row r="35" spans="1:16">
      <c r="A35" t="s">
        <v>242</v>
      </c>
      <c r="B35" s="29">
        <v>39903</v>
      </c>
      <c r="C35" s="10">
        <v>118575</v>
      </c>
      <c r="D35" s="10">
        <v>55422</v>
      </c>
      <c r="E35" s="10">
        <v>10613</v>
      </c>
      <c r="F35" s="10">
        <v>69626</v>
      </c>
      <c r="G35" s="28">
        <f t="shared" si="0"/>
        <v>254.23599999999999</v>
      </c>
      <c r="H35">
        <f t="shared" si="2"/>
        <v>-1.2641218528026243E-2</v>
      </c>
      <c r="I35" s="17">
        <f t="shared" si="3"/>
        <v>2.4784763905281892E-2</v>
      </c>
      <c r="J35" s="10">
        <f t="shared" si="1"/>
        <v>1</v>
      </c>
      <c r="N35" t="s">
        <v>268</v>
      </c>
      <c r="O35" s="9">
        <v>39447</v>
      </c>
      <c r="P35" s="10">
        <v>0</v>
      </c>
    </row>
    <row r="36" spans="1:16">
      <c r="A36" t="s">
        <v>243</v>
      </c>
      <c r="B36" s="29">
        <v>39994</v>
      </c>
      <c r="C36" s="10">
        <v>86477</v>
      </c>
      <c r="D36" s="10">
        <v>76076</v>
      </c>
      <c r="E36" s="10">
        <v>18867</v>
      </c>
      <c r="F36" s="10">
        <v>72966</v>
      </c>
      <c r="G36" s="28">
        <f t="shared" si="0"/>
        <v>254.386</v>
      </c>
      <c r="H36">
        <f t="shared" si="2"/>
        <v>-0.10901818487489146</v>
      </c>
      <c r="I36" s="17">
        <f t="shared" si="3"/>
        <v>-1.0277739259967222E-2</v>
      </c>
      <c r="J36" s="10">
        <f t="shared" si="1"/>
        <v>1</v>
      </c>
      <c r="N36" t="s">
        <v>269</v>
      </c>
      <c r="O36" s="9">
        <v>39538</v>
      </c>
      <c r="P36" s="10">
        <v>1</v>
      </c>
    </row>
    <row r="37" spans="1:16">
      <c r="A37" t="s">
        <v>244</v>
      </c>
      <c r="B37" s="29">
        <v>40086</v>
      </c>
      <c r="C37" s="10">
        <v>84302</v>
      </c>
      <c r="D37" s="10">
        <v>57990</v>
      </c>
      <c r="E37" s="10">
        <v>9673</v>
      </c>
      <c r="F37" s="10">
        <v>69355</v>
      </c>
      <c r="G37" s="28">
        <f t="shared" si="0"/>
        <v>221.32</v>
      </c>
      <c r="H37">
        <f t="shared" si="2"/>
        <v>-4.0837641878626929E-2</v>
      </c>
      <c r="I37" s="17">
        <f t="shared" si="3"/>
        <v>-3.0534348460171945E-2</v>
      </c>
      <c r="J37" s="10">
        <f t="shared" si="1"/>
        <v>0</v>
      </c>
      <c r="N37" t="s">
        <v>270</v>
      </c>
      <c r="O37" s="9">
        <v>39629</v>
      </c>
      <c r="P37" s="10">
        <v>1</v>
      </c>
    </row>
    <row r="38" spans="1:16">
      <c r="A38" t="s">
        <v>245</v>
      </c>
      <c r="B38" s="29">
        <v>40178</v>
      </c>
      <c r="C38" s="10">
        <v>182480</v>
      </c>
      <c r="D38" s="10">
        <v>60083</v>
      </c>
      <c r="E38" s="10">
        <v>9139</v>
      </c>
      <c r="F38" s="10">
        <v>69516</v>
      </c>
      <c r="G38" s="28">
        <f t="shared" si="0"/>
        <v>321.21800000000002</v>
      </c>
      <c r="H38">
        <f t="shared" si="2"/>
        <v>7.3003229953902959E-3</v>
      </c>
      <c r="I38" s="17">
        <f t="shared" si="3"/>
        <v>-3.8799180571538583E-2</v>
      </c>
      <c r="J38" s="10">
        <f t="shared" si="1"/>
        <v>0</v>
      </c>
      <c r="N38" t="s">
        <v>271</v>
      </c>
      <c r="O38" s="9">
        <v>39721</v>
      </c>
      <c r="P38" s="10">
        <v>1</v>
      </c>
    </row>
    <row r="39" spans="1:16">
      <c r="A39" t="s">
        <v>246</v>
      </c>
      <c r="B39" s="29">
        <v>40268</v>
      </c>
      <c r="C39" s="10">
        <v>115197</v>
      </c>
      <c r="D39" s="10">
        <v>57500</v>
      </c>
      <c r="E39" s="10">
        <v>10116</v>
      </c>
      <c r="F39" s="10">
        <v>68639</v>
      </c>
      <c r="G39" s="28">
        <f t="shared" si="0"/>
        <v>251.452</v>
      </c>
      <c r="H39">
        <f t="shared" si="2"/>
        <v>-1.0950455482307775E-2</v>
      </c>
      <c r="I39" s="17">
        <f t="shared" si="3"/>
        <v>-3.8376489810108966E-2</v>
      </c>
      <c r="J39" s="10">
        <f t="shared" si="1"/>
        <v>0</v>
      </c>
      <c r="N39" t="s">
        <v>272</v>
      </c>
      <c r="O39" s="9">
        <v>39813</v>
      </c>
      <c r="P39" s="10">
        <v>1</v>
      </c>
    </row>
    <row r="40" spans="1:16">
      <c r="A40" t="s">
        <v>247</v>
      </c>
      <c r="B40" s="29">
        <v>40359</v>
      </c>
      <c r="C40" s="10">
        <v>90617</v>
      </c>
      <c r="D40" s="10">
        <v>77243</v>
      </c>
      <c r="E40" s="10">
        <v>15645</v>
      </c>
      <c r="F40" s="10">
        <v>76265</v>
      </c>
      <c r="G40" s="28">
        <f t="shared" si="0"/>
        <v>259.77</v>
      </c>
      <c r="H40">
        <f t="shared" si="2"/>
        <v>2.1164686735905214E-2</v>
      </c>
      <c r="I40" s="17">
        <f t="shared" si="3"/>
        <v>-5.8307719074097986E-3</v>
      </c>
      <c r="J40" s="10">
        <f t="shared" si="1"/>
        <v>0</v>
      </c>
      <c r="N40" t="s">
        <v>242</v>
      </c>
      <c r="O40" s="9">
        <v>39903</v>
      </c>
      <c r="P40" s="10">
        <v>1</v>
      </c>
    </row>
    <row r="41" spans="1:16">
      <c r="A41" t="s">
        <v>248</v>
      </c>
      <c r="B41" s="29">
        <v>40451</v>
      </c>
      <c r="C41" s="10">
        <v>88204</v>
      </c>
      <c r="D41" s="10">
        <v>60206</v>
      </c>
      <c r="E41" s="10">
        <v>9488</v>
      </c>
      <c r="F41" s="10">
        <v>71168</v>
      </c>
      <c r="G41" s="28">
        <f t="shared" si="0"/>
        <v>229.066</v>
      </c>
      <c r="H41">
        <f t="shared" si="2"/>
        <v>3.4999096331104429E-2</v>
      </c>
      <c r="I41" s="17">
        <f t="shared" si="3"/>
        <v>1.3128412645023041E-2</v>
      </c>
      <c r="J41" s="10">
        <f t="shared" si="1"/>
        <v>0</v>
      </c>
      <c r="N41" t="s">
        <v>243</v>
      </c>
      <c r="O41" s="9">
        <v>39994</v>
      </c>
      <c r="P41" s="10">
        <v>1</v>
      </c>
    </row>
    <row r="42" spans="1:16">
      <c r="A42" t="s">
        <v>249</v>
      </c>
      <c r="B42" s="29">
        <v>40543</v>
      </c>
      <c r="C42" s="10">
        <v>177530</v>
      </c>
      <c r="D42" s="10">
        <v>66189</v>
      </c>
      <c r="E42" s="10">
        <v>10328</v>
      </c>
      <c r="F42" s="10">
        <v>67793</v>
      </c>
      <c r="G42" s="28">
        <f t="shared" si="0"/>
        <v>321.83999999999997</v>
      </c>
      <c r="H42">
        <f t="shared" si="2"/>
        <v>1.9363796549383139E-3</v>
      </c>
      <c r="I42" s="17">
        <f t="shared" si="3"/>
        <v>1.1787426809910045E-2</v>
      </c>
      <c r="J42" s="10">
        <f t="shared" si="1"/>
        <v>0</v>
      </c>
      <c r="N42" t="s">
        <v>244</v>
      </c>
      <c r="O42" s="9">
        <v>40086</v>
      </c>
      <c r="P42" s="10">
        <v>0</v>
      </c>
    </row>
    <row r="43" spans="1:16">
      <c r="A43" t="s">
        <v>250</v>
      </c>
      <c r="B43" s="29">
        <v>40633</v>
      </c>
      <c r="C43" s="10">
        <v>114579</v>
      </c>
      <c r="D43" s="10">
        <v>65477</v>
      </c>
      <c r="E43" s="10">
        <v>11135</v>
      </c>
      <c r="F43" s="10">
        <v>72917</v>
      </c>
      <c r="G43" s="28">
        <f t="shared" si="0"/>
        <v>264.108</v>
      </c>
      <c r="H43">
        <f t="shared" si="2"/>
        <v>5.0331673639501862E-2</v>
      </c>
      <c r="I43" s="17">
        <f t="shared" si="3"/>
        <v>2.7107959090362455E-2</v>
      </c>
      <c r="J43" s="10">
        <f t="shared" si="1"/>
        <v>0</v>
      </c>
      <c r="N43" t="s">
        <v>245</v>
      </c>
      <c r="O43" s="9">
        <v>40178</v>
      </c>
      <c r="P43" s="10">
        <v>0</v>
      </c>
    </row>
    <row r="44" spans="1:16">
      <c r="A44" t="s">
        <v>251</v>
      </c>
      <c r="B44" s="29">
        <v>40724</v>
      </c>
      <c r="C44" s="10">
        <v>89381</v>
      </c>
      <c r="D44" s="10">
        <v>91371</v>
      </c>
      <c r="E44" s="10">
        <v>18848</v>
      </c>
      <c r="F44" s="10">
        <v>81714</v>
      </c>
      <c r="G44" s="28">
        <f t="shared" si="0"/>
        <v>281.31400000000002</v>
      </c>
      <c r="H44">
        <f t="shared" si="2"/>
        <v>8.2934903953497452E-2</v>
      </c>
      <c r="I44" s="17">
        <f t="shared" si="3"/>
        <v>4.2550513394760514E-2</v>
      </c>
      <c r="J44" s="10">
        <f t="shared" si="1"/>
        <v>0</v>
      </c>
      <c r="N44" t="s">
        <v>246</v>
      </c>
      <c r="O44" s="9">
        <v>40268</v>
      </c>
      <c r="P44" s="10">
        <v>0</v>
      </c>
    </row>
    <row r="45" spans="1:16">
      <c r="A45" t="s">
        <v>252</v>
      </c>
      <c r="B45" s="29">
        <v>40816</v>
      </c>
      <c r="C45" s="10">
        <v>85726</v>
      </c>
      <c r="D45" s="10">
        <v>67443</v>
      </c>
      <c r="E45" s="10">
        <v>9817</v>
      </c>
      <c r="F45" s="10">
        <v>73286</v>
      </c>
      <c r="G45" s="28">
        <f t="shared" si="0"/>
        <v>236.27199999999999</v>
      </c>
      <c r="H45">
        <f t="shared" si="2"/>
        <v>3.145818235792297E-2</v>
      </c>
      <c r="I45" s="17">
        <f t="shared" si="3"/>
        <v>4.1665284901465149E-2</v>
      </c>
      <c r="J45" s="10">
        <f t="shared" si="1"/>
        <v>0</v>
      </c>
      <c r="N45" t="s">
        <v>247</v>
      </c>
      <c r="O45" s="9">
        <v>40359</v>
      </c>
      <c r="P45" s="10">
        <v>0</v>
      </c>
    </row>
    <row r="46" spans="1:16">
      <c r="A46" t="s">
        <v>253</v>
      </c>
      <c r="B46" s="29">
        <v>40908</v>
      </c>
      <c r="C46" s="10">
        <v>177291</v>
      </c>
      <c r="D46" s="10">
        <v>70905</v>
      </c>
      <c r="E46" s="10">
        <v>9991</v>
      </c>
      <c r="F46" s="10">
        <v>77306</v>
      </c>
      <c r="G46" s="28">
        <f t="shared" si="0"/>
        <v>335.49299999999999</v>
      </c>
      <c r="H46">
        <f t="shared" si="2"/>
        <v>4.2421700223713721E-2</v>
      </c>
      <c r="I46" s="17">
        <f t="shared" si="3"/>
        <v>5.1786615043659001E-2</v>
      </c>
      <c r="J46" s="10">
        <f t="shared" si="1"/>
        <v>0</v>
      </c>
      <c r="N46" t="s">
        <v>248</v>
      </c>
      <c r="O46" s="9">
        <v>40451</v>
      </c>
      <c r="P46" s="10">
        <v>0</v>
      </c>
    </row>
    <row r="47" spans="1:16">
      <c r="A47" t="s">
        <v>254</v>
      </c>
      <c r="B47" s="29">
        <v>40999</v>
      </c>
      <c r="C47" s="10">
        <v>113256</v>
      </c>
      <c r="D47" s="10">
        <v>68954</v>
      </c>
      <c r="E47" s="10">
        <v>11629</v>
      </c>
      <c r="F47" s="10">
        <v>76432</v>
      </c>
      <c r="G47" s="28">
        <f t="shared" si="0"/>
        <v>270.27100000000002</v>
      </c>
      <c r="H47">
        <f t="shared" si="2"/>
        <v>2.3335150771654156E-2</v>
      </c>
      <c r="I47" s="17">
        <f t="shared" si="3"/>
        <v>4.5037484326697075E-2</v>
      </c>
      <c r="J47" s="10">
        <f t="shared" si="1"/>
        <v>0</v>
      </c>
      <c r="N47" t="s">
        <v>249</v>
      </c>
      <c r="O47" s="9">
        <v>40543</v>
      </c>
      <c r="P47" s="10">
        <v>0</v>
      </c>
    </row>
    <row r="48" spans="1:16">
      <c r="A48" t="s">
        <v>255</v>
      </c>
      <c r="B48" s="29">
        <v>41090</v>
      </c>
      <c r="C48" s="10">
        <v>90026</v>
      </c>
      <c r="D48" s="10">
        <v>98081</v>
      </c>
      <c r="E48" s="10">
        <v>17912</v>
      </c>
      <c r="F48" s="10">
        <v>84395</v>
      </c>
      <c r="G48" s="28">
        <f t="shared" si="0"/>
        <v>290.41399999999999</v>
      </c>
      <c r="H48">
        <f t="shared" si="2"/>
        <v>3.2348194544174813E-2</v>
      </c>
      <c r="I48" s="17">
        <f t="shared" si="3"/>
        <v>3.2390806974366415E-2</v>
      </c>
      <c r="J48" s="10">
        <f t="shared" si="1"/>
        <v>0</v>
      </c>
      <c r="N48" t="s">
        <v>250</v>
      </c>
      <c r="O48" s="9">
        <v>40633</v>
      </c>
      <c r="P48" s="10">
        <v>0</v>
      </c>
    </row>
    <row r="49" spans="1:16">
      <c r="A49" t="s">
        <v>256</v>
      </c>
      <c r="B49" s="29">
        <v>41182</v>
      </c>
      <c r="C49" s="10">
        <v>92612</v>
      </c>
      <c r="D49" s="10">
        <v>69877</v>
      </c>
      <c r="E49" s="10">
        <v>10387</v>
      </c>
      <c r="F49" s="10">
        <v>74880</v>
      </c>
      <c r="G49" s="28">
        <f t="shared" si="0"/>
        <v>247.756</v>
      </c>
      <c r="H49">
        <f t="shared" si="2"/>
        <v>4.8604997629850377E-2</v>
      </c>
      <c r="I49" s="17">
        <f t="shared" si="3"/>
        <v>3.6677510792348267E-2</v>
      </c>
      <c r="J49" s="10">
        <f t="shared" si="1"/>
        <v>0</v>
      </c>
      <c r="N49" t="s">
        <v>251</v>
      </c>
      <c r="O49" s="9">
        <v>40724</v>
      </c>
      <c r="P49" s="10">
        <v>0</v>
      </c>
    </row>
    <row r="50" spans="1:16">
      <c r="A50" t="s">
        <v>257</v>
      </c>
      <c r="B50" s="29">
        <v>41274</v>
      </c>
      <c r="C50" s="10">
        <v>177342</v>
      </c>
      <c r="D50" s="10">
        <v>76597</v>
      </c>
      <c r="E50" s="10">
        <v>10438</v>
      </c>
      <c r="F50" s="10">
        <v>80375</v>
      </c>
      <c r="G50" s="28">
        <f t="shared" si="0"/>
        <v>344.75200000000001</v>
      </c>
      <c r="H50">
        <f t="shared" si="2"/>
        <v>2.7598191318447762E-2</v>
      </c>
      <c r="I50" s="17">
        <f t="shared" si="3"/>
        <v>3.2971633566031777E-2</v>
      </c>
      <c r="J50" s="10">
        <f t="shared" si="1"/>
        <v>0</v>
      </c>
      <c r="N50" t="s">
        <v>252</v>
      </c>
      <c r="O50" s="9">
        <v>40816</v>
      </c>
      <c r="P50" s="10">
        <v>0</v>
      </c>
    </row>
    <row r="51" spans="1:16">
      <c r="A51" t="s">
        <v>258</v>
      </c>
      <c r="B51" s="29">
        <v>41364</v>
      </c>
      <c r="C51" s="10">
        <v>115676</v>
      </c>
      <c r="D51" s="10">
        <v>81219</v>
      </c>
      <c r="E51" s="10">
        <v>12456</v>
      </c>
      <c r="F51" s="10">
        <v>79115</v>
      </c>
      <c r="G51" s="28">
        <f t="shared" si="0"/>
        <v>288.46600000000001</v>
      </c>
      <c r="H51">
        <f t="shared" si="2"/>
        <v>6.7321318232440808E-2</v>
      </c>
      <c r="I51" s="17">
        <f t="shared" si="3"/>
        <v>4.396817543122844E-2</v>
      </c>
      <c r="J51" s="10">
        <f t="shared" si="1"/>
        <v>0</v>
      </c>
      <c r="N51" t="s">
        <v>253</v>
      </c>
      <c r="O51" s="9">
        <v>40908</v>
      </c>
      <c r="P51" s="10">
        <v>0</v>
      </c>
    </row>
    <row r="52" spans="1:16">
      <c r="A52" t="s">
        <v>259</v>
      </c>
      <c r="B52" s="29">
        <v>41455</v>
      </c>
      <c r="C52" s="10">
        <v>91371</v>
      </c>
      <c r="D52" s="10">
        <v>113642</v>
      </c>
      <c r="E52" s="10">
        <v>20237</v>
      </c>
      <c r="F52" s="10">
        <v>89925</v>
      </c>
      <c r="G52" s="28">
        <f t="shared" si="0"/>
        <v>315.17500000000001</v>
      </c>
      <c r="H52">
        <f t="shared" si="2"/>
        <v>8.52610411343806E-2</v>
      </c>
      <c r="I52" s="17">
        <f t="shared" si="3"/>
        <v>5.7196387078779887E-2</v>
      </c>
      <c r="J52" s="10">
        <f t="shared" si="1"/>
        <v>0</v>
      </c>
      <c r="N52" t="s">
        <v>254</v>
      </c>
      <c r="O52" s="9">
        <v>40999</v>
      </c>
      <c r="P52" s="10">
        <v>0</v>
      </c>
    </row>
    <row r="53" spans="1:16">
      <c r="A53" t="s">
        <v>260</v>
      </c>
      <c r="B53" s="29">
        <v>41547</v>
      </c>
      <c r="C53" s="10">
        <v>97874</v>
      </c>
      <c r="D53" s="10">
        <v>74395</v>
      </c>
      <c r="E53" s="10">
        <v>10878</v>
      </c>
      <c r="F53" s="10">
        <v>82452</v>
      </c>
      <c r="G53" s="28">
        <f t="shared" si="0"/>
        <v>265.59899999999999</v>
      </c>
      <c r="H53">
        <f t="shared" si="2"/>
        <v>7.2018437494954624E-2</v>
      </c>
      <c r="I53" s="17">
        <f t="shared" si="3"/>
        <v>6.3049747045055948E-2</v>
      </c>
      <c r="J53" s="10">
        <f t="shared" si="1"/>
        <v>0</v>
      </c>
      <c r="N53" t="s">
        <v>255</v>
      </c>
      <c r="O53" s="9">
        <v>41090</v>
      </c>
      <c r="P53" s="10">
        <v>0</v>
      </c>
    </row>
    <row r="54" spans="1:16">
      <c r="A54" t="s">
        <v>261</v>
      </c>
      <c r="B54" s="29">
        <v>41639</v>
      </c>
      <c r="C54" s="10">
        <v>180398</v>
      </c>
      <c r="D54" s="10">
        <v>77709</v>
      </c>
      <c r="E54" s="10">
        <v>10421</v>
      </c>
      <c r="F54" s="10">
        <v>85301</v>
      </c>
      <c r="G54" s="28">
        <f t="shared" si="0"/>
        <v>353.82900000000001</v>
      </c>
      <c r="H54">
        <f t="shared" si="2"/>
        <v>2.6329071332436005E-2</v>
      </c>
      <c r="I54" s="17">
        <f t="shared" si="3"/>
        <v>6.2732467048553009E-2</v>
      </c>
      <c r="J54" s="10">
        <f t="shared" si="1"/>
        <v>0</v>
      </c>
      <c r="N54" t="s">
        <v>256</v>
      </c>
      <c r="O54" s="9">
        <v>41182</v>
      </c>
      <c r="P54" s="10">
        <v>0</v>
      </c>
    </row>
    <row r="55" spans="1:16">
      <c r="A55" t="s">
        <v>262</v>
      </c>
      <c r="B55" s="29">
        <v>41729</v>
      </c>
      <c r="C55" s="10">
        <v>116930</v>
      </c>
      <c r="D55" s="10">
        <v>81251</v>
      </c>
      <c r="E55" s="10">
        <v>13807</v>
      </c>
      <c r="F55" s="10">
        <v>82820</v>
      </c>
      <c r="G55" s="28">
        <f t="shared" si="0"/>
        <v>294.80799999999999</v>
      </c>
      <c r="H55">
        <f t="shared" si="2"/>
        <v>2.198525996131262E-2</v>
      </c>
      <c r="I55" s="17">
        <f t="shared" si="3"/>
        <v>5.1398452480770962E-2</v>
      </c>
      <c r="J55" s="10">
        <f t="shared" si="1"/>
        <v>0</v>
      </c>
      <c r="N55" t="s">
        <v>257</v>
      </c>
      <c r="O55" s="9">
        <v>41274</v>
      </c>
      <c r="P55" s="10">
        <v>0</v>
      </c>
    </row>
    <row r="56" spans="1:16">
      <c r="A56" t="s">
        <v>263</v>
      </c>
      <c r="B56" s="9">
        <v>41820</v>
      </c>
      <c r="C56" s="10">
        <v>94172</v>
      </c>
      <c r="D56" s="10">
        <v>106922</v>
      </c>
      <c r="E56" s="10">
        <v>19912</v>
      </c>
      <c r="F56" s="10">
        <v>96079</v>
      </c>
      <c r="G56" s="28">
        <f t="shared" si="0"/>
        <v>317.08499999999998</v>
      </c>
      <c r="H56">
        <f t="shared" si="2"/>
        <v>6.0601253271990174E-3</v>
      </c>
      <c r="I56" s="17">
        <f t="shared" si="3"/>
        <v>3.1598223528975566E-2</v>
      </c>
      <c r="J56" s="10">
        <f t="shared" si="1"/>
        <v>0</v>
      </c>
      <c r="N56" t="s">
        <v>258</v>
      </c>
      <c r="O56" s="9">
        <v>41364</v>
      </c>
      <c r="P56" s="10">
        <v>0</v>
      </c>
    </row>
    <row r="57" spans="1:16">
      <c r="A57" t="s">
        <v>342</v>
      </c>
      <c r="B57" s="9">
        <v>41912</v>
      </c>
      <c r="C57" s="10">
        <v>99400</v>
      </c>
      <c r="D57" s="10">
        <v>77506</v>
      </c>
      <c r="E57" s="10">
        <v>11454</v>
      </c>
      <c r="F57" s="10">
        <v>84097</v>
      </c>
      <c r="G57" s="28">
        <f t="shared" si="0"/>
        <v>272.45699999999999</v>
      </c>
      <c r="H57">
        <f t="shared" si="2"/>
        <v>2.5820880349700204E-2</v>
      </c>
      <c r="I57" s="17">
        <f t="shared" si="3"/>
        <v>2.0048834242661961E-2</v>
      </c>
      <c r="J57" s="10">
        <f t="shared" si="1"/>
        <v>0</v>
      </c>
      <c r="N57" t="s">
        <v>259</v>
      </c>
      <c r="O57" s="9">
        <v>41455</v>
      </c>
      <c r="P57" s="10">
        <v>0</v>
      </c>
    </row>
    <row r="58" spans="1:16">
      <c r="A58" t="s">
        <v>343</v>
      </c>
      <c r="B58" s="9">
        <v>42004</v>
      </c>
      <c r="C58" s="10">
        <v>189890</v>
      </c>
      <c r="D58" s="10">
        <v>84148</v>
      </c>
      <c r="E58" s="10">
        <v>11635</v>
      </c>
      <c r="F58" s="10">
        <v>89108</v>
      </c>
      <c r="G58" s="28">
        <f t="shared" ref="G58:G121" si="4">SUM(C58:F58)/1000</f>
        <v>374.78100000000001</v>
      </c>
      <c r="H58">
        <f>IFERROR(G58/G54-1, "")</f>
        <v>5.9215044555420926E-2</v>
      </c>
      <c r="I58" s="17">
        <f>IFERROR(IF(H55&lt;&gt;-1, IF(H56&lt;&gt;-1, IF(H57&lt;&gt;-1, IF(H58&lt;&gt;-1, AVERAGE(H55:H58), ""), ""), ""), ""), "")</f>
        <v>2.8270327548408192E-2</v>
      </c>
      <c r="J58" s="10">
        <f t="shared" si="1"/>
        <v>0</v>
      </c>
      <c r="N58" t="s">
        <v>260</v>
      </c>
      <c r="O58" s="9">
        <v>41547</v>
      </c>
      <c r="P58" s="10">
        <v>0</v>
      </c>
    </row>
    <row r="59" spans="1:16">
      <c r="A59" t="s">
        <v>348</v>
      </c>
      <c r="B59" s="9">
        <v>42094</v>
      </c>
      <c r="C59" s="10">
        <v>118952</v>
      </c>
      <c r="D59" s="10">
        <v>87201</v>
      </c>
      <c r="E59" s="10">
        <v>13903</v>
      </c>
      <c r="F59" s="10">
        <v>87811</v>
      </c>
      <c r="G59" s="28">
        <f t="shared" si="4"/>
        <v>307.86700000000002</v>
      </c>
      <c r="H59">
        <f t="shared" ref="H59:H122" si="5">IFERROR(G59/G55-1, "")</f>
        <v>4.4296626957206042E-2</v>
      </c>
      <c r="I59" s="17">
        <f t="shared" ref="I59:I122" si="6">IFERROR(IF(H56&lt;&gt;-1, IF(H57&lt;&gt;-1, IF(H58&lt;&gt;-1, IF(H59&lt;&gt;-1, AVERAGE(H56:H59), ""), ""), ""), ""), "")</f>
        <v>3.3848169297381547E-2</v>
      </c>
      <c r="J59" s="10">
        <f t="shared" si="1"/>
        <v>0</v>
      </c>
      <c r="K59" t="str">
        <f>IF(I81&lt;&gt;"", IF(I82&lt;&gt;"", (AVERAGE(I80:I82)), ""), "")</f>
        <v/>
      </c>
      <c r="N59" t="s">
        <v>261</v>
      </c>
      <c r="O59" s="9">
        <v>41639</v>
      </c>
      <c r="P59" s="10">
        <v>0</v>
      </c>
    </row>
    <row r="60" spans="1:16">
      <c r="A60" t="s">
        <v>358</v>
      </c>
      <c r="B60" s="9">
        <v>42185</v>
      </c>
      <c r="C60" s="10">
        <v>95393</v>
      </c>
      <c r="D60" s="10">
        <v>122851</v>
      </c>
      <c r="E60" s="10">
        <v>21667</v>
      </c>
      <c r="F60" s="10">
        <v>100946</v>
      </c>
      <c r="G60" s="28">
        <f t="shared" si="4"/>
        <v>340.85700000000003</v>
      </c>
      <c r="H60">
        <f t="shared" si="5"/>
        <v>7.497043379535473E-2</v>
      </c>
      <c r="I60" s="17">
        <f t="shared" si="6"/>
        <v>5.1075746414420475E-2</v>
      </c>
      <c r="J60" s="10">
        <f t="shared" si="1"/>
        <v>0</v>
      </c>
      <c r="N60" t="s">
        <v>262</v>
      </c>
      <c r="O60" s="9">
        <v>41729</v>
      </c>
      <c r="P60" s="10">
        <v>0</v>
      </c>
    </row>
    <row r="61" spans="1:16">
      <c r="A61" t="s">
        <v>363</v>
      </c>
      <c r="B61" s="9">
        <v>42277</v>
      </c>
      <c r="C61" s="10">
        <v>102404</v>
      </c>
      <c r="D61" s="10">
        <v>84384</v>
      </c>
      <c r="E61" s="10">
        <v>11485</v>
      </c>
      <c r="F61" s="10">
        <v>89939</v>
      </c>
      <c r="G61" s="28">
        <f t="shared" si="4"/>
        <v>288.21199999999999</v>
      </c>
      <c r="H61">
        <f t="shared" si="5"/>
        <v>5.7825638541127544E-2</v>
      </c>
      <c r="I61" s="17">
        <f t="shared" si="6"/>
        <v>5.907693596227731E-2</v>
      </c>
      <c r="J61" s="10">
        <f t="shared" si="1"/>
        <v>0</v>
      </c>
      <c r="N61" t="s">
        <v>263</v>
      </c>
      <c r="O61" s="9">
        <v>41820</v>
      </c>
      <c r="P61" s="10">
        <v>0</v>
      </c>
    </row>
    <row r="62" spans="1:16">
      <c r="A62" t="s">
        <v>367</v>
      </c>
      <c r="B62" s="9">
        <v>42369</v>
      </c>
      <c r="C62" s="10">
        <v>200548</v>
      </c>
      <c r="D62" s="10">
        <v>89277</v>
      </c>
      <c r="E62" s="10">
        <v>10859</v>
      </c>
      <c r="F62" s="10">
        <v>91556</v>
      </c>
      <c r="G62" s="28">
        <f t="shared" si="4"/>
        <v>392.24</v>
      </c>
      <c r="H62">
        <f t="shared" si="5"/>
        <v>4.6584538703936529E-2</v>
      </c>
      <c r="I62" s="17">
        <f t="shared" si="6"/>
        <v>5.5919309499406211E-2</v>
      </c>
      <c r="J62" s="10">
        <f t="shared" si="1"/>
        <v>0</v>
      </c>
      <c r="N62" t="s">
        <v>342</v>
      </c>
      <c r="O62" s="9">
        <v>41912</v>
      </c>
      <c r="P62" s="10">
        <v>0</v>
      </c>
    </row>
    <row r="63" spans="1:16">
      <c r="A63" t="s">
        <v>414</v>
      </c>
      <c r="B63" s="9">
        <v>42460</v>
      </c>
      <c r="C63" s="10">
        <v>126043</v>
      </c>
      <c r="D63" s="10">
        <v>88765</v>
      </c>
      <c r="E63" s="10">
        <v>13146</v>
      </c>
      <c r="F63" s="10">
        <v>89667</v>
      </c>
      <c r="G63" s="28">
        <f t="shared" si="4"/>
        <v>317.62099999999998</v>
      </c>
      <c r="H63">
        <f t="shared" si="5"/>
        <v>3.1682512253667916E-2</v>
      </c>
      <c r="I63" s="17">
        <f t="shared" si="6"/>
        <v>5.276578082352168E-2</v>
      </c>
      <c r="J63" s="10">
        <f t="shared" si="1"/>
        <v>0</v>
      </c>
      <c r="N63" t="s">
        <v>343</v>
      </c>
      <c r="O63" s="9">
        <v>42004</v>
      </c>
      <c r="P63" s="10">
        <v>0</v>
      </c>
    </row>
    <row r="64" spans="1:16">
      <c r="A64" t="s">
        <v>427</v>
      </c>
      <c r="B64" s="9">
        <v>42551</v>
      </c>
      <c r="C64" s="10">
        <v>100800</v>
      </c>
      <c r="D64" s="10">
        <v>119420</v>
      </c>
      <c r="E64" s="10">
        <v>18575</v>
      </c>
      <c r="F64" s="10">
        <v>102149</v>
      </c>
      <c r="G64" s="28">
        <f t="shared" si="4"/>
        <v>340.94400000000002</v>
      </c>
      <c r="H64">
        <f t="shared" si="5"/>
        <v>2.5523900051926951E-4</v>
      </c>
      <c r="I64" s="17">
        <f t="shared" si="6"/>
        <v>3.4086982124812815E-2</v>
      </c>
      <c r="J64" s="10">
        <f t="shared" si="1"/>
        <v>0</v>
      </c>
      <c r="N64" t="s">
        <v>348</v>
      </c>
      <c r="O64" s="9">
        <v>42094</v>
      </c>
      <c r="P64" s="10">
        <v>0</v>
      </c>
    </row>
    <row r="65" spans="1:16">
      <c r="A65" t="s">
        <v>432</v>
      </c>
      <c r="B65" s="9">
        <v>42643</v>
      </c>
      <c r="C65" s="10">
        <v>105192</v>
      </c>
      <c r="D65" s="10">
        <v>86497</v>
      </c>
      <c r="E65" s="10">
        <v>10623</v>
      </c>
      <c r="F65" s="10">
        <v>92859</v>
      </c>
      <c r="G65" s="28">
        <f t="shared" si="4"/>
        <v>295.17099999999999</v>
      </c>
      <c r="H65">
        <f t="shared" si="5"/>
        <v>2.4145420731961131E-2</v>
      </c>
      <c r="I65" s="17">
        <f t="shared" si="6"/>
        <v>2.5666927672521211E-2</v>
      </c>
      <c r="J65" s="10">
        <f t="shared" si="1"/>
        <v>0</v>
      </c>
      <c r="N65" t="s">
        <v>358</v>
      </c>
      <c r="O65" s="9">
        <v>42185</v>
      </c>
      <c r="P65" s="10">
        <v>0</v>
      </c>
    </row>
    <row r="66" spans="1:16">
      <c r="A66" t="s">
        <v>437</v>
      </c>
      <c r="B66" s="9">
        <v>42735</v>
      </c>
      <c r="C66" s="10">
        <v>207330</v>
      </c>
      <c r="D66" s="10">
        <v>89587</v>
      </c>
      <c r="E66" s="10">
        <v>10663</v>
      </c>
      <c r="F66" s="10">
        <v>93044</v>
      </c>
      <c r="G66" s="28">
        <f t="shared" si="4"/>
        <v>400.62400000000002</v>
      </c>
      <c r="H66">
        <f t="shared" si="5"/>
        <v>2.1374668570263156E-2</v>
      </c>
      <c r="I66" s="17">
        <f t="shared" si="6"/>
        <v>1.9364460139102868E-2</v>
      </c>
      <c r="J66" s="10">
        <f t="shared" si="1"/>
        <v>0</v>
      </c>
      <c r="N66" t="s">
        <v>363</v>
      </c>
      <c r="O66" s="9">
        <v>42277</v>
      </c>
      <c r="P66" s="10">
        <v>0</v>
      </c>
    </row>
    <row r="67" spans="1:16">
      <c r="A67" t="s">
        <v>448</v>
      </c>
      <c r="B67" s="9">
        <v>42825</v>
      </c>
      <c r="C67" s="10">
        <v>133109</v>
      </c>
      <c r="D67" s="10">
        <v>95741</v>
      </c>
      <c r="E67" s="10">
        <v>9919</v>
      </c>
      <c r="F67" s="10">
        <v>91918</v>
      </c>
      <c r="G67" s="28">
        <f t="shared" si="4"/>
        <v>330.68700000000001</v>
      </c>
      <c r="H67">
        <f t="shared" si="5"/>
        <v>4.1137078467733623E-2</v>
      </c>
      <c r="I67" s="17">
        <f t="shared" si="6"/>
        <v>2.1728101692619295E-2</v>
      </c>
      <c r="J67" s="10">
        <f t="shared" si="1"/>
        <v>0</v>
      </c>
      <c r="N67" t="s">
        <v>367</v>
      </c>
      <c r="O67" s="9">
        <v>42369</v>
      </c>
      <c r="P67" s="10">
        <v>0</v>
      </c>
    </row>
    <row r="68" spans="1:16">
      <c r="A68" t="s">
        <v>457</v>
      </c>
      <c r="B68" s="9">
        <v>42916</v>
      </c>
      <c r="C68" s="10">
        <v>102076</v>
      </c>
      <c r="D68" s="10">
        <v>119021</v>
      </c>
      <c r="E68" s="10">
        <v>21330</v>
      </c>
      <c r="F68" s="10">
        <v>104678</v>
      </c>
      <c r="G68" s="28">
        <f t="shared" si="4"/>
        <v>347.10500000000002</v>
      </c>
      <c r="H68">
        <f t="shared" si="5"/>
        <v>1.807041625604211E-2</v>
      </c>
      <c r="I68" s="17">
        <f t="shared" si="6"/>
        <v>2.6181896006500005E-2</v>
      </c>
      <c r="J68" s="10">
        <f t="shared" si="1"/>
        <v>0</v>
      </c>
      <c r="N68" t="s">
        <v>414</v>
      </c>
      <c r="O68" s="9">
        <v>42460</v>
      </c>
      <c r="P68" s="10">
        <v>0</v>
      </c>
    </row>
    <row r="69" spans="1:16">
      <c r="A69" t="s">
        <v>462</v>
      </c>
      <c r="B69" s="9">
        <v>43008</v>
      </c>
      <c r="C69" s="10">
        <v>109658</v>
      </c>
      <c r="D69" s="10">
        <v>89317</v>
      </c>
      <c r="E69" s="10">
        <v>11309</v>
      </c>
      <c r="F69" s="10">
        <v>96439</v>
      </c>
      <c r="G69" s="28">
        <f t="shared" si="4"/>
        <v>306.72300000000001</v>
      </c>
      <c r="H69">
        <f t="shared" si="5"/>
        <v>3.9136636051644746E-2</v>
      </c>
      <c r="I69" s="17">
        <f t="shared" si="6"/>
        <v>2.9929699836420909E-2</v>
      </c>
      <c r="J69" s="10">
        <f t="shared" si="1"/>
        <v>0</v>
      </c>
      <c r="N69" t="s">
        <v>427</v>
      </c>
      <c r="O69" s="9">
        <v>42551</v>
      </c>
      <c r="P69" s="10">
        <v>0</v>
      </c>
    </row>
    <row r="70" spans="1:16">
      <c r="A70" t="s">
        <v>465</v>
      </c>
      <c r="B70" s="9">
        <v>43100</v>
      </c>
      <c r="C70" s="10">
        <v>226011</v>
      </c>
      <c r="D70" s="10">
        <v>102483</v>
      </c>
      <c r="E70" s="10">
        <v>11532</v>
      </c>
      <c r="F70" s="10">
        <v>98166</v>
      </c>
      <c r="G70" s="28">
        <f t="shared" si="4"/>
        <v>438.19200000000001</v>
      </c>
      <c r="H70">
        <f t="shared" si="5"/>
        <v>9.3773713007707871E-2</v>
      </c>
      <c r="I70" s="17">
        <f t="shared" si="6"/>
        <v>4.8029460945782088E-2</v>
      </c>
      <c r="J70" s="10">
        <f t="shared" si="1"/>
        <v>0</v>
      </c>
      <c r="N70" t="s">
        <v>432</v>
      </c>
      <c r="O70" s="9">
        <v>42643</v>
      </c>
      <c r="P70" s="10">
        <v>0</v>
      </c>
    </row>
    <row r="71" spans="1:16">
      <c r="A71" t="s">
        <v>472</v>
      </c>
      <c r="B71" s="9">
        <v>43190</v>
      </c>
      <c r="C71" s="10">
        <v>135743</v>
      </c>
      <c r="D71" s="10">
        <v>108997</v>
      </c>
      <c r="E71" s="10">
        <v>9847</v>
      </c>
      <c r="F71" s="10">
        <v>97166</v>
      </c>
      <c r="G71" s="28">
        <f t="shared" si="4"/>
        <v>351.75299999999999</v>
      </c>
      <c r="H71">
        <f t="shared" si="5"/>
        <v>6.3703744023804854E-2</v>
      </c>
      <c r="I71" s="17">
        <f t="shared" si="6"/>
        <v>5.3671127334799895E-2</v>
      </c>
      <c r="J71" s="10">
        <f t="shared" si="1"/>
        <v>0</v>
      </c>
      <c r="N71" t="s">
        <v>437</v>
      </c>
      <c r="O71" s="9">
        <v>42735</v>
      </c>
      <c r="P71" s="10">
        <v>0</v>
      </c>
    </row>
    <row r="72" spans="1:16">
      <c r="A72" t="s">
        <v>486</v>
      </c>
      <c r="B72" s="9">
        <v>43281</v>
      </c>
      <c r="C72" s="10">
        <v>103918</v>
      </c>
      <c r="D72" s="10">
        <v>129434</v>
      </c>
      <c r="E72" s="10">
        <v>24405</v>
      </c>
      <c r="F72" s="10">
        <v>111758</v>
      </c>
      <c r="G72" s="28">
        <f t="shared" si="4"/>
        <v>369.51499999999999</v>
      </c>
      <c r="H72">
        <f t="shared" si="5"/>
        <v>6.4562596332521816E-2</v>
      </c>
      <c r="I72" s="17">
        <f t="shared" si="6"/>
        <v>6.5294172353919822E-2</v>
      </c>
      <c r="J72" s="10">
        <f t="shared" si="1"/>
        <v>0</v>
      </c>
      <c r="N72" t="s">
        <v>448</v>
      </c>
      <c r="O72" s="9">
        <v>42825</v>
      </c>
      <c r="P72" s="10">
        <v>0</v>
      </c>
    </row>
    <row r="73" spans="1:16">
      <c r="A73" t="s">
        <v>497</v>
      </c>
      <c r="B73" s="9">
        <v>43373</v>
      </c>
      <c r="C73" s="10">
        <v>112490</v>
      </c>
      <c r="D73" s="10">
        <v>95392</v>
      </c>
      <c r="E73" s="10">
        <v>13610</v>
      </c>
      <c r="F73" s="10">
        <v>99452</v>
      </c>
      <c r="G73" s="28">
        <f t="shared" si="4"/>
        <v>320.94400000000002</v>
      </c>
      <c r="H73">
        <f t="shared" si="5"/>
        <v>4.6364309164946826E-2</v>
      </c>
      <c r="I73" s="17">
        <f t="shared" si="6"/>
        <v>6.7101090632245342E-2</v>
      </c>
      <c r="J73" s="10">
        <f t="shared" ref="J73:J84" si="7">VLOOKUP($B73, $O$13:$P$500, 2, FALSE)</f>
        <v>0</v>
      </c>
      <c r="N73" t="s">
        <v>457</v>
      </c>
      <c r="O73" s="9">
        <v>42916</v>
      </c>
      <c r="P73" s="10">
        <v>0</v>
      </c>
    </row>
    <row r="74" spans="1:16">
      <c r="G74" s="28">
        <f t="shared" si="4"/>
        <v>0</v>
      </c>
      <c r="H74">
        <f t="shared" si="5"/>
        <v>-1</v>
      </c>
      <c r="I74" s="17" t="str">
        <f t="shared" si="6"/>
        <v/>
      </c>
      <c r="J74" s="10" t="e">
        <f t="shared" si="7"/>
        <v>#N/A</v>
      </c>
      <c r="N74" t="s">
        <v>462</v>
      </c>
      <c r="O74" s="9">
        <v>43008</v>
      </c>
      <c r="P74" s="10">
        <v>0</v>
      </c>
    </row>
    <row r="75" spans="1:16">
      <c r="G75" s="28">
        <f t="shared" si="4"/>
        <v>0</v>
      </c>
      <c r="H75">
        <f t="shared" si="5"/>
        <v>-1</v>
      </c>
      <c r="I75" s="17" t="str">
        <f t="shared" si="6"/>
        <v/>
      </c>
      <c r="J75" s="10" t="e">
        <f t="shared" si="7"/>
        <v>#N/A</v>
      </c>
      <c r="N75" t="s">
        <v>465</v>
      </c>
      <c r="O75" s="9">
        <v>43100</v>
      </c>
      <c r="P75" s="10">
        <v>0</v>
      </c>
    </row>
    <row r="76" spans="1:16">
      <c r="G76" s="28">
        <f t="shared" si="4"/>
        <v>0</v>
      </c>
      <c r="H76">
        <f t="shared" si="5"/>
        <v>-1</v>
      </c>
      <c r="I76" s="17" t="str">
        <f t="shared" si="6"/>
        <v/>
      </c>
      <c r="J76" s="10" t="e">
        <f t="shared" si="7"/>
        <v>#N/A</v>
      </c>
      <c r="N76" t="s">
        <v>472</v>
      </c>
      <c r="O76" s="9">
        <v>43190</v>
      </c>
      <c r="P76" s="10">
        <v>0</v>
      </c>
    </row>
    <row r="77" spans="1:16">
      <c r="G77" s="28">
        <f t="shared" si="4"/>
        <v>0</v>
      </c>
      <c r="H77">
        <f t="shared" si="5"/>
        <v>-1</v>
      </c>
      <c r="I77" s="17" t="str">
        <f t="shared" si="6"/>
        <v/>
      </c>
      <c r="J77" s="10" t="e">
        <f t="shared" si="7"/>
        <v>#N/A</v>
      </c>
      <c r="N77" t="s">
        <v>486</v>
      </c>
      <c r="O77" s="9">
        <v>43281</v>
      </c>
      <c r="P77" s="10">
        <v>0</v>
      </c>
    </row>
    <row r="78" spans="1:16">
      <c r="G78" s="28">
        <f t="shared" si="4"/>
        <v>0</v>
      </c>
      <c r="H78" t="str">
        <f t="shared" si="5"/>
        <v/>
      </c>
      <c r="I78" s="17" t="str">
        <f t="shared" si="6"/>
        <v/>
      </c>
      <c r="J78" s="10" t="e">
        <f t="shared" si="7"/>
        <v>#N/A</v>
      </c>
      <c r="N78" t="s">
        <v>497</v>
      </c>
      <c r="O78" s="9">
        <v>43373</v>
      </c>
      <c r="P78" s="10">
        <v>0</v>
      </c>
    </row>
    <row r="79" spans="1:16">
      <c r="G79" s="28">
        <f t="shared" si="4"/>
        <v>0</v>
      </c>
      <c r="H79" t="str">
        <f t="shared" si="5"/>
        <v/>
      </c>
      <c r="I79" s="17" t="str">
        <f t="shared" si="6"/>
        <v/>
      </c>
      <c r="J79" s="10" t="e">
        <f t="shared" si="7"/>
        <v>#N/A</v>
      </c>
      <c r="N79" t="s">
        <v>522</v>
      </c>
      <c r="O79" s="9">
        <v>43465</v>
      </c>
      <c r="P79" s="10">
        <v>0</v>
      </c>
    </row>
    <row r="80" spans="1:16">
      <c r="G80" s="28">
        <f t="shared" si="4"/>
        <v>0</v>
      </c>
      <c r="H80" t="str">
        <f t="shared" si="5"/>
        <v/>
      </c>
      <c r="I80" s="17" t="str">
        <f t="shared" si="6"/>
        <v/>
      </c>
      <c r="J80" s="10" t="e">
        <f t="shared" si="7"/>
        <v>#N/A</v>
      </c>
      <c r="N80" t="s">
        <v>523</v>
      </c>
      <c r="O80" s="9">
        <v>43555</v>
      </c>
      <c r="P80" s="10">
        <v>0</v>
      </c>
    </row>
    <row r="81" spans="7:10">
      <c r="G81" s="28">
        <f t="shared" si="4"/>
        <v>0</v>
      </c>
      <c r="H81" t="str">
        <f t="shared" si="5"/>
        <v/>
      </c>
      <c r="I81" s="17" t="str">
        <f t="shared" si="6"/>
        <v/>
      </c>
      <c r="J81" s="10" t="e">
        <f t="shared" si="7"/>
        <v>#N/A</v>
      </c>
    </row>
    <row r="82" spans="7:10">
      <c r="G82" s="28">
        <f t="shared" si="4"/>
        <v>0</v>
      </c>
      <c r="H82" t="str">
        <f t="shared" si="5"/>
        <v/>
      </c>
      <c r="I82" s="17" t="str">
        <f t="shared" si="6"/>
        <v/>
      </c>
      <c r="J82" s="10" t="e">
        <f t="shared" si="7"/>
        <v>#N/A</v>
      </c>
    </row>
    <row r="83" spans="7:10">
      <c r="G83" s="28">
        <f t="shared" si="4"/>
        <v>0</v>
      </c>
      <c r="H83" t="str">
        <f t="shared" si="5"/>
        <v/>
      </c>
      <c r="I83" s="17" t="str">
        <f t="shared" si="6"/>
        <v/>
      </c>
      <c r="J83" s="10" t="e">
        <f t="shared" si="7"/>
        <v>#N/A</v>
      </c>
    </row>
    <row r="84" spans="7:10">
      <c r="G84" s="28">
        <f t="shared" si="4"/>
        <v>0</v>
      </c>
      <c r="H84" t="str">
        <f t="shared" si="5"/>
        <v/>
      </c>
      <c r="I84" s="17" t="str">
        <f t="shared" si="6"/>
        <v/>
      </c>
      <c r="J84" s="10" t="e">
        <f t="shared" si="7"/>
        <v>#N/A</v>
      </c>
    </row>
    <row r="85" spans="7:10">
      <c r="G85" s="28">
        <f t="shared" si="4"/>
        <v>0</v>
      </c>
      <c r="H85" t="str">
        <f t="shared" si="5"/>
        <v/>
      </c>
      <c r="I85" s="17" t="str">
        <f t="shared" si="6"/>
        <v/>
      </c>
    </row>
    <row r="86" spans="7:10">
      <c r="G86" s="28">
        <f t="shared" si="4"/>
        <v>0</v>
      </c>
      <c r="H86" t="str">
        <f t="shared" si="5"/>
        <v/>
      </c>
      <c r="I86" s="17" t="str">
        <f t="shared" si="6"/>
        <v/>
      </c>
    </row>
    <row r="87" spans="7:10">
      <c r="G87" s="28">
        <f t="shared" si="4"/>
        <v>0</v>
      </c>
      <c r="H87" t="str">
        <f t="shared" si="5"/>
        <v/>
      </c>
      <c r="I87" s="17" t="str">
        <f t="shared" si="6"/>
        <v/>
      </c>
    </row>
    <row r="88" spans="7:10">
      <c r="G88" s="28">
        <f t="shared" si="4"/>
        <v>0</v>
      </c>
      <c r="H88" t="str">
        <f t="shared" si="5"/>
        <v/>
      </c>
      <c r="I88" s="17" t="str">
        <f t="shared" si="6"/>
        <v/>
      </c>
    </row>
    <row r="89" spans="7:10">
      <c r="G89" s="28">
        <f t="shared" si="4"/>
        <v>0</v>
      </c>
      <c r="H89" t="str">
        <f t="shared" si="5"/>
        <v/>
      </c>
      <c r="I89" s="17" t="str">
        <f t="shared" si="6"/>
        <v/>
      </c>
    </row>
    <row r="90" spans="7:10">
      <c r="G90" s="28">
        <f t="shared" si="4"/>
        <v>0</v>
      </c>
      <c r="H90" t="str">
        <f t="shared" si="5"/>
        <v/>
      </c>
      <c r="I90" s="17" t="str">
        <f t="shared" si="6"/>
        <v/>
      </c>
    </row>
    <row r="91" spans="7:10">
      <c r="G91" s="28">
        <f t="shared" si="4"/>
        <v>0</v>
      </c>
      <c r="H91" t="str">
        <f t="shared" si="5"/>
        <v/>
      </c>
      <c r="I91" s="17" t="str">
        <f t="shared" si="6"/>
        <v/>
      </c>
    </row>
    <row r="92" spans="7:10">
      <c r="G92" s="28">
        <f t="shared" si="4"/>
        <v>0</v>
      </c>
      <c r="H92" t="str">
        <f t="shared" si="5"/>
        <v/>
      </c>
      <c r="I92" s="17" t="str">
        <f t="shared" si="6"/>
        <v/>
      </c>
    </row>
    <row r="93" spans="7:10">
      <c r="G93" s="28">
        <f t="shared" si="4"/>
        <v>0</v>
      </c>
      <c r="H93" t="str">
        <f t="shared" si="5"/>
        <v/>
      </c>
      <c r="I93" s="17" t="str">
        <f t="shared" si="6"/>
        <v/>
      </c>
    </row>
    <row r="94" spans="7:10">
      <c r="G94" s="28">
        <f t="shared" si="4"/>
        <v>0</v>
      </c>
      <c r="H94" t="str">
        <f t="shared" si="5"/>
        <v/>
      </c>
      <c r="I94" s="17" t="str">
        <f t="shared" si="6"/>
        <v/>
      </c>
    </row>
    <row r="95" spans="7:10">
      <c r="G95" s="28">
        <f t="shared" si="4"/>
        <v>0</v>
      </c>
      <c r="H95" t="str">
        <f t="shared" si="5"/>
        <v/>
      </c>
      <c r="I95" s="17" t="str">
        <f t="shared" si="6"/>
        <v/>
      </c>
    </row>
    <row r="96" spans="7:10">
      <c r="G96" s="28">
        <f t="shared" si="4"/>
        <v>0</v>
      </c>
      <c r="H96" t="str">
        <f t="shared" si="5"/>
        <v/>
      </c>
      <c r="I96" s="17" t="str">
        <f t="shared" si="6"/>
        <v/>
      </c>
    </row>
    <row r="97" spans="7:9">
      <c r="G97" s="28">
        <f t="shared" si="4"/>
        <v>0</v>
      </c>
      <c r="H97" t="str">
        <f t="shared" si="5"/>
        <v/>
      </c>
      <c r="I97" s="17" t="str">
        <f t="shared" si="6"/>
        <v/>
      </c>
    </row>
    <row r="98" spans="7:9">
      <c r="G98" s="28">
        <f t="shared" si="4"/>
        <v>0</v>
      </c>
      <c r="H98" t="str">
        <f t="shared" si="5"/>
        <v/>
      </c>
      <c r="I98" s="17" t="str">
        <f t="shared" si="6"/>
        <v/>
      </c>
    </row>
    <row r="99" spans="7:9">
      <c r="G99" s="28">
        <f t="shared" si="4"/>
        <v>0</v>
      </c>
      <c r="H99" t="str">
        <f t="shared" si="5"/>
        <v/>
      </c>
      <c r="I99" s="17" t="str">
        <f t="shared" si="6"/>
        <v/>
      </c>
    </row>
    <row r="100" spans="7:9">
      <c r="G100" s="28">
        <f t="shared" si="4"/>
        <v>0</v>
      </c>
      <c r="H100" t="str">
        <f t="shared" si="5"/>
        <v/>
      </c>
      <c r="I100" s="17" t="str">
        <f t="shared" si="6"/>
        <v/>
      </c>
    </row>
    <row r="101" spans="7:9">
      <c r="G101" s="28">
        <f t="shared" si="4"/>
        <v>0</v>
      </c>
      <c r="H101" t="str">
        <f t="shared" si="5"/>
        <v/>
      </c>
      <c r="I101" s="17" t="str">
        <f t="shared" si="6"/>
        <v/>
      </c>
    </row>
    <row r="102" spans="7:9">
      <c r="G102" s="28">
        <f t="shared" si="4"/>
        <v>0</v>
      </c>
      <c r="H102" t="str">
        <f t="shared" si="5"/>
        <v/>
      </c>
      <c r="I102" s="17" t="str">
        <f t="shared" si="6"/>
        <v/>
      </c>
    </row>
    <row r="103" spans="7:9">
      <c r="G103" s="28">
        <f t="shared" si="4"/>
        <v>0</v>
      </c>
      <c r="H103" t="str">
        <f t="shared" si="5"/>
        <v/>
      </c>
      <c r="I103" s="17" t="str">
        <f t="shared" si="6"/>
        <v/>
      </c>
    </row>
    <row r="104" spans="7:9">
      <c r="G104" s="28">
        <f t="shared" si="4"/>
        <v>0</v>
      </c>
      <c r="H104" t="str">
        <f t="shared" si="5"/>
        <v/>
      </c>
      <c r="I104" s="17" t="str">
        <f t="shared" si="6"/>
        <v/>
      </c>
    </row>
    <row r="105" spans="7:9">
      <c r="G105" s="28">
        <f t="shared" si="4"/>
        <v>0</v>
      </c>
      <c r="H105" t="str">
        <f t="shared" si="5"/>
        <v/>
      </c>
      <c r="I105" s="17" t="str">
        <f t="shared" si="6"/>
        <v/>
      </c>
    </row>
    <row r="106" spans="7:9">
      <c r="G106" s="28">
        <f t="shared" si="4"/>
        <v>0</v>
      </c>
      <c r="H106" t="str">
        <f t="shared" si="5"/>
        <v/>
      </c>
      <c r="I106" s="17" t="str">
        <f t="shared" si="6"/>
        <v/>
      </c>
    </row>
    <row r="107" spans="7:9">
      <c r="G107" s="28">
        <f t="shared" si="4"/>
        <v>0</v>
      </c>
      <c r="H107" t="str">
        <f t="shared" si="5"/>
        <v/>
      </c>
      <c r="I107" s="17" t="str">
        <f t="shared" si="6"/>
        <v/>
      </c>
    </row>
    <row r="108" spans="7:9">
      <c r="G108" s="28">
        <f t="shared" si="4"/>
        <v>0</v>
      </c>
      <c r="H108" t="str">
        <f t="shared" si="5"/>
        <v/>
      </c>
      <c r="I108" s="17" t="str">
        <f t="shared" si="6"/>
        <v/>
      </c>
    </row>
    <row r="109" spans="7:9">
      <c r="G109" s="28">
        <f t="shared" si="4"/>
        <v>0</v>
      </c>
      <c r="H109" t="str">
        <f t="shared" si="5"/>
        <v/>
      </c>
      <c r="I109" s="17" t="str">
        <f t="shared" si="6"/>
        <v/>
      </c>
    </row>
    <row r="110" spans="7:9">
      <c r="G110" s="28">
        <f t="shared" si="4"/>
        <v>0</v>
      </c>
      <c r="H110" t="str">
        <f t="shared" si="5"/>
        <v/>
      </c>
      <c r="I110" s="17" t="str">
        <f t="shared" si="6"/>
        <v/>
      </c>
    </row>
    <row r="111" spans="7:9">
      <c r="G111" s="28">
        <f t="shared" si="4"/>
        <v>0</v>
      </c>
      <c r="H111" t="str">
        <f t="shared" si="5"/>
        <v/>
      </c>
      <c r="I111" s="17" t="str">
        <f t="shared" si="6"/>
        <v/>
      </c>
    </row>
    <row r="112" spans="7:9">
      <c r="G112" s="28">
        <f t="shared" si="4"/>
        <v>0</v>
      </c>
      <c r="H112" t="str">
        <f t="shared" si="5"/>
        <v/>
      </c>
      <c r="I112" s="17" t="str">
        <f t="shared" si="6"/>
        <v/>
      </c>
    </row>
    <row r="113" spans="7:9">
      <c r="G113" s="28">
        <f t="shared" si="4"/>
        <v>0</v>
      </c>
      <c r="H113" t="str">
        <f t="shared" si="5"/>
        <v/>
      </c>
      <c r="I113" s="17" t="str">
        <f t="shared" si="6"/>
        <v/>
      </c>
    </row>
    <row r="114" spans="7:9">
      <c r="G114" s="28">
        <f t="shared" si="4"/>
        <v>0</v>
      </c>
      <c r="H114" t="str">
        <f t="shared" si="5"/>
        <v/>
      </c>
      <c r="I114" s="17" t="str">
        <f t="shared" si="6"/>
        <v/>
      </c>
    </row>
    <row r="115" spans="7:9">
      <c r="G115" s="28">
        <f t="shared" si="4"/>
        <v>0</v>
      </c>
      <c r="H115" t="str">
        <f t="shared" si="5"/>
        <v/>
      </c>
      <c r="I115" s="17" t="str">
        <f t="shared" si="6"/>
        <v/>
      </c>
    </row>
    <row r="116" spans="7:9">
      <c r="G116" s="28">
        <f t="shared" si="4"/>
        <v>0</v>
      </c>
      <c r="H116" t="str">
        <f t="shared" si="5"/>
        <v/>
      </c>
      <c r="I116" s="17" t="str">
        <f t="shared" si="6"/>
        <v/>
      </c>
    </row>
    <row r="117" spans="7:9">
      <c r="G117" s="28">
        <f t="shared" si="4"/>
        <v>0</v>
      </c>
      <c r="H117" t="str">
        <f t="shared" si="5"/>
        <v/>
      </c>
      <c r="I117" s="17" t="str">
        <f t="shared" si="6"/>
        <v/>
      </c>
    </row>
    <row r="118" spans="7:9">
      <c r="G118" s="28">
        <f t="shared" si="4"/>
        <v>0</v>
      </c>
      <c r="H118" t="str">
        <f t="shared" si="5"/>
        <v/>
      </c>
      <c r="I118" s="17" t="str">
        <f t="shared" si="6"/>
        <v/>
      </c>
    </row>
    <row r="119" spans="7:9">
      <c r="G119" s="28">
        <f t="shared" si="4"/>
        <v>0</v>
      </c>
      <c r="H119" t="str">
        <f t="shared" si="5"/>
        <v/>
      </c>
      <c r="I119" s="17" t="str">
        <f t="shared" si="6"/>
        <v/>
      </c>
    </row>
    <row r="120" spans="7:9">
      <c r="G120" s="28">
        <f t="shared" si="4"/>
        <v>0</v>
      </c>
      <c r="H120" t="str">
        <f t="shared" si="5"/>
        <v/>
      </c>
      <c r="I120" s="17" t="str">
        <f t="shared" si="6"/>
        <v/>
      </c>
    </row>
    <row r="121" spans="7:9">
      <c r="G121" s="28">
        <f t="shared" si="4"/>
        <v>0</v>
      </c>
      <c r="H121" t="str">
        <f t="shared" si="5"/>
        <v/>
      </c>
      <c r="I121" s="17" t="str">
        <f t="shared" si="6"/>
        <v/>
      </c>
    </row>
    <row r="122" spans="7:9">
      <c r="G122" s="28">
        <f t="shared" ref="G122:G126" si="8">SUM(C122:F122)/1000</f>
        <v>0</v>
      </c>
      <c r="H122" t="str">
        <f t="shared" si="5"/>
        <v/>
      </c>
      <c r="I122" s="17" t="str">
        <f t="shared" si="6"/>
        <v/>
      </c>
    </row>
    <row r="123" spans="7:9">
      <c r="G123" s="28">
        <f t="shared" si="8"/>
        <v>0</v>
      </c>
      <c r="H123" t="str">
        <f t="shared" ref="H123:H126" si="9">IFERROR(G123/G119-1, "")</f>
        <v/>
      </c>
      <c r="I123" s="17" t="str">
        <f t="shared" ref="I123:I126" si="10">IFERROR(IF(H120&lt;&gt;-1, IF(H121&lt;&gt;-1, IF(H122&lt;&gt;-1, IF(H123&lt;&gt;-1, AVERAGE(H120:H123), ""), ""), ""), ""), "")</f>
        <v/>
      </c>
    </row>
    <row r="124" spans="7:9">
      <c r="G124" s="28">
        <f t="shared" si="8"/>
        <v>0</v>
      </c>
      <c r="H124" t="str">
        <f t="shared" si="9"/>
        <v/>
      </c>
      <c r="I124" s="17" t="str">
        <f t="shared" si="10"/>
        <v/>
      </c>
    </row>
    <row r="125" spans="7:9">
      <c r="G125" s="28">
        <f t="shared" si="8"/>
        <v>0</v>
      </c>
      <c r="H125" t="str">
        <f t="shared" si="9"/>
        <v/>
      </c>
      <c r="I125" s="17" t="str">
        <f t="shared" si="10"/>
        <v/>
      </c>
    </row>
    <row r="126" spans="7:9">
      <c r="G126" s="28">
        <f t="shared" si="8"/>
        <v>0</v>
      </c>
      <c r="H126" t="str">
        <f t="shared" si="9"/>
        <v/>
      </c>
      <c r="I126" s="17" t="str">
        <f t="shared" si="10"/>
        <v/>
      </c>
    </row>
  </sheetData>
  <hyperlinks>
    <hyperlink ref="P12" r:id="rId1" xr:uid="{00000000-0004-0000-06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57"/>
  <sheetViews>
    <sheetView zoomScale="85" zoomScaleNormal="85" workbookViewId="0">
      <selection activeCell="I5" sqref="I5"/>
    </sheetView>
  </sheetViews>
  <sheetFormatPr defaultRowHeight="15"/>
  <cols>
    <col min="3" max="4" width="9.140625" style="88"/>
  </cols>
  <sheetData>
    <row r="1" spans="1:10">
      <c r="C1"/>
      <c r="D1" s="87">
        <f ca="1">YEAR(TODAY())</f>
        <v>2019</v>
      </c>
      <c r="G1" t="s">
        <v>84</v>
      </c>
    </row>
    <row r="2" spans="1:10">
      <c r="C2" s="88" t="s">
        <v>86</v>
      </c>
      <c r="E2" t="s">
        <v>86</v>
      </c>
      <c r="G2" t="s">
        <v>85</v>
      </c>
    </row>
    <row r="3" spans="1:10">
      <c r="C3" s="88" t="s">
        <v>87</v>
      </c>
      <c r="D3" s="88" t="s">
        <v>82</v>
      </c>
      <c r="E3" t="s">
        <v>87</v>
      </c>
      <c r="F3" t="s">
        <v>82</v>
      </c>
      <c r="G3" t="s">
        <v>83</v>
      </c>
      <c r="H3" t="s">
        <v>82</v>
      </c>
    </row>
    <row r="4" spans="1:10">
      <c r="A4" s="8" t="s">
        <v>369</v>
      </c>
      <c r="B4" s="8" t="s">
        <v>313</v>
      </c>
      <c r="C4" s="89"/>
      <c r="D4" s="89"/>
      <c r="E4" s="7" t="s">
        <v>90</v>
      </c>
      <c r="F4" s="7" t="s">
        <v>91</v>
      </c>
      <c r="G4" s="7" t="s">
        <v>88</v>
      </c>
      <c r="H4" s="7" t="s">
        <v>89</v>
      </c>
      <c r="I4" s="85" t="s">
        <v>316</v>
      </c>
    </row>
    <row r="5" spans="1:10">
      <c r="A5" t="s">
        <v>7</v>
      </c>
      <c r="E5" t="s">
        <v>400</v>
      </c>
      <c r="F5" t="s">
        <v>401</v>
      </c>
      <c r="G5" t="s">
        <v>402</v>
      </c>
      <c r="H5" t="s">
        <v>403</v>
      </c>
      <c r="I5" t="s">
        <v>399</v>
      </c>
    </row>
    <row r="6" spans="1:10">
      <c r="A6" t="s">
        <v>10</v>
      </c>
      <c r="E6" t="s">
        <v>387</v>
      </c>
      <c r="F6" t="s">
        <v>387</v>
      </c>
      <c r="G6" t="s">
        <v>387</v>
      </c>
      <c r="H6" t="s">
        <v>387</v>
      </c>
      <c r="I6" t="s">
        <v>382</v>
      </c>
    </row>
    <row r="7" spans="1:10">
      <c r="A7" t="s">
        <v>11</v>
      </c>
      <c r="E7" t="s">
        <v>511</v>
      </c>
      <c r="F7" t="s">
        <v>511</v>
      </c>
      <c r="G7" t="s">
        <v>507</v>
      </c>
      <c r="H7" t="s">
        <v>507</v>
      </c>
      <c r="I7" t="s">
        <v>518</v>
      </c>
    </row>
    <row r="8" spans="1:10">
      <c r="A8" t="s">
        <v>15</v>
      </c>
      <c r="B8" s="30">
        <v>28126</v>
      </c>
      <c r="C8" s="90" t="e">
        <f ca="1">IF(YEAR($B8)&lt;$D$1-1, #N/A, E8)</f>
        <v>#N/A</v>
      </c>
      <c r="D8" s="90" t="e">
        <f ca="1">IF(YEAR($B8)&lt;$D$1-1, #N/A, F8)</f>
        <v>#N/A</v>
      </c>
      <c r="E8" s="20">
        <v>17.5</v>
      </c>
      <c r="F8" s="20">
        <v>20.2</v>
      </c>
      <c r="G8" s="31">
        <v>17.564</v>
      </c>
      <c r="H8" s="31">
        <v>20.215</v>
      </c>
      <c r="I8" s="10">
        <v>0</v>
      </c>
      <c r="J8">
        <f>IFERROR(IF(I8&gt;0, 1, 0), 0)</f>
        <v>0</v>
      </c>
    </row>
    <row r="9" spans="1:10">
      <c r="A9" t="s">
        <v>16</v>
      </c>
      <c r="B9" s="30">
        <v>28491</v>
      </c>
      <c r="C9" s="90" t="e">
        <f t="shared" ref="C9:C57" ca="1" si="0">IF(YEAR($B9)&lt;$D$1-1, #N/A, E9)</f>
        <v>#N/A</v>
      </c>
      <c r="D9" s="90" t="e">
        <f t="shared" ref="D9:D57" ca="1" si="1">IF(YEAR($B9)&lt;$D$1-1, #N/A, F9)</f>
        <v>#N/A</v>
      </c>
      <c r="E9" s="20">
        <v>17.5</v>
      </c>
      <c r="F9" s="20">
        <v>20.100000000000001</v>
      </c>
      <c r="G9" s="31">
        <v>17.574999999999999</v>
      </c>
      <c r="H9" s="31">
        <v>20.178000000000001</v>
      </c>
      <c r="I9" s="10">
        <v>0</v>
      </c>
      <c r="J9">
        <f t="shared" ref="J9:J57" si="2">IFERROR(IF(I9&gt;0, 1, 0), 0)</f>
        <v>0</v>
      </c>
    </row>
    <row r="10" spans="1:10">
      <c r="A10" t="s">
        <v>17</v>
      </c>
      <c r="B10" s="30">
        <v>28856</v>
      </c>
      <c r="C10" s="90" t="e">
        <f t="shared" ca="1" si="0"/>
        <v>#N/A</v>
      </c>
      <c r="D10" s="90" t="e">
        <f t="shared" ca="1" si="1"/>
        <v>#N/A</v>
      </c>
      <c r="E10" s="20">
        <v>18</v>
      </c>
      <c r="F10" s="20">
        <v>19.600000000000001</v>
      </c>
      <c r="G10" s="31">
        <v>18.058</v>
      </c>
      <c r="H10" s="31">
        <v>19.646000000000001</v>
      </c>
      <c r="I10" s="10">
        <v>0</v>
      </c>
      <c r="J10">
        <f t="shared" si="2"/>
        <v>0</v>
      </c>
    </row>
    <row r="11" spans="1:10">
      <c r="A11" t="s">
        <v>18</v>
      </c>
      <c r="B11" s="30">
        <v>29221</v>
      </c>
      <c r="C11" s="90" t="e">
        <f t="shared" ca="1" si="0"/>
        <v>#N/A</v>
      </c>
      <c r="D11" s="90" t="e">
        <f t="shared" ca="1" si="1"/>
        <v>#N/A</v>
      </c>
      <c r="E11" s="20">
        <v>18.5</v>
      </c>
      <c r="F11" s="20">
        <v>21.1</v>
      </c>
      <c r="G11" s="31">
        <v>18.521999999999998</v>
      </c>
      <c r="H11" s="31">
        <v>21.166</v>
      </c>
      <c r="I11" s="10">
        <v>2</v>
      </c>
      <c r="J11">
        <f t="shared" si="2"/>
        <v>1</v>
      </c>
    </row>
    <row r="12" spans="1:10">
      <c r="A12" t="s">
        <v>19</v>
      </c>
      <c r="B12" s="30">
        <v>29587</v>
      </c>
      <c r="C12" s="90" t="e">
        <f t="shared" ca="1" si="0"/>
        <v>#N/A</v>
      </c>
      <c r="D12" s="90" t="e">
        <f t="shared" ca="1" si="1"/>
        <v>#N/A</v>
      </c>
      <c r="E12" s="20">
        <v>19.100000000000001</v>
      </c>
      <c r="F12" s="20">
        <v>21.6</v>
      </c>
      <c r="G12" s="31">
        <v>19.126000000000001</v>
      </c>
      <c r="H12" s="31">
        <v>21.646999999999998</v>
      </c>
      <c r="I12" s="10">
        <v>1</v>
      </c>
      <c r="J12">
        <f t="shared" si="2"/>
        <v>1</v>
      </c>
    </row>
    <row r="13" spans="1:10">
      <c r="A13" t="s">
        <v>20</v>
      </c>
      <c r="B13" s="30">
        <v>29952</v>
      </c>
      <c r="C13" s="90" t="e">
        <f t="shared" ca="1" si="0"/>
        <v>#N/A</v>
      </c>
      <c r="D13" s="90" t="e">
        <f t="shared" ca="1" si="1"/>
        <v>#N/A</v>
      </c>
      <c r="E13" s="20">
        <v>18.600000000000001</v>
      </c>
      <c r="F13" s="20">
        <v>22.5</v>
      </c>
      <c r="G13" s="31">
        <v>18.645</v>
      </c>
      <c r="H13" s="31">
        <v>22.507000000000001</v>
      </c>
      <c r="I13" s="10">
        <v>4</v>
      </c>
      <c r="J13">
        <f t="shared" si="2"/>
        <v>1</v>
      </c>
    </row>
    <row r="14" spans="1:10">
      <c r="A14" t="s">
        <v>21</v>
      </c>
      <c r="B14" s="30">
        <v>30317</v>
      </c>
      <c r="C14" s="90" t="e">
        <f t="shared" ca="1" si="0"/>
        <v>#N/A</v>
      </c>
      <c r="D14" s="90" t="e">
        <f t="shared" ca="1" si="1"/>
        <v>#N/A</v>
      </c>
      <c r="E14" s="20">
        <v>17</v>
      </c>
      <c r="F14" s="20">
        <v>22.8</v>
      </c>
      <c r="G14" s="31">
        <v>16.984000000000002</v>
      </c>
      <c r="H14" s="31">
        <v>22.861000000000001</v>
      </c>
      <c r="I14" s="10">
        <v>0</v>
      </c>
      <c r="J14">
        <f t="shared" si="2"/>
        <v>0</v>
      </c>
    </row>
    <row r="15" spans="1:10">
      <c r="A15" t="s">
        <v>22</v>
      </c>
      <c r="B15" s="30">
        <v>30682</v>
      </c>
      <c r="C15" s="90" t="e">
        <f t="shared" ca="1" si="0"/>
        <v>#N/A</v>
      </c>
      <c r="D15" s="90" t="e">
        <f t="shared" ca="1" si="1"/>
        <v>#N/A</v>
      </c>
      <c r="E15" s="20">
        <v>16.899999999999999</v>
      </c>
      <c r="F15" s="20">
        <v>21.5</v>
      </c>
      <c r="G15" s="31">
        <v>16.875</v>
      </c>
      <c r="H15" s="31">
        <v>21.568999999999999</v>
      </c>
      <c r="I15" s="10">
        <v>0</v>
      </c>
      <c r="J15">
        <f t="shared" si="2"/>
        <v>0</v>
      </c>
    </row>
    <row r="16" spans="1:10">
      <c r="A16" t="s">
        <v>23</v>
      </c>
      <c r="B16" s="30">
        <v>31048</v>
      </c>
      <c r="C16" s="90" t="e">
        <f t="shared" ca="1" si="0"/>
        <v>#N/A</v>
      </c>
      <c r="D16" s="90" t="e">
        <f t="shared" ca="1" si="1"/>
        <v>#N/A</v>
      </c>
      <c r="E16" s="20">
        <v>17.2</v>
      </c>
      <c r="F16" s="20">
        <v>22.2</v>
      </c>
      <c r="G16" s="31">
        <v>17.21</v>
      </c>
      <c r="H16" s="31">
        <v>22.187999999999999</v>
      </c>
      <c r="I16" s="10">
        <v>0</v>
      </c>
      <c r="J16">
        <f t="shared" si="2"/>
        <v>0</v>
      </c>
    </row>
    <row r="17" spans="1:10">
      <c r="A17" t="s">
        <v>24</v>
      </c>
      <c r="B17" s="30">
        <v>31413</v>
      </c>
      <c r="C17" s="90" t="e">
        <f t="shared" ca="1" si="0"/>
        <v>#N/A</v>
      </c>
      <c r="D17" s="90" t="e">
        <f t="shared" ca="1" si="1"/>
        <v>#N/A</v>
      </c>
      <c r="E17" s="20">
        <v>17</v>
      </c>
      <c r="F17" s="20">
        <v>21.8</v>
      </c>
      <c r="G17" s="31">
        <v>16.992999999999999</v>
      </c>
      <c r="H17" s="31">
        <v>21.881</v>
      </c>
      <c r="I17" s="10">
        <v>0</v>
      </c>
      <c r="J17">
        <f t="shared" si="2"/>
        <v>0</v>
      </c>
    </row>
    <row r="18" spans="1:10">
      <c r="A18" t="s">
        <v>25</v>
      </c>
      <c r="B18" s="30">
        <v>31778</v>
      </c>
      <c r="C18" s="90" t="e">
        <f t="shared" ca="1" si="0"/>
        <v>#N/A</v>
      </c>
      <c r="D18" s="90" t="e">
        <f t="shared" ca="1" si="1"/>
        <v>#N/A</v>
      </c>
      <c r="E18" s="20">
        <v>17.899999999999999</v>
      </c>
      <c r="F18" s="20">
        <v>21</v>
      </c>
      <c r="G18" s="31">
        <v>17.917999999999999</v>
      </c>
      <c r="H18" s="31">
        <v>21.059000000000001</v>
      </c>
      <c r="I18" s="10">
        <v>0</v>
      </c>
      <c r="J18">
        <f t="shared" si="2"/>
        <v>0</v>
      </c>
    </row>
    <row r="19" spans="1:10">
      <c r="A19" t="s">
        <v>26</v>
      </c>
      <c r="B19" s="30">
        <v>32143</v>
      </c>
      <c r="C19" s="90" t="e">
        <f t="shared" ca="1" si="0"/>
        <v>#N/A</v>
      </c>
      <c r="D19" s="90" t="e">
        <f t="shared" ca="1" si="1"/>
        <v>#N/A</v>
      </c>
      <c r="E19" s="20">
        <v>17.600000000000001</v>
      </c>
      <c r="F19" s="20">
        <v>20.6</v>
      </c>
      <c r="G19" s="31">
        <v>17.693999999999999</v>
      </c>
      <c r="H19" s="31">
        <v>20.713999999999999</v>
      </c>
      <c r="I19" s="10">
        <v>0</v>
      </c>
      <c r="J19">
        <f t="shared" si="2"/>
        <v>0</v>
      </c>
    </row>
    <row r="20" spans="1:10">
      <c r="A20" t="s">
        <v>27</v>
      </c>
      <c r="B20" s="30">
        <v>32509</v>
      </c>
      <c r="C20" s="90" t="e">
        <f t="shared" ca="1" si="0"/>
        <v>#N/A</v>
      </c>
      <c r="D20" s="90" t="e">
        <f t="shared" ca="1" si="1"/>
        <v>#N/A</v>
      </c>
      <c r="E20" s="20">
        <v>17.8</v>
      </c>
      <c r="F20" s="20">
        <v>20.5</v>
      </c>
      <c r="G20" s="31">
        <v>17.843</v>
      </c>
      <c r="H20" s="31">
        <v>20.591000000000001</v>
      </c>
      <c r="I20" s="10">
        <v>0</v>
      </c>
      <c r="J20">
        <f t="shared" si="2"/>
        <v>0</v>
      </c>
    </row>
    <row r="21" spans="1:10">
      <c r="A21" t="s">
        <v>28</v>
      </c>
      <c r="B21" s="30">
        <v>32874</v>
      </c>
      <c r="C21" s="90" t="e">
        <f t="shared" ca="1" si="0"/>
        <v>#N/A</v>
      </c>
      <c r="D21" s="90" t="e">
        <f t="shared" ca="1" si="1"/>
        <v>#N/A</v>
      </c>
      <c r="E21" s="20">
        <v>17.399999999999999</v>
      </c>
      <c r="F21" s="20">
        <v>21.2</v>
      </c>
      <c r="G21" s="31">
        <v>17.495000000000001</v>
      </c>
      <c r="H21" s="31">
        <v>21.242000000000001</v>
      </c>
      <c r="I21" s="10">
        <v>1</v>
      </c>
      <c r="J21">
        <f t="shared" si="2"/>
        <v>1</v>
      </c>
    </row>
    <row r="22" spans="1:10">
      <c r="A22" t="s">
        <v>29</v>
      </c>
      <c r="B22" s="30">
        <v>33239</v>
      </c>
      <c r="C22" s="90" t="e">
        <f t="shared" ca="1" si="0"/>
        <v>#N/A</v>
      </c>
      <c r="D22" s="90" t="e">
        <f t="shared" ca="1" si="1"/>
        <v>#N/A</v>
      </c>
      <c r="E22" s="20">
        <v>17.3</v>
      </c>
      <c r="F22" s="20">
        <v>21.7</v>
      </c>
      <c r="G22" s="31">
        <v>17.314</v>
      </c>
      <c r="H22" s="31">
        <v>21.733000000000001</v>
      </c>
      <c r="I22" s="10">
        <v>1</v>
      </c>
      <c r="J22">
        <f t="shared" si="2"/>
        <v>1</v>
      </c>
    </row>
    <row r="23" spans="1:10">
      <c r="A23" t="s">
        <v>30</v>
      </c>
      <c r="B23" s="30">
        <v>33604</v>
      </c>
      <c r="C23" s="90" t="e">
        <f t="shared" ca="1" si="0"/>
        <v>#N/A</v>
      </c>
      <c r="D23" s="90" t="e">
        <f t="shared" ca="1" si="1"/>
        <v>#N/A</v>
      </c>
      <c r="E23" s="20">
        <v>17</v>
      </c>
      <c r="F23" s="20">
        <v>21.5</v>
      </c>
      <c r="G23" s="31">
        <v>17.007000000000001</v>
      </c>
      <c r="H23" s="31">
        <v>21.532</v>
      </c>
      <c r="I23" s="10">
        <v>0</v>
      </c>
      <c r="J23">
        <f t="shared" si="2"/>
        <v>0</v>
      </c>
    </row>
    <row r="24" spans="1:10">
      <c r="A24" t="s">
        <v>31</v>
      </c>
      <c r="B24" s="30">
        <v>33970</v>
      </c>
      <c r="C24" s="90" t="e">
        <f t="shared" ca="1" si="0"/>
        <v>#N/A</v>
      </c>
      <c r="D24" s="90" t="e">
        <f t="shared" ca="1" si="1"/>
        <v>#N/A</v>
      </c>
      <c r="E24" s="20">
        <v>17</v>
      </c>
      <c r="F24" s="20">
        <v>20.7</v>
      </c>
      <c r="G24" s="31">
        <v>17.036999999999999</v>
      </c>
      <c r="H24" s="31">
        <v>20.802</v>
      </c>
      <c r="I24" s="10">
        <v>0</v>
      </c>
      <c r="J24">
        <f t="shared" si="2"/>
        <v>0</v>
      </c>
    </row>
    <row r="25" spans="1:10">
      <c r="A25" t="s">
        <v>32</v>
      </c>
      <c r="B25" s="30">
        <v>34335</v>
      </c>
      <c r="C25" s="90" t="e">
        <f t="shared" ca="1" si="0"/>
        <v>#N/A</v>
      </c>
      <c r="D25" s="90" t="e">
        <f t="shared" ca="1" si="1"/>
        <v>#N/A</v>
      </c>
      <c r="E25" s="20">
        <v>17.5</v>
      </c>
      <c r="F25" s="20">
        <v>20.3</v>
      </c>
      <c r="G25" s="31">
        <v>17.536000000000001</v>
      </c>
      <c r="H25" s="31">
        <v>20.367999999999999</v>
      </c>
      <c r="I25" s="10">
        <v>0</v>
      </c>
      <c r="J25">
        <f t="shared" si="2"/>
        <v>0</v>
      </c>
    </row>
    <row r="26" spans="1:10">
      <c r="A26" t="s">
        <v>33</v>
      </c>
      <c r="B26" s="30">
        <v>34700</v>
      </c>
      <c r="C26" s="90" t="e">
        <f t="shared" ca="1" si="0"/>
        <v>#N/A</v>
      </c>
      <c r="D26" s="90" t="e">
        <f t="shared" ca="1" si="1"/>
        <v>#N/A</v>
      </c>
      <c r="E26" s="20">
        <v>17.8</v>
      </c>
      <c r="F26" s="20">
        <v>20</v>
      </c>
      <c r="G26" s="31">
        <v>17.88</v>
      </c>
      <c r="H26" s="31">
        <v>20.047999999999998</v>
      </c>
      <c r="I26" s="10">
        <v>0</v>
      </c>
      <c r="J26">
        <f t="shared" si="2"/>
        <v>0</v>
      </c>
    </row>
    <row r="27" spans="1:10">
      <c r="A27" t="s">
        <v>34</v>
      </c>
      <c r="B27" s="30">
        <v>35065</v>
      </c>
      <c r="C27" s="90" t="e">
        <f t="shared" ca="1" si="0"/>
        <v>#N/A</v>
      </c>
      <c r="D27" s="90" t="e">
        <f t="shared" ca="1" si="1"/>
        <v>#N/A</v>
      </c>
      <c r="E27" s="20">
        <v>18.2</v>
      </c>
      <c r="F27" s="20">
        <v>19.600000000000001</v>
      </c>
      <c r="G27" s="31">
        <v>18.274000000000001</v>
      </c>
      <c r="H27" s="31">
        <v>19.625</v>
      </c>
      <c r="I27" s="10">
        <v>0</v>
      </c>
      <c r="J27">
        <f t="shared" si="2"/>
        <v>0</v>
      </c>
    </row>
    <row r="28" spans="1:10">
      <c r="A28" t="s">
        <v>35</v>
      </c>
      <c r="B28" s="30">
        <v>35431</v>
      </c>
      <c r="C28" s="90" t="e">
        <f t="shared" ca="1" si="0"/>
        <v>#N/A</v>
      </c>
      <c r="D28" s="90" t="e">
        <f t="shared" ca="1" si="1"/>
        <v>#N/A</v>
      </c>
      <c r="E28" s="20">
        <v>18.600000000000001</v>
      </c>
      <c r="F28" s="20">
        <v>18.899999999999999</v>
      </c>
      <c r="G28" s="31">
        <v>18.687000000000001</v>
      </c>
      <c r="H28" s="31">
        <v>18.946000000000002</v>
      </c>
      <c r="I28" s="10">
        <v>0</v>
      </c>
      <c r="J28">
        <f t="shared" si="2"/>
        <v>0</v>
      </c>
    </row>
    <row r="29" spans="1:10">
      <c r="A29" t="s">
        <v>36</v>
      </c>
      <c r="B29" s="30">
        <v>35796</v>
      </c>
      <c r="C29" s="90" t="e">
        <f t="shared" ca="1" si="0"/>
        <v>#N/A</v>
      </c>
      <c r="D29" s="90" t="e">
        <f t="shared" ca="1" si="1"/>
        <v>#N/A</v>
      </c>
      <c r="E29" s="20">
        <v>19.2</v>
      </c>
      <c r="F29" s="20">
        <v>18.5</v>
      </c>
      <c r="G29" s="31">
        <v>19.279</v>
      </c>
      <c r="H29" s="31">
        <v>18.503</v>
      </c>
      <c r="I29" s="10">
        <v>0</v>
      </c>
      <c r="J29">
        <f t="shared" si="2"/>
        <v>0</v>
      </c>
    </row>
    <row r="30" spans="1:10">
      <c r="A30" t="s">
        <v>37</v>
      </c>
      <c r="B30" s="30">
        <v>36161</v>
      </c>
      <c r="C30" s="90" t="e">
        <f t="shared" ca="1" si="0"/>
        <v>#N/A</v>
      </c>
      <c r="D30" s="90" t="e">
        <f t="shared" ca="1" si="1"/>
        <v>#N/A</v>
      </c>
      <c r="E30" s="20">
        <v>19.2</v>
      </c>
      <c r="F30" s="20">
        <v>17.899999999999999</v>
      </c>
      <c r="G30" s="31">
        <v>19.277999999999999</v>
      </c>
      <c r="H30" s="31">
        <v>17.952999999999999</v>
      </c>
      <c r="I30" s="10">
        <v>0</v>
      </c>
      <c r="J30">
        <f t="shared" si="2"/>
        <v>0</v>
      </c>
    </row>
    <row r="31" spans="1:10">
      <c r="A31" t="s">
        <v>38</v>
      </c>
      <c r="B31" s="30">
        <v>36526</v>
      </c>
      <c r="C31" s="90" t="e">
        <f t="shared" ca="1" si="0"/>
        <v>#N/A</v>
      </c>
      <c r="D31" s="90" t="e">
        <f t="shared" ca="1" si="1"/>
        <v>#N/A</v>
      </c>
      <c r="E31" s="20">
        <v>20</v>
      </c>
      <c r="F31" s="20">
        <v>17.600000000000001</v>
      </c>
      <c r="G31" s="31">
        <v>20.016999999999999</v>
      </c>
      <c r="H31" s="31">
        <v>17.681999999999999</v>
      </c>
      <c r="I31" s="10">
        <v>0</v>
      </c>
      <c r="J31">
        <f t="shared" si="2"/>
        <v>0</v>
      </c>
    </row>
    <row r="32" spans="1:10">
      <c r="A32" t="s">
        <v>39</v>
      </c>
      <c r="B32" s="30">
        <v>36892</v>
      </c>
      <c r="C32" s="90" t="e">
        <f t="shared" ca="1" si="0"/>
        <v>#N/A</v>
      </c>
      <c r="D32" s="90" t="e">
        <f t="shared" ca="1" si="1"/>
        <v>#N/A</v>
      </c>
      <c r="E32" s="20">
        <v>18.8</v>
      </c>
      <c r="F32" s="20">
        <v>17.600000000000001</v>
      </c>
      <c r="G32" s="31">
        <v>18.914999999999999</v>
      </c>
      <c r="H32" s="31">
        <v>17.696999999999999</v>
      </c>
      <c r="I32" s="10">
        <v>3</v>
      </c>
      <c r="J32">
        <f t="shared" si="2"/>
        <v>1</v>
      </c>
    </row>
    <row r="33" spans="1:10">
      <c r="A33" t="s">
        <v>40</v>
      </c>
      <c r="B33" s="30">
        <v>37257</v>
      </c>
      <c r="C33" s="90" t="e">
        <f t="shared" ca="1" si="0"/>
        <v>#N/A</v>
      </c>
      <c r="D33" s="90" t="e">
        <f t="shared" ca="1" si="1"/>
        <v>#N/A</v>
      </c>
      <c r="E33" s="20">
        <v>17</v>
      </c>
      <c r="F33" s="20">
        <v>18.5</v>
      </c>
      <c r="G33" s="31">
        <v>17.105</v>
      </c>
      <c r="H33" s="31">
        <v>18.562000000000001</v>
      </c>
      <c r="I33" s="10">
        <v>0</v>
      </c>
      <c r="J33">
        <f t="shared" si="2"/>
        <v>0</v>
      </c>
    </row>
    <row r="34" spans="1:10">
      <c r="A34" t="s">
        <v>41</v>
      </c>
      <c r="B34" s="30">
        <v>37622</v>
      </c>
      <c r="C34" s="90" t="e">
        <f t="shared" ca="1" si="0"/>
        <v>#N/A</v>
      </c>
      <c r="D34" s="90" t="e">
        <f t="shared" ca="1" si="1"/>
        <v>#N/A</v>
      </c>
      <c r="E34" s="20">
        <v>15.7</v>
      </c>
      <c r="F34" s="20">
        <v>19.100000000000001</v>
      </c>
      <c r="G34" s="31">
        <v>15.795</v>
      </c>
      <c r="H34" s="31">
        <v>19.141999999999999</v>
      </c>
      <c r="I34" s="10">
        <v>0</v>
      </c>
      <c r="J34">
        <f t="shared" si="2"/>
        <v>0</v>
      </c>
    </row>
    <row r="35" spans="1:10">
      <c r="A35" t="s">
        <v>42</v>
      </c>
      <c r="B35" s="30">
        <v>37987</v>
      </c>
      <c r="C35" s="90" t="e">
        <f t="shared" ca="1" si="0"/>
        <v>#N/A</v>
      </c>
      <c r="D35" s="90" t="e">
        <f t="shared" ca="1" si="1"/>
        <v>#N/A</v>
      </c>
      <c r="E35" s="20">
        <v>15.6</v>
      </c>
      <c r="F35" s="20">
        <v>19</v>
      </c>
      <c r="G35" s="31">
        <v>15.634</v>
      </c>
      <c r="H35" s="31">
        <v>19.067</v>
      </c>
      <c r="I35" s="10">
        <v>0</v>
      </c>
      <c r="J35">
        <f t="shared" si="2"/>
        <v>0</v>
      </c>
    </row>
    <row r="36" spans="1:10">
      <c r="A36" t="s">
        <v>43</v>
      </c>
      <c r="B36" s="30">
        <v>38353</v>
      </c>
      <c r="C36" s="90" t="e">
        <f t="shared" ca="1" si="0"/>
        <v>#N/A</v>
      </c>
      <c r="D36" s="90" t="e">
        <f t="shared" ca="1" si="1"/>
        <v>#N/A</v>
      </c>
      <c r="E36" s="20">
        <v>16.7</v>
      </c>
      <c r="F36" s="20">
        <v>19.2</v>
      </c>
      <c r="G36" s="31">
        <v>16.78</v>
      </c>
      <c r="H36" s="31">
        <v>19.260999999999999</v>
      </c>
      <c r="I36" s="10">
        <v>0</v>
      </c>
      <c r="J36">
        <f t="shared" si="2"/>
        <v>0</v>
      </c>
    </row>
    <row r="37" spans="1:10">
      <c r="A37" t="s">
        <v>44</v>
      </c>
      <c r="B37" s="30">
        <v>38718</v>
      </c>
      <c r="C37" s="90" t="e">
        <f t="shared" ca="1" si="0"/>
        <v>#N/A</v>
      </c>
      <c r="D37" s="90" t="e">
        <f t="shared" ca="1" si="1"/>
        <v>#N/A</v>
      </c>
      <c r="E37" s="20">
        <v>17.600000000000001</v>
      </c>
      <c r="F37" s="20">
        <v>19.399999999999999</v>
      </c>
      <c r="G37" s="31">
        <v>17.648</v>
      </c>
      <c r="H37" s="31">
        <v>19.466999999999999</v>
      </c>
      <c r="I37" s="10">
        <v>0</v>
      </c>
      <c r="J37">
        <f t="shared" si="2"/>
        <v>0</v>
      </c>
    </row>
    <row r="38" spans="1:10">
      <c r="A38" t="s">
        <v>45</v>
      </c>
      <c r="B38" s="30">
        <v>39083</v>
      </c>
      <c r="C38" s="90" t="e">
        <f t="shared" ca="1" si="0"/>
        <v>#N/A</v>
      </c>
      <c r="D38" s="90" t="e">
        <f t="shared" ca="1" si="1"/>
        <v>#N/A</v>
      </c>
      <c r="E38" s="20">
        <v>17.899999999999999</v>
      </c>
      <c r="F38" s="20">
        <v>19.100000000000001</v>
      </c>
      <c r="G38" s="31">
        <v>17.969000000000001</v>
      </c>
      <c r="H38" s="31">
        <v>19.094000000000001</v>
      </c>
      <c r="I38" s="10">
        <v>0</v>
      </c>
      <c r="J38">
        <f t="shared" si="2"/>
        <v>0</v>
      </c>
    </row>
    <row r="39" spans="1:10">
      <c r="A39" t="s">
        <v>46</v>
      </c>
      <c r="B39" s="30">
        <v>39448</v>
      </c>
      <c r="C39" s="90" t="e">
        <f t="shared" ca="1" si="0"/>
        <v>#N/A</v>
      </c>
      <c r="D39" s="90" t="e">
        <f t="shared" ca="1" si="1"/>
        <v>#N/A</v>
      </c>
      <c r="E39" s="20">
        <v>17.100000000000001</v>
      </c>
      <c r="F39" s="20">
        <v>20.2</v>
      </c>
      <c r="G39" s="31">
        <v>17.12</v>
      </c>
      <c r="H39" s="31">
        <v>20.23</v>
      </c>
      <c r="I39" s="10">
        <v>4</v>
      </c>
      <c r="J39">
        <f t="shared" si="2"/>
        <v>1</v>
      </c>
    </row>
    <row r="40" spans="1:10">
      <c r="A40" t="s">
        <v>47</v>
      </c>
      <c r="B40" s="30">
        <v>39814</v>
      </c>
      <c r="C40" s="90" t="e">
        <f t="shared" ca="1" si="0"/>
        <v>#N/A</v>
      </c>
      <c r="D40" s="90" t="e">
        <f t="shared" ca="1" si="1"/>
        <v>#N/A</v>
      </c>
      <c r="E40" s="20">
        <v>14.6</v>
      </c>
      <c r="F40" s="20">
        <v>24.4</v>
      </c>
      <c r="G40" s="31">
        <v>14.586</v>
      </c>
      <c r="H40" s="31">
        <v>24.373999999999999</v>
      </c>
      <c r="I40" s="10">
        <v>2</v>
      </c>
      <c r="J40">
        <f t="shared" si="2"/>
        <v>1</v>
      </c>
    </row>
    <row r="41" spans="1:10">
      <c r="A41" t="s">
        <v>48</v>
      </c>
      <c r="B41" s="30">
        <v>40179</v>
      </c>
      <c r="C41" s="90" t="e">
        <f t="shared" ca="1" si="0"/>
        <v>#N/A</v>
      </c>
      <c r="D41" s="90" t="e">
        <f t="shared" ca="1" si="1"/>
        <v>#N/A</v>
      </c>
      <c r="E41" s="20">
        <v>14.6</v>
      </c>
      <c r="F41" s="20">
        <v>23.4</v>
      </c>
      <c r="G41" s="31">
        <v>14.574999999999999</v>
      </c>
      <c r="H41" s="31">
        <v>23.297000000000001</v>
      </c>
      <c r="I41" s="10">
        <v>0</v>
      </c>
      <c r="J41">
        <f t="shared" si="2"/>
        <v>0</v>
      </c>
    </row>
    <row r="42" spans="1:10">
      <c r="A42" t="s">
        <v>49</v>
      </c>
      <c r="B42" s="30">
        <v>40544</v>
      </c>
      <c r="C42" s="90" t="e">
        <f t="shared" ca="1" si="0"/>
        <v>#N/A</v>
      </c>
      <c r="D42" s="90" t="e">
        <f t="shared" ca="1" si="1"/>
        <v>#N/A</v>
      </c>
      <c r="E42" s="20">
        <v>15</v>
      </c>
      <c r="F42" s="20">
        <v>23.4</v>
      </c>
      <c r="G42" s="31">
        <v>14.954000000000001</v>
      </c>
      <c r="H42" s="31">
        <v>23.390999999999998</v>
      </c>
      <c r="I42" s="10">
        <v>0</v>
      </c>
      <c r="J42">
        <f t="shared" si="2"/>
        <v>0</v>
      </c>
    </row>
    <row r="43" spans="1:10">
      <c r="A43" t="s">
        <v>50</v>
      </c>
      <c r="B43" s="30">
        <v>40909</v>
      </c>
      <c r="C43" s="90" t="e">
        <f t="shared" ca="1" si="0"/>
        <v>#N/A</v>
      </c>
      <c r="D43" s="90" t="e">
        <f t="shared" ca="1" si="1"/>
        <v>#N/A</v>
      </c>
      <c r="E43" s="20">
        <v>15.3</v>
      </c>
      <c r="F43" s="20">
        <v>22.1</v>
      </c>
      <c r="G43" s="31">
        <v>15.259</v>
      </c>
      <c r="H43" s="31">
        <v>22.027999999999999</v>
      </c>
      <c r="I43" s="10">
        <v>0</v>
      </c>
      <c r="J43">
        <f t="shared" si="2"/>
        <v>0</v>
      </c>
    </row>
    <row r="44" spans="1:10">
      <c r="A44" t="s">
        <v>51</v>
      </c>
      <c r="B44" s="30">
        <v>41275</v>
      </c>
      <c r="C44" s="90" t="e">
        <f t="shared" ca="1" si="0"/>
        <v>#N/A</v>
      </c>
      <c r="D44" s="90" t="e">
        <f t="shared" ca="1" si="1"/>
        <v>#N/A</v>
      </c>
      <c r="E44" s="20">
        <v>16.8</v>
      </c>
      <c r="F44" s="20">
        <v>20.9</v>
      </c>
      <c r="G44" s="31">
        <v>16.713999999999999</v>
      </c>
      <c r="H44" s="31">
        <v>20.806000000000001</v>
      </c>
      <c r="I44" s="10">
        <v>0</v>
      </c>
      <c r="J44">
        <f t="shared" si="2"/>
        <v>0</v>
      </c>
    </row>
    <row r="45" spans="1:10">
      <c r="A45" t="s">
        <v>52</v>
      </c>
      <c r="B45" s="30">
        <v>41640</v>
      </c>
      <c r="C45" s="90" t="e">
        <f t="shared" ca="1" si="0"/>
        <v>#N/A</v>
      </c>
      <c r="D45" s="90" t="e">
        <f t="shared" ca="1" si="1"/>
        <v>#N/A</v>
      </c>
      <c r="E45" s="20">
        <v>17.5</v>
      </c>
      <c r="F45" s="20">
        <v>20.399999999999999</v>
      </c>
      <c r="G45" s="31">
        <v>17.431999999999999</v>
      </c>
      <c r="H45" s="31">
        <v>20.228000000000002</v>
      </c>
      <c r="I45" s="10">
        <v>0</v>
      </c>
      <c r="J45">
        <f t="shared" si="2"/>
        <v>0</v>
      </c>
    </row>
    <row r="46" spans="1:10">
      <c r="A46" t="s">
        <v>53</v>
      </c>
      <c r="B46" s="30">
        <v>42005</v>
      </c>
      <c r="C46" s="90" t="e">
        <f t="shared" ca="1" si="0"/>
        <v>#N/A</v>
      </c>
      <c r="D46" s="90" t="e">
        <f t="shared" ca="1" si="1"/>
        <v>#N/A</v>
      </c>
      <c r="E46" s="20">
        <v>18.2</v>
      </c>
      <c r="F46" s="20">
        <v>20.6</v>
      </c>
      <c r="G46" s="31">
        <v>17.965</v>
      </c>
      <c r="H46" s="31">
        <v>20.388999999999999</v>
      </c>
      <c r="I46" s="10">
        <v>0</v>
      </c>
      <c r="J46">
        <f t="shared" si="2"/>
        <v>0</v>
      </c>
    </row>
    <row r="47" spans="1:10">
      <c r="A47" t="s">
        <v>54</v>
      </c>
      <c r="B47" s="30">
        <v>42370</v>
      </c>
      <c r="C47" s="90" t="e">
        <f t="shared" ca="1" si="0"/>
        <v>#N/A</v>
      </c>
      <c r="D47" s="90" t="e">
        <f t="shared" ca="1" si="1"/>
        <v>#N/A</v>
      </c>
      <c r="E47" s="20">
        <v>17.8</v>
      </c>
      <c r="F47" s="20">
        <v>20.9</v>
      </c>
      <c r="G47" s="31">
        <v>17.616</v>
      </c>
      <c r="H47" s="31">
        <v>20.768000000000001</v>
      </c>
      <c r="I47" s="10">
        <v>0</v>
      </c>
      <c r="J47">
        <f t="shared" si="2"/>
        <v>0</v>
      </c>
    </row>
    <row r="48" spans="1:10">
      <c r="A48" t="s">
        <v>55</v>
      </c>
      <c r="B48" s="30">
        <v>42736</v>
      </c>
      <c r="C48" s="90" t="e">
        <f t="shared" ca="1" si="0"/>
        <v>#N/A</v>
      </c>
      <c r="D48" s="90" t="e">
        <f t="shared" ca="1" si="1"/>
        <v>#N/A</v>
      </c>
      <c r="E48" s="20">
        <v>17.3</v>
      </c>
      <c r="F48" s="20">
        <v>20.8</v>
      </c>
      <c r="G48" s="31">
        <v>17.207000000000001</v>
      </c>
      <c r="H48" s="31">
        <v>20.66</v>
      </c>
      <c r="I48" s="10">
        <v>0</v>
      </c>
      <c r="J48">
        <f t="shared" si="2"/>
        <v>0</v>
      </c>
    </row>
    <row r="49" spans="1:10">
      <c r="A49" t="s">
        <v>56</v>
      </c>
      <c r="B49" s="30">
        <v>43101</v>
      </c>
      <c r="C49" s="90">
        <f t="shared" ca="1" si="0"/>
        <v>16.399999999999999</v>
      </c>
      <c r="D49" s="90">
        <f t="shared" ca="1" si="1"/>
        <v>20.3</v>
      </c>
      <c r="E49" s="20">
        <v>16.399999999999999</v>
      </c>
      <c r="F49" s="20">
        <v>20.3</v>
      </c>
      <c r="G49" s="31">
        <v>16.449000000000002</v>
      </c>
      <c r="H49" s="31">
        <v>20.298999999999999</v>
      </c>
      <c r="I49" s="10">
        <v>0</v>
      </c>
      <c r="J49">
        <f t="shared" si="2"/>
        <v>0</v>
      </c>
    </row>
    <row r="50" spans="1:10">
      <c r="A50" t="s">
        <v>57</v>
      </c>
      <c r="B50" s="30">
        <v>43466</v>
      </c>
      <c r="C50" s="90">
        <f t="shared" ca="1" si="0"/>
        <v>16.5</v>
      </c>
      <c r="D50" s="90">
        <f t="shared" ca="1" si="1"/>
        <v>20.8</v>
      </c>
      <c r="E50" s="20">
        <v>16.5</v>
      </c>
      <c r="F50" s="20">
        <v>20.8</v>
      </c>
      <c r="G50" s="31" t="e">
        <v>#N/A</v>
      </c>
      <c r="H50" s="31" t="e">
        <v>#N/A</v>
      </c>
      <c r="I50" s="10">
        <v>0</v>
      </c>
      <c r="J50">
        <f t="shared" si="2"/>
        <v>0</v>
      </c>
    </row>
    <row r="51" spans="1:10">
      <c r="A51" t="s">
        <v>58</v>
      </c>
      <c r="B51" s="30">
        <v>43831</v>
      </c>
      <c r="C51" s="90">
        <f t="shared" ca="1" si="0"/>
        <v>16.7</v>
      </c>
      <c r="D51" s="90">
        <f t="shared" ca="1" si="1"/>
        <v>20.7</v>
      </c>
      <c r="E51" s="20">
        <v>16.7</v>
      </c>
      <c r="F51" s="20">
        <v>20.7</v>
      </c>
      <c r="G51" s="31" t="e">
        <v>#N/A</v>
      </c>
      <c r="H51" s="31" t="e">
        <v>#N/A</v>
      </c>
      <c r="I51" s="10" t="e">
        <v>#N/A</v>
      </c>
      <c r="J51">
        <f t="shared" si="2"/>
        <v>0</v>
      </c>
    </row>
    <row r="52" spans="1:10">
      <c r="A52" t="s">
        <v>59</v>
      </c>
      <c r="B52" s="30">
        <v>44197</v>
      </c>
      <c r="C52" s="90">
        <f t="shared" ca="1" si="0"/>
        <v>16.7</v>
      </c>
      <c r="D52" s="90">
        <f t="shared" ca="1" si="1"/>
        <v>21</v>
      </c>
      <c r="E52" s="20">
        <v>16.7</v>
      </c>
      <c r="F52" s="20">
        <v>21</v>
      </c>
      <c r="G52" s="31" t="e">
        <v>#N/A</v>
      </c>
      <c r="H52" s="31" t="e">
        <v>#N/A</v>
      </c>
      <c r="I52" s="10" t="e">
        <v>#N/A</v>
      </c>
      <c r="J52">
        <f t="shared" si="2"/>
        <v>0</v>
      </c>
    </row>
    <row r="53" spans="1:10">
      <c r="A53" t="s">
        <v>60</v>
      </c>
      <c r="B53" s="30">
        <v>44562</v>
      </c>
      <c r="C53" s="90">
        <f t="shared" ca="1" si="0"/>
        <v>16.899999999999999</v>
      </c>
      <c r="D53" s="90">
        <f t="shared" ca="1" si="1"/>
        <v>21.6</v>
      </c>
      <c r="E53" s="20">
        <v>16.899999999999999</v>
      </c>
      <c r="F53" s="20">
        <v>21.6</v>
      </c>
      <c r="G53" s="31" t="e">
        <v>#N/A</v>
      </c>
      <c r="H53" s="31" t="e">
        <v>#N/A</v>
      </c>
      <c r="I53" s="10" t="e">
        <v>#N/A</v>
      </c>
      <c r="J53">
        <f t="shared" si="2"/>
        <v>0</v>
      </c>
    </row>
    <row r="54" spans="1:10">
      <c r="A54" t="s">
        <v>61</v>
      </c>
      <c r="B54" s="30">
        <v>44927</v>
      </c>
      <c r="C54" s="90">
        <f t="shared" ca="1" si="0"/>
        <v>17.100000000000001</v>
      </c>
      <c r="D54" s="90">
        <f t="shared" ca="1" si="1"/>
        <v>21.7</v>
      </c>
      <c r="E54" s="20">
        <v>17.100000000000001</v>
      </c>
      <c r="F54" s="20">
        <v>21.7</v>
      </c>
      <c r="G54" s="31" t="e">
        <v>#N/A</v>
      </c>
      <c r="H54" s="31" t="e">
        <v>#N/A</v>
      </c>
      <c r="I54" s="10" t="e">
        <v>#N/A</v>
      </c>
      <c r="J54">
        <f t="shared" si="2"/>
        <v>0</v>
      </c>
    </row>
    <row r="55" spans="1:10">
      <c r="A55" t="s">
        <v>62</v>
      </c>
      <c r="B55" s="30">
        <v>45292</v>
      </c>
      <c r="C55" s="90">
        <f t="shared" ca="1" si="0"/>
        <v>17.3</v>
      </c>
      <c r="D55" s="90">
        <f t="shared" ca="1" si="1"/>
        <v>21.6</v>
      </c>
      <c r="E55" s="20">
        <v>17.3</v>
      </c>
      <c r="F55" s="20">
        <v>21.6</v>
      </c>
      <c r="G55" s="31" t="e">
        <v>#N/A</v>
      </c>
      <c r="H55" s="31" t="e">
        <v>#N/A</v>
      </c>
      <c r="I55" s="10" t="e">
        <v>#N/A</v>
      </c>
      <c r="J55">
        <f t="shared" si="2"/>
        <v>0</v>
      </c>
    </row>
    <row r="56" spans="1:10">
      <c r="A56" t="s">
        <v>63</v>
      </c>
      <c r="B56" s="30">
        <v>45658</v>
      </c>
      <c r="C56" s="90">
        <f t="shared" ca="1" si="0"/>
        <v>17.399999999999999</v>
      </c>
      <c r="D56" s="90">
        <f t="shared" ca="1" si="1"/>
        <v>22</v>
      </c>
      <c r="E56" s="20">
        <v>17.399999999999999</v>
      </c>
      <c r="F56" s="20">
        <v>22</v>
      </c>
      <c r="G56" s="31" t="e">
        <v>#N/A</v>
      </c>
      <c r="H56" s="31" t="e">
        <v>#N/A</v>
      </c>
      <c r="I56" s="10" t="e">
        <v>#N/A</v>
      </c>
      <c r="J56">
        <f t="shared" si="2"/>
        <v>0</v>
      </c>
    </row>
    <row r="57" spans="1:10">
      <c r="A57" t="s">
        <v>64</v>
      </c>
      <c r="B57" s="30">
        <v>46023</v>
      </c>
      <c r="C57" s="90">
        <f t="shared" ca="1" si="0"/>
        <v>17.899999999999999</v>
      </c>
      <c r="D57" s="90">
        <f t="shared" ca="1" si="1"/>
        <v>22.3</v>
      </c>
      <c r="E57" s="20">
        <v>17.899999999999999</v>
      </c>
      <c r="F57" s="20">
        <v>22.3</v>
      </c>
      <c r="G57" s="31" t="e">
        <v>#N/A</v>
      </c>
      <c r="H57" s="31" t="e">
        <v>#N/A</v>
      </c>
      <c r="I57" s="10" t="e">
        <v>#N/A</v>
      </c>
      <c r="J57">
        <f t="shared" si="2"/>
        <v>0</v>
      </c>
    </row>
  </sheetData>
  <hyperlinks>
    <hyperlink ref="G4" r:id="rId1" xr:uid="{00000000-0004-0000-0700-000000000000}"/>
    <hyperlink ref="H4" r:id="rId2" xr:uid="{00000000-0004-0000-0700-000001000000}"/>
    <hyperlink ref="E4" r:id="rId3" xr:uid="{00000000-0004-0000-0700-000002000000}"/>
    <hyperlink ref="F4" r:id="rId4" xr:uid="{00000000-0004-0000-0700-000003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J56"/>
  <sheetViews>
    <sheetView topLeftCell="A19" zoomScale="70" zoomScaleNormal="70" workbookViewId="0">
      <selection activeCell="G4" sqref="G4"/>
    </sheetView>
  </sheetViews>
  <sheetFormatPr defaultRowHeight="15"/>
  <cols>
    <col min="3" max="3" width="64.85546875" bestFit="1" customWidth="1"/>
    <col min="4" max="4" width="60.85546875" bestFit="1" customWidth="1"/>
    <col min="8" max="8" width="9.140625" style="17"/>
    <col min="9" max="9" width="9.140625" customWidth="1"/>
    <col min="10" max="10" width="10" customWidth="1"/>
  </cols>
  <sheetData>
    <row r="1" spans="1:10">
      <c r="E1" s="87">
        <f ca="1">YEAR(TODAY())</f>
        <v>2019</v>
      </c>
      <c r="F1" t="s">
        <v>108</v>
      </c>
      <c r="G1">
        <v>2014</v>
      </c>
    </row>
    <row r="2" spans="1:10">
      <c r="C2" t="s">
        <v>306</v>
      </c>
    </row>
    <row r="3" spans="1:10">
      <c r="A3" s="8" t="s">
        <v>369</v>
      </c>
      <c r="B3" s="8" t="s">
        <v>313</v>
      </c>
      <c r="C3" s="7" t="s">
        <v>305</v>
      </c>
      <c r="D3" s="7" t="s">
        <v>307</v>
      </c>
      <c r="E3" s="7"/>
      <c r="F3" s="7"/>
      <c r="G3" s="85" t="s">
        <v>316</v>
      </c>
      <c r="I3" s="7"/>
      <c r="J3" s="7"/>
    </row>
    <row r="4" spans="1:10">
      <c r="A4" t="s">
        <v>7</v>
      </c>
      <c r="C4" t="s">
        <v>404</v>
      </c>
      <c r="D4" t="s">
        <v>405</v>
      </c>
      <c r="G4" t="s">
        <v>399</v>
      </c>
    </row>
    <row r="5" spans="1:10">
      <c r="A5" t="s">
        <v>10</v>
      </c>
      <c r="C5" t="s">
        <v>387</v>
      </c>
      <c r="D5" t="s">
        <v>387</v>
      </c>
      <c r="G5" t="s">
        <v>382</v>
      </c>
    </row>
    <row r="6" spans="1:10">
      <c r="A6" t="s">
        <v>11</v>
      </c>
      <c r="C6" t="s">
        <v>507</v>
      </c>
      <c r="D6" t="s">
        <v>511</v>
      </c>
      <c r="E6" t="s">
        <v>109</v>
      </c>
      <c r="F6" t="s">
        <v>110</v>
      </c>
      <c r="G6" t="s">
        <v>518</v>
      </c>
    </row>
    <row r="7" spans="1:10">
      <c r="A7" t="s">
        <v>15</v>
      </c>
      <c r="B7" s="30">
        <v>28126</v>
      </c>
      <c r="C7" s="77">
        <v>-2.6509999999999998</v>
      </c>
      <c r="D7" s="11">
        <v>-2.6</v>
      </c>
      <c r="E7" s="78">
        <f t="shared" ref="E7:E43" si="0">IF(YEAR(B7)&gt;2015, #N/A, C7)</f>
        <v>-2.6509999999999998</v>
      </c>
      <c r="F7" s="78" t="e">
        <f ca="1">IF(YEAR(B7)&lt;$E$1-1,#N/A,D7)</f>
        <v>#N/A</v>
      </c>
      <c r="G7" s="10">
        <v>0</v>
      </c>
      <c r="H7" s="17">
        <f>IFERROR(IF(G7&gt;0, 1, 0), 0)</f>
        <v>0</v>
      </c>
      <c r="I7" s="11"/>
      <c r="J7" s="11"/>
    </row>
    <row r="8" spans="1:10">
      <c r="A8" t="s">
        <v>16</v>
      </c>
      <c r="B8" s="30">
        <v>28491</v>
      </c>
      <c r="C8" s="77">
        <v>-2.6030000000000002</v>
      </c>
      <c r="D8" s="11">
        <v>-2.6</v>
      </c>
      <c r="E8" s="78">
        <f t="shared" si="0"/>
        <v>-2.6030000000000002</v>
      </c>
      <c r="F8" s="78" t="e">
        <f t="shared" ref="F8:F56" ca="1" si="1">IF(YEAR(B8)&lt;$E$1-1,#N/A,D8)</f>
        <v>#N/A</v>
      </c>
      <c r="G8" s="10">
        <v>0</v>
      </c>
      <c r="H8" s="17">
        <f t="shared" ref="H8:H56" si="2">IFERROR(IF(G8&gt;0, 1, 0), 0)</f>
        <v>0</v>
      </c>
      <c r="I8" s="11"/>
      <c r="J8" s="11"/>
    </row>
    <row r="9" spans="1:10">
      <c r="A9" t="s">
        <v>17</v>
      </c>
      <c r="B9" s="30">
        <v>28856</v>
      </c>
      <c r="C9" s="77">
        <v>-1.587</v>
      </c>
      <c r="D9" s="11">
        <v>-1.6</v>
      </c>
      <c r="E9" s="78">
        <f t="shared" si="0"/>
        <v>-1.587</v>
      </c>
      <c r="F9" s="78" t="e">
        <f t="shared" ca="1" si="1"/>
        <v>#N/A</v>
      </c>
      <c r="G9" s="10">
        <v>0</v>
      </c>
      <c r="H9" s="17">
        <f t="shared" si="2"/>
        <v>0</v>
      </c>
      <c r="I9" s="11"/>
      <c r="J9" s="11"/>
    </row>
    <row r="10" spans="1:10">
      <c r="A10" t="s">
        <v>18</v>
      </c>
      <c r="B10" s="30">
        <v>29221</v>
      </c>
      <c r="C10" s="77">
        <v>-2.6440000000000001</v>
      </c>
      <c r="D10" s="11">
        <v>-2.6</v>
      </c>
      <c r="E10" s="78">
        <f t="shared" si="0"/>
        <v>-2.6440000000000001</v>
      </c>
      <c r="F10" s="78" t="e">
        <f t="shared" ca="1" si="1"/>
        <v>#N/A</v>
      </c>
      <c r="G10" s="10">
        <v>2</v>
      </c>
      <c r="H10" s="17">
        <f t="shared" si="2"/>
        <v>1</v>
      </c>
      <c r="I10" s="11"/>
      <c r="J10" s="11"/>
    </row>
    <row r="11" spans="1:10">
      <c r="A11" t="s">
        <v>19</v>
      </c>
      <c r="B11" s="30">
        <v>29587</v>
      </c>
      <c r="C11" s="77">
        <v>-2.52</v>
      </c>
      <c r="D11" s="11">
        <v>-2.5</v>
      </c>
      <c r="E11" s="78">
        <f t="shared" si="0"/>
        <v>-2.52</v>
      </c>
      <c r="F11" s="78" t="e">
        <f t="shared" ca="1" si="1"/>
        <v>#N/A</v>
      </c>
      <c r="G11" s="10">
        <v>1</v>
      </c>
      <c r="H11" s="17">
        <f t="shared" si="2"/>
        <v>1</v>
      </c>
      <c r="I11" s="11"/>
      <c r="J11" s="11"/>
    </row>
    <row r="12" spans="1:10">
      <c r="A12" t="s">
        <v>20</v>
      </c>
      <c r="B12" s="30">
        <v>29952</v>
      </c>
      <c r="C12" s="77">
        <v>-3.8620000000000001</v>
      </c>
      <c r="D12" s="11">
        <v>-3.9</v>
      </c>
      <c r="E12" s="78">
        <f t="shared" si="0"/>
        <v>-3.8620000000000001</v>
      </c>
      <c r="F12" s="78" t="e">
        <f t="shared" ca="1" si="1"/>
        <v>#N/A</v>
      </c>
      <c r="G12" s="10">
        <v>4</v>
      </c>
      <c r="H12" s="17">
        <f t="shared" si="2"/>
        <v>1</v>
      </c>
      <c r="I12" s="11"/>
      <c r="J12" s="11"/>
    </row>
    <row r="13" spans="1:10">
      <c r="A13" t="s">
        <v>21</v>
      </c>
      <c r="B13" s="30">
        <v>30317</v>
      </c>
      <c r="C13" s="77">
        <v>-5.8769999999999998</v>
      </c>
      <c r="D13" s="11">
        <v>-5.9</v>
      </c>
      <c r="E13" s="78">
        <f t="shared" si="0"/>
        <v>-5.8769999999999998</v>
      </c>
      <c r="F13" s="78" t="e">
        <f t="shared" ca="1" si="1"/>
        <v>#N/A</v>
      </c>
      <c r="G13" s="10">
        <v>0</v>
      </c>
      <c r="H13" s="17">
        <f t="shared" si="2"/>
        <v>0</v>
      </c>
      <c r="I13" s="11"/>
      <c r="J13" s="11"/>
    </row>
    <row r="14" spans="1:10">
      <c r="A14" t="s">
        <v>22</v>
      </c>
      <c r="B14" s="30">
        <v>30682</v>
      </c>
      <c r="C14" s="77">
        <v>-4.694</v>
      </c>
      <c r="D14" s="11">
        <v>-4.7</v>
      </c>
      <c r="E14" s="78">
        <f t="shared" si="0"/>
        <v>-4.694</v>
      </c>
      <c r="F14" s="78" t="e">
        <f t="shared" ca="1" si="1"/>
        <v>#N/A</v>
      </c>
      <c r="G14" s="10">
        <v>0</v>
      </c>
      <c r="H14" s="17">
        <f t="shared" si="2"/>
        <v>0</v>
      </c>
      <c r="I14" s="11"/>
      <c r="J14" s="11"/>
    </row>
    <row r="15" spans="1:10">
      <c r="A15" t="s">
        <v>23</v>
      </c>
      <c r="B15" s="30">
        <v>31048</v>
      </c>
      <c r="C15" s="77">
        <v>-4.9779999999999998</v>
      </c>
      <c r="D15" s="11">
        <v>-5</v>
      </c>
      <c r="E15" s="78">
        <f t="shared" si="0"/>
        <v>-4.9779999999999998</v>
      </c>
      <c r="F15" s="78" t="e">
        <f t="shared" ca="1" si="1"/>
        <v>#N/A</v>
      </c>
      <c r="G15" s="10">
        <v>0</v>
      </c>
      <c r="H15" s="17">
        <f t="shared" si="2"/>
        <v>0</v>
      </c>
      <c r="I15" s="11"/>
      <c r="J15" s="11"/>
    </row>
    <row r="16" spans="1:10">
      <c r="A16" t="s">
        <v>24</v>
      </c>
      <c r="B16" s="30">
        <v>31413</v>
      </c>
      <c r="C16" s="77">
        <v>-4.8879999999999999</v>
      </c>
      <c r="D16" s="11">
        <v>-4.9000000000000004</v>
      </c>
      <c r="E16" s="78">
        <f t="shared" si="0"/>
        <v>-4.8879999999999999</v>
      </c>
      <c r="F16" s="78" t="e">
        <f t="shared" ca="1" si="1"/>
        <v>#N/A</v>
      </c>
      <c r="G16" s="10">
        <v>0</v>
      </c>
      <c r="H16" s="17">
        <f t="shared" si="2"/>
        <v>0</v>
      </c>
      <c r="I16" s="11"/>
      <c r="J16" s="11"/>
    </row>
    <row r="17" spans="1:10">
      <c r="A17" t="s">
        <v>25</v>
      </c>
      <c r="B17" s="30">
        <v>31778</v>
      </c>
      <c r="C17" s="77">
        <v>-3.141</v>
      </c>
      <c r="D17" s="11">
        <v>-3.1</v>
      </c>
      <c r="E17" s="78">
        <f t="shared" si="0"/>
        <v>-3.141</v>
      </c>
      <c r="F17" s="78" t="e">
        <f t="shared" ca="1" si="1"/>
        <v>#N/A</v>
      </c>
      <c r="G17" s="10">
        <v>0</v>
      </c>
      <c r="H17" s="17">
        <f t="shared" si="2"/>
        <v>0</v>
      </c>
      <c r="I17" s="11"/>
      <c r="J17" s="11"/>
    </row>
    <row r="18" spans="1:10">
      <c r="A18" t="s">
        <v>26</v>
      </c>
      <c r="B18" s="30">
        <v>32143</v>
      </c>
      <c r="C18" s="77">
        <v>-3.02</v>
      </c>
      <c r="D18" s="11">
        <v>-3</v>
      </c>
      <c r="E18" s="78">
        <f t="shared" si="0"/>
        <v>-3.02</v>
      </c>
      <c r="F18" s="78" t="e">
        <f t="shared" ca="1" si="1"/>
        <v>#N/A</v>
      </c>
      <c r="G18" s="10">
        <v>0</v>
      </c>
      <c r="H18" s="17">
        <f t="shared" si="2"/>
        <v>0</v>
      </c>
      <c r="I18" s="11"/>
      <c r="J18" s="11"/>
    </row>
    <row r="19" spans="1:10">
      <c r="A19" t="s">
        <v>27</v>
      </c>
      <c r="B19" s="30">
        <v>32509</v>
      </c>
      <c r="C19" s="77">
        <v>-2.7480000000000002</v>
      </c>
      <c r="D19" s="11">
        <v>-2.7</v>
      </c>
      <c r="E19" s="78">
        <f t="shared" si="0"/>
        <v>-2.7480000000000002</v>
      </c>
      <c r="F19" s="78" t="e">
        <f t="shared" ca="1" si="1"/>
        <v>#N/A</v>
      </c>
      <c r="G19" s="10">
        <v>0</v>
      </c>
      <c r="H19" s="17">
        <f t="shared" si="2"/>
        <v>0</v>
      </c>
      <c r="I19" s="11"/>
      <c r="J19" s="11"/>
    </row>
    <row r="20" spans="1:10">
      <c r="A20" t="s">
        <v>28</v>
      </c>
      <c r="B20" s="30">
        <v>32874</v>
      </c>
      <c r="C20" s="77">
        <v>-3.7469999999999999</v>
      </c>
      <c r="D20" s="11">
        <v>-3.7</v>
      </c>
      <c r="E20" s="78">
        <f t="shared" si="0"/>
        <v>-3.7469999999999999</v>
      </c>
      <c r="F20" s="78" t="e">
        <f t="shared" ca="1" si="1"/>
        <v>#N/A</v>
      </c>
      <c r="G20" s="10">
        <v>1</v>
      </c>
      <c r="H20" s="17">
        <f t="shared" si="2"/>
        <v>1</v>
      </c>
      <c r="I20" s="11"/>
      <c r="J20" s="11"/>
    </row>
    <row r="21" spans="1:10">
      <c r="A21" t="s">
        <v>29</v>
      </c>
      <c r="B21" s="30">
        <v>33239</v>
      </c>
      <c r="C21" s="77">
        <v>-4.4189999999999996</v>
      </c>
      <c r="D21" s="11">
        <v>-4.4000000000000004</v>
      </c>
      <c r="E21" s="78">
        <f t="shared" si="0"/>
        <v>-4.4189999999999996</v>
      </c>
      <c r="F21" s="78" t="e">
        <f t="shared" ca="1" si="1"/>
        <v>#N/A</v>
      </c>
      <c r="G21" s="10">
        <v>1</v>
      </c>
      <c r="H21" s="17">
        <f t="shared" si="2"/>
        <v>1</v>
      </c>
      <c r="I21" s="11"/>
      <c r="J21" s="11"/>
    </row>
    <row r="22" spans="1:10">
      <c r="A22" t="s">
        <v>30</v>
      </c>
      <c r="B22" s="30">
        <v>33604</v>
      </c>
      <c r="C22" s="77">
        <v>-4.5250000000000004</v>
      </c>
      <c r="D22" s="11">
        <v>-4.5</v>
      </c>
      <c r="E22" s="78">
        <f t="shared" si="0"/>
        <v>-4.5250000000000004</v>
      </c>
      <c r="F22" s="78" t="e">
        <f t="shared" ca="1" si="1"/>
        <v>#N/A</v>
      </c>
      <c r="G22" s="10">
        <v>0</v>
      </c>
      <c r="H22" s="17">
        <f t="shared" si="2"/>
        <v>0</v>
      </c>
      <c r="I22" s="11"/>
      <c r="J22" s="11"/>
    </row>
    <row r="23" spans="1:10">
      <c r="A23" t="s">
        <v>31</v>
      </c>
      <c r="B23" s="30">
        <v>33970</v>
      </c>
      <c r="C23" s="77">
        <v>-3.7639999999999998</v>
      </c>
      <c r="D23" s="11">
        <v>-3.8</v>
      </c>
      <c r="E23" s="78">
        <f t="shared" si="0"/>
        <v>-3.7639999999999998</v>
      </c>
      <c r="F23" s="78" t="e">
        <f t="shared" ca="1" si="1"/>
        <v>#N/A</v>
      </c>
      <c r="G23" s="10">
        <v>0</v>
      </c>
      <c r="H23" s="17">
        <f t="shared" si="2"/>
        <v>0</v>
      </c>
      <c r="I23" s="11"/>
      <c r="J23" s="11"/>
    </row>
    <row r="24" spans="1:10">
      <c r="A24" t="s">
        <v>32</v>
      </c>
      <c r="B24" s="30">
        <v>34335</v>
      </c>
      <c r="C24" s="77">
        <v>-2.831</v>
      </c>
      <c r="D24" s="11">
        <v>-2.8</v>
      </c>
      <c r="E24" s="78">
        <f t="shared" si="0"/>
        <v>-2.831</v>
      </c>
      <c r="F24" s="78" t="e">
        <f t="shared" ca="1" si="1"/>
        <v>#N/A</v>
      </c>
      <c r="G24" s="10">
        <v>0</v>
      </c>
      <c r="H24" s="17">
        <f t="shared" si="2"/>
        <v>0</v>
      </c>
      <c r="I24" s="11"/>
      <c r="J24" s="11"/>
    </row>
    <row r="25" spans="1:10">
      <c r="A25" t="s">
        <v>33</v>
      </c>
      <c r="B25" s="30">
        <v>34700</v>
      </c>
      <c r="C25" s="77">
        <v>-2.169</v>
      </c>
      <c r="D25" s="11">
        <v>-2.2000000000000002</v>
      </c>
      <c r="E25" s="78">
        <f t="shared" si="0"/>
        <v>-2.169</v>
      </c>
      <c r="F25" s="78" t="e">
        <f t="shared" ca="1" si="1"/>
        <v>#N/A</v>
      </c>
      <c r="G25" s="10">
        <v>0</v>
      </c>
      <c r="H25" s="17">
        <f t="shared" si="2"/>
        <v>0</v>
      </c>
      <c r="I25" s="11"/>
      <c r="J25" s="11"/>
    </row>
    <row r="26" spans="1:10">
      <c r="A26" t="s">
        <v>34</v>
      </c>
      <c r="B26" s="30">
        <v>35065</v>
      </c>
      <c r="C26" s="77">
        <v>-1.351</v>
      </c>
      <c r="D26" s="11">
        <v>-1.3</v>
      </c>
      <c r="E26" s="78">
        <f t="shared" si="0"/>
        <v>-1.351</v>
      </c>
      <c r="F26" s="78" t="e">
        <f t="shared" ca="1" si="1"/>
        <v>#N/A</v>
      </c>
      <c r="G26" s="10">
        <v>0</v>
      </c>
      <c r="H26" s="17">
        <f t="shared" si="2"/>
        <v>0</v>
      </c>
      <c r="I26" s="11"/>
      <c r="J26" s="11"/>
    </row>
    <row r="27" spans="1:10">
      <c r="A27" t="s">
        <v>35</v>
      </c>
      <c r="B27" s="30">
        <v>35431</v>
      </c>
      <c r="C27" s="77">
        <v>-0.25900000000000001</v>
      </c>
      <c r="D27" s="11">
        <v>-0.3</v>
      </c>
      <c r="E27" s="78">
        <f t="shared" si="0"/>
        <v>-0.25900000000000001</v>
      </c>
      <c r="F27" s="78" t="e">
        <f t="shared" ca="1" si="1"/>
        <v>#N/A</v>
      </c>
      <c r="G27" s="10">
        <v>0</v>
      </c>
      <c r="H27" s="17">
        <f t="shared" si="2"/>
        <v>0</v>
      </c>
      <c r="I27" s="11"/>
      <c r="J27" s="11"/>
    </row>
    <row r="28" spans="1:10">
      <c r="A28" t="s">
        <v>36</v>
      </c>
      <c r="B28" s="30">
        <v>35796</v>
      </c>
      <c r="C28" s="77">
        <v>0.77600000000000002</v>
      </c>
      <c r="D28" s="11">
        <v>0.8</v>
      </c>
      <c r="E28" s="78">
        <f t="shared" si="0"/>
        <v>0.77600000000000002</v>
      </c>
      <c r="F28" s="78" t="e">
        <f t="shared" ca="1" si="1"/>
        <v>#N/A</v>
      </c>
      <c r="G28" s="10">
        <v>0</v>
      </c>
      <c r="H28" s="17">
        <f t="shared" si="2"/>
        <v>0</v>
      </c>
      <c r="I28" s="11"/>
      <c r="J28" s="11"/>
    </row>
    <row r="29" spans="1:10">
      <c r="A29" t="s">
        <v>37</v>
      </c>
      <c r="B29" s="30">
        <v>36161</v>
      </c>
      <c r="C29" s="77">
        <v>1.325</v>
      </c>
      <c r="D29" s="11">
        <v>1.3</v>
      </c>
      <c r="E29" s="78">
        <f t="shared" si="0"/>
        <v>1.325</v>
      </c>
      <c r="F29" s="78" t="e">
        <f t="shared" ca="1" si="1"/>
        <v>#N/A</v>
      </c>
      <c r="G29" s="10">
        <v>0</v>
      </c>
      <c r="H29" s="17">
        <f t="shared" si="2"/>
        <v>0</v>
      </c>
      <c r="I29" s="11"/>
      <c r="J29" s="11"/>
    </row>
    <row r="30" spans="1:10">
      <c r="A30" t="s">
        <v>38</v>
      </c>
      <c r="B30" s="30">
        <v>36526</v>
      </c>
      <c r="C30" s="77">
        <v>2.335</v>
      </c>
      <c r="D30" s="11">
        <v>2.2999999999999998</v>
      </c>
      <c r="E30" s="78">
        <f t="shared" si="0"/>
        <v>2.335</v>
      </c>
      <c r="F30" s="78" t="e">
        <f t="shared" ca="1" si="1"/>
        <v>#N/A</v>
      </c>
      <c r="G30" s="10">
        <v>0</v>
      </c>
      <c r="H30" s="17">
        <f t="shared" si="2"/>
        <v>0</v>
      </c>
      <c r="I30" s="11"/>
      <c r="J30" s="11"/>
    </row>
    <row r="31" spans="1:10">
      <c r="A31" t="s">
        <v>39</v>
      </c>
      <c r="B31" s="30">
        <v>36892</v>
      </c>
      <c r="C31" s="77">
        <v>1.218</v>
      </c>
      <c r="D31" s="11">
        <v>1.2</v>
      </c>
      <c r="E31" s="78">
        <f t="shared" si="0"/>
        <v>1.218</v>
      </c>
      <c r="F31" s="78" t="e">
        <f t="shared" ca="1" si="1"/>
        <v>#N/A</v>
      </c>
      <c r="G31" s="10">
        <v>3</v>
      </c>
      <c r="H31" s="17">
        <f t="shared" si="2"/>
        <v>1</v>
      </c>
      <c r="I31" s="11"/>
      <c r="J31" s="11"/>
    </row>
    <row r="32" spans="1:10">
      <c r="A32" t="s">
        <v>40</v>
      </c>
      <c r="B32" s="30">
        <v>37257</v>
      </c>
      <c r="C32" s="77">
        <v>-1.456</v>
      </c>
      <c r="D32" s="11">
        <v>-1.5</v>
      </c>
      <c r="E32" s="78">
        <f t="shared" si="0"/>
        <v>-1.456</v>
      </c>
      <c r="F32" s="78" t="e">
        <f t="shared" ca="1" si="1"/>
        <v>#N/A</v>
      </c>
      <c r="G32" s="10">
        <v>0</v>
      </c>
      <c r="H32" s="17">
        <f t="shared" si="2"/>
        <v>0</v>
      </c>
      <c r="I32" s="11"/>
      <c r="J32" s="11"/>
    </row>
    <row r="33" spans="1:10">
      <c r="A33" t="s">
        <v>41</v>
      </c>
      <c r="B33" s="30">
        <v>37622</v>
      </c>
      <c r="C33" s="77">
        <v>-3.3460000000000001</v>
      </c>
      <c r="D33" s="11">
        <v>-3.3</v>
      </c>
      <c r="E33" s="78">
        <f t="shared" si="0"/>
        <v>-3.3460000000000001</v>
      </c>
      <c r="F33" s="78" t="e">
        <f t="shared" ca="1" si="1"/>
        <v>#N/A</v>
      </c>
      <c r="G33" s="10">
        <v>0</v>
      </c>
      <c r="H33" s="17">
        <f t="shared" si="2"/>
        <v>0</v>
      </c>
      <c r="I33" s="11"/>
      <c r="J33" s="11"/>
    </row>
    <row r="34" spans="1:10">
      <c r="A34" t="s">
        <v>42</v>
      </c>
      <c r="B34" s="30">
        <v>37987</v>
      </c>
      <c r="C34" s="77">
        <v>-3.4319999999999999</v>
      </c>
      <c r="D34" s="11">
        <v>-3.4</v>
      </c>
      <c r="E34" s="78">
        <f t="shared" si="0"/>
        <v>-3.4319999999999999</v>
      </c>
      <c r="F34" s="78" t="e">
        <f t="shared" ca="1" si="1"/>
        <v>#N/A</v>
      </c>
      <c r="G34" s="10">
        <v>0</v>
      </c>
      <c r="H34" s="17">
        <f t="shared" si="2"/>
        <v>0</v>
      </c>
      <c r="I34" s="11"/>
      <c r="J34" s="11"/>
    </row>
    <row r="35" spans="1:10">
      <c r="A35" t="s">
        <v>43</v>
      </c>
      <c r="B35" s="30">
        <v>38353</v>
      </c>
      <c r="C35" s="77">
        <v>-2.48</v>
      </c>
      <c r="D35" s="11">
        <v>-2.5</v>
      </c>
      <c r="E35" s="78">
        <f t="shared" si="0"/>
        <v>-2.48</v>
      </c>
      <c r="F35" s="78" t="e">
        <f t="shared" ca="1" si="1"/>
        <v>#N/A</v>
      </c>
      <c r="G35" s="10">
        <v>0</v>
      </c>
      <c r="H35" s="17">
        <f t="shared" si="2"/>
        <v>0</v>
      </c>
      <c r="I35" s="11"/>
      <c r="J35" s="11"/>
    </row>
    <row r="36" spans="1:10">
      <c r="A36" t="s">
        <v>44</v>
      </c>
      <c r="B36" s="30">
        <v>38718</v>
      </c>
      <c r="C36" s="77">
        <v>-1.82</v>
      </c>
      <c r="D36" s="11">
        <v>-1.8</v>
      </c>
      <c r="E36" s="78">
        <f t="shared" si="0"/>
        <v>-1.82</v>
      </c>
      <c r="F36" s="78" t="e">
        <f t="shared" ca="1" si="1"/>
        <v>#N/A</v>
      </c>
      <c r="G36" s="10">
        <v>0</v>
      </c>
      <c r="H36" s="17">
        <f t="shared" si="2"/>
        <v>0</v>
      </c>
      <c r="I36" s="11"/>
      <c r="J36" s="11"/>
    </row>
    <row r="37" spans="1:10">
      <c r="A37" t="s">
        <v>45</v>
      </c>
      <c r="B37" s="30">
        <v>39083</v>
      </c>
      <c r="C37" s="77">
        <v>-1.125</v>
      </c>
      <c r="D37" s="11">
        <v>-1.1000000000000001</v>
      </c>
      <c r="E37" s="78">
        <f t="shared" si="0"/>
        <v>-1.125</v>
      </c>
      <c r="F37" s="78" t="e">
        <f t="shared" ca="1" si="1"/>
        <v>#N/A</v>
      </c>
      <c r="G37" s="10">
        <v>0</v>
      </c>
      <c r="H37" s="17">
        <f t="shared" si="2"/>
        <v>0</v>
      </c>
      <c r="I37" s="11"/>
      <c r="J37" s="11"/>
    </row>
    <row r="38" spans="1:10">
      <c r="A38" t="s">
        <v>46</v>
      </c>
      <c r="B38" s="30">
        <v>39448</v>
      </c>
      <c r="C38" s="77">
        <v>-3.11</v>
      </c>
      <c r="D38" s="11">
        <v>-3.1</v>
      </c>
      <c r="E38" s="78">
        <f t="shared" si="0"/>
        <v>-3.11</v>
      </c>
      <c r="F38" s="78" t="e">
        <f t="shared" ca="1" si="1"/>
        <v>#N/A</v>
      </c>
      <c r="G38" s="10">
        <v>4</v>
      </c>
      <c r="H38" s="17">
        <f t="shared" si="2"/>
        <v>1</v>
      </c>
      <c r="I38" s="11"/>
      <c r="J38" s="11"/>
    </row>
    <row r="39" spans="1:10">
      <c r="A39" t="s">
        <v>47</v>
      </c>
      <c r="B39" s="30">
        <v>39814</v>
      </c>
      <c r="C39" s="77">
        <v>-9.7889999999999997</v>
      </c>
      <c r="D39" s="11">
        <v>-9.8000000000000007</v>
      </c>
      <c r="E39" s="78">
        <f t="shared" si="0"/>
        <v>-9.7889999999999997</v>
      </c>
      <c r="F39" s="78" t="e">
        <f t="shared" ca="1" si="1"/>
        <v>#N/A</v>
      </c>
      <c r="G39" s="10">
        <v>2</v>
      </c>
      <c r="H39" s="17">
        <f t="shared" si="2"/>
        <v>1</v>
      </c>
      <c r="I39" s="11"/>
      <c r="J39" s="11"/>
    </row>
    <row r="40" spans="1:10">
      <c r="A40" t="s">
        <v>48</v>
      </c>
      <c r="B40" s="30">
        <v>40179</v>
      </c>
      <c r="C40" s="77">
        <v>-8.7230000000000008</v>
      </c>
      <c r="D40" s="11">
        <v>-8.6999999999999993</v>
      </c>
      <c r="E40" s="78">
        <f t="shared" si="0"/>
        <v>-8.7230000000000008</v>
      </c>
      <c r="F40" s="78" t="e">
        <f t="shared" ca="1" si="1"/>
        <v>#N/A</v>
      </c>
      <c r="G40" s="10">
        <v>0</v>
      </c>
      <c r="H40" s="17">
        <f t="shared" si="2"/>
        <v>0</v>
      </c>
      <c r="I40" s="11"/>
      <c r="J40" s="11"/>
    </row>
    <row r="41" spans="1:10">
      <c r="A41" t="s">
        <v>49</v>
      </c>
      <c r="B41" s="30">
        <v>40544</v>
      </c>
      <c r="C41" s="77">
        <v>-8.4369999999999994</v>
      </c>
      <c r="D41" s="11">
        <v>-8.5</v>
      </c>
      <c r="E41" s="78">
        <f t="shared" si="0"/>
        <v>-8.4369999999999994</v>
      </c>
      <c r="F41" s="78" t="e">
        <f t="shared" ca="1" si="1"/>
        <v>#N/A</v>
      </c>
      <c r="G41" s="10">
        <v>0</v>
      </c>
      <c r="H41" s="17">
        <f t="shared" si="2"/>
        <v>0</v>
      </c>
      <c r="I41" s="11"/>
      <c r="J41" s="11"/>
    </row>
    <row r="42" spans="1:10">
      <c r="A42" t="s">
        <v>50</v>
      </c>
      <c r="B42" s="30">
        <v>40909</v>
      </c>
      <c r="C42" s="77">
        <v>-6.77</v>
      </c>
      <c r="D42" s="11">
        <v>-6.8</v>
      </c>
      <c r="E42" s="78">
        <f t="shared" si="0"/>
        <v>-6.77</v>
      </c>
      <c r="F42" s="78" t="e">
        <f t="shared" ca="1" si="1"/>
        <v>#N/A</v>
      </c>
      <c r="G42" s="10">
        <v>0</v>
      </c>
      <c r="H42" s="17">
        <f t="shared" si="2"/>
        <v>0</v>
      </c>
      <c r="I42" s="11"/>
      <c r="J42" s="11"/>
    </row>
    <row r="43" spans="1:10">
      <c r="A43" t="s">
        <v>51</v>
      </c>
      <c r="B43" s="30">
        <v>41275</v>
      </c>
      <c r="C43" s="77">
        <v>-4.093</v>
      </c>
      <c r="D43" s="11">
        <v>-4.0999999999999996</v>
      </c>
      <c r="E43" s="78">
        <f t="shared" si="0"/>
        <v>-4.093</v>
      </c>
      <c r="F43" s="78" t="e">
        <f t="shared" ca="1" si="1"/>
        <v>#N/A</v>
      </c>
      <c r="G43" s="10">
        <v>0</v>
      </c>
      <c r="H43" s="17">
        <f t="shared" si="2"/>
        <v>0</v>
      </c>
      <c r="I43" s="11"/>
      <c r="J43" s="11"/>
    </row>
    <row r="44" spans="1:10">
      <c r="A44" t="s">
        <v>52</v>
      </c>
      <c r="B44" s="30">
        <v>41640</v>
      </c>
      <c r="C44" s="77">
        <v>-2.7959999999999998</v>
      </c>
      <c r="D44" s="11">
        <v>-2.8</v>
      </c>
      <c r="E44" s="78">
        <f>IF(YEAR(B44)&gt;2015, #N/A, C44)</f>
        <v>-2.7959999999999998</v>
      </c>
      <c r="F44" s="78" t="e">
        <f t="shared" ca="1" si="1"/>
        <v>#N/A</v>
      </c>
      <c r="G44" s="10">
        <v>0</v>
      </c>
      <c r="H44" s="17">
        <f t="shared" si="2"/>
        <v>0</v>
      </c>
      <c r="I44" s="11"/>
      <c r="J44" s="11"/>
    </row>
    <row r="45" spans="1:10">
      <c r="A45" t="s">
        <v>53</v>
      </c>
      <c r="B45" s="30">
        <v>42005</v>
      </c>
      <c r="C45" s="77">
        <v>-2.4239999999999999</v>
      </c>
      <c r="D45" s="11">
        <v>-2.4</v>
      </c>
      <c r="E45" s="78">
        <f t="shared" ref="E45:E56" si="3">IF(YEAR(B45)&gt;2015, #N/A, C45)</f>
        <v>-2.4239999999999999</v>
      </c>
      <c r="F45" s="78" t="e">
        <f t="shared" ca="1" si="1"/>
        <v>#N/A</v>
      </c>
      <c r="G45" s="10">
        <v>0</v>
      </c>
      <c r="H45" s="17">
        <f t="shared" si="2"/>
        <v>0</v>
      </c>
      <c r="I45" s="11"/>
      <c r="J45" s="11"/>
    </row>
    <row r="46" spans="1:10">
      <c r="A46" t="s">
        <v>54</v>
      </c>
      <c r="B46" s="30">
        <v>42370</v>
      </c>
      <c r="C46" s="77">
        <v>-3.1520000000000001</v>
      </c>
      <c r="D46" s="11">
        <v>-3.2</v>
      </c>
      <c r="E46" s="78" t="e">
        <f t="shared" si="3"/>
        <v>#N/A</v>
      </c>
      <c r="F46" s="78" t="e">
        <f t="shared" ca="1" si="1"/>
        <v>#N/A</v>
      </c>
      <c r="G46" s="10">
        <v>0</v>
      </c>
      <c r="H46" s="17">
        <f t="shared" si="2"/>
        <v>0</v>
      </c>
      <c r="I46" s="11"/>
      <c r="J46" s="11"/>
    </row>
    <row r="47" spans="1:10">
      <c r="A47" t="s">
        <v>55</v>
      </c>
      <c r="B47" s="30">
        <v>42736</v>
      </c>
      <c r="C47" s="77">
        <v>-3.452</v>
      </c>
      <c r="D47" s="11">
        <v>-3.5</v>
      </c>
      <c r="E47" s="78" t="e">
        <f t="shared" si="3"/>
        <v>#N/A</v>
      </c>
      <c r="F47" s="78" t="e">
        <f t="shared" ca="1" si="1"/>
        <v>#N/A</v>
      </c>
      <c r="G47" s="10">
        <v>0</v>
      </c>
      <c r="H47" s="17">
        <f t="shared" si="2"/>
        <v>0</v>
      </c>
      <c r="I47" s="11"/>
      <c r="J47" s="11"/>
    </row>
    <row r="48" spans="1:10">
      <c r="A48" t="s">
        <v>56</v>
      </c>
      <c r="B48" s="30">
        <v>43101</v>
      </c>
      <c r="C48" s="77">
        <v>-3.85</v>
      </c>
      <c r="D48" s="11">
        <v>-3.8</v>
      </c>
      <c r="E48" s="78" t="e">
        <f t="shared" si="3"/>
        <v>#N/A</v>
      </c>
      <c r="F48" s="78">
        <f t="shared" ca="1" si="1"/>
        <v>-3.8</v>
      </c>
      <c r="G48" s="10">
        <v>0</v>
      </c>
      <c r="H48" s="17">
        <f t="shared" si="2"/>
        <v>0</v>
      </c>
      <c r="I48" s="11"/>
      <c r="J48" s="11"/>
    </row>
    <row r="49" spans="1:10">
      <c r="A49" t="s">
        <v>57</v>
      </c>
      <c r="B49" s="30">
        <v>43466</v>
      </c>
      <c r="C49" s="77" t="e">
        <v>#N/A</v>
      </c>
      <c r="D49" s="11">
        <v>-4.2</v>
      </c>
      <c r="E49" s="78" t="e">
        <f t="shared" si="3"/>
        <v>#N/A</v>
      </c>
      <c r="F49" s="78">
        <f t="shared" ca="1" si="1"/>
        <v>-4.2</v>
      </c>
      <c r="G49" s="10">
        <v>0</v>
      </c>
      <c r="H49" s="17">
        <f t="shared" si="2"/>
        <v>0</v>
      </c>
      <c r="I49" s="11"/>
      <c r="J49" s="11"/>
    </row>
    <row r="50" spans="1:10">
      <c r="A50" t="s">
        <v>58</v>
      </c>
      <c r="B50" s="30">
        <v>43831</v>
      </c>
      <c r="C50" s="77" t="e">
        <v>#N/A</v>
      </c>
      <c r="D50" s="11">
        <v>-4.0999999999999996</v>
      </c>
      <c r="E50" s="78" t="e">
        <f t="shared" si="3"/>
        <v>#N/A</v>
      </c>
      <c r="F50" s="78">
        <f t="shared" ca="1" si="1"/>
        <v>-4.0999999999999996</v>
      </c>
      <c r="G50" s="10" t="e">
        <v>#N/A</v>
      </c>
      <c r="H50" s="17">
        <f t="shared" si="2"/>
        <v>0</v>
      </c>
      <c r="I50" s="11"/>
      <c r="J50" s="11"/>
    </row>
    <row r="51" spans="1:10">
      <c r="A51" t="s">
        <v>59</v>
      </c>
      <c r="B51" s="30">
        <v>44197</v>
      </c>
      <c r="C51" s="77" t="e">
        <v>#N/A</v>
      </c>
      <c r="D51" s="11">
        <v>-4.2</v>
      </c>
      <c r="E51" s="78" t="e">
        <f t="shared" si="3"/>
        <v>#N/A</v>
      </c>
      <c r="F51" s="78">
        <f t="shared" ca="1" si="1"/>
        <v>-4.2</v>
      </c>
      <c r="G51" s="10" t="e">
        <v>#N/A</v>
      </c>
      <c r="H51" s="17">
        <f t="shared" si="2"/>
        <v>0</v>
      </c>
      <c r="I51" s="11"/>
      <c r="J51" s="11"/>
    </row>
    <row r="52" spans="1:10">
      <c r="A52" t="s">
        <v>60</v>
      </c>
      <c r="B52" s="30">
        <v>44562</v>
      </c>
      <c r="C52" s="77" t="e">
        <v>#N/A</v>
      </c>
      <c r="D52" s="11">
        <v>-4.7</v>
      </c>
      <c r="E52" s="78" t="e">
        <f t="shared" si="3"/>
        <v>#N/A</v>
      </c>
      <c r="F52" s="78">
        <f t="shared" ca="1" si="1"/>
        <v>-4.7</v>
      </c>
      <c r="G52" s="10" t="e">
        <v>#N/A</v>
      </c>
      <c r="H52" s="17">
        <f t="shared" si="2"/>
        <v>0</v>
      </c>
      <c r="I52" s="11"/>
      <c r="J52" s="11"/>
    </row>
    <row r="53" spans="1:10">
      <c r="A53" t="s">
        <v>61</v>
      </c>
      <c r="B53" s="30">
        <v>44927</v>
      </c>
      <c r="C53" s="77" t="e">
        <v>#N/A</v>
      </c>
      <c r="D53" s="11">
        <v>-4.5999999999999996</v>
      </c>
      <c r="E53" s="78" t="e">
        <f t="shared" si="3"/>
        <v>#N/A</v>
      </c>
      <c r="F53" s="78">
        <f t="shared" ca="1" si="1"/>
        <v>-4.5999999999999996</v>
      </c>
      <c r="G53" s="10" t="e">
        <v>#N/A</v>
      </c>
      <c r="H53" s="17">
        <f t="shared" si="2"/>
        <v>0</v>
      </c>
      <c r="I53" s="11"/>
      <c r="J53" s="11"/>
    </row>
    <row r="54" spans="1:10">
      <c r="A54" t="s">
        <v>62</v>
      </c>
      <c r="B54" s="30">
        <v>45292</v>
      </c>
      <c r="C54" s="77" t="e">
        <v>#N/A</v>
      </c>
      <c r="D54" s="11">
        <v>-4.3</v>
      </c>
      <c r="E54" s="78" t="e">
        <f t="shared" si="3"/>
        <v>#N/A</v>
      </c>
      <c r="F54" s="78">
        <f t="shared" ca="1" si="1"/>
        <v>-4.3</v>
      </c>
      <c r="G54" s="10" t="e">
        <v>#N/A</v>
      </c>
      <c r="H54" s="17">
        <f t="shared" si="2"/>
        <v>0</v>
      </c>
      <c r="I54" s="11"/>
      <c r="J54" s="11"/>
    </row>
    <row r="55" spans="1:10">
      <c r="A55" t="s">
        <v>63</v>
      </c>
      <c r="B55" s="30">
        <v>45658</v>
      </c>
      <c r="C55" s="77" t="e">
        <v>#N/A</v>
      </c>
      <c r="D55" s="11">
        <v>-4.5</v>
      </c>
      <c r="E55" s="78" t="e">
        <f t="shared" si="3"/>
        <v>#N/A</v>
      </c>
      <c r="F55" s="78">
        <f t="shared" ca="1" si="1"/>
        <v>-4.5</v>
      </c>
      <c r="G55" s="10" t="e">
        <v>#N/A</v>
      </c>
      <c r="H55" s="17">
        <f t="shared" si="2"/>
        <v>0</v>
      </c>
      <c r="I55" s="11"/>
      <c r="J55" s="11"/>
    </row>
    <row r="56" spans="1:10">
      <c r="A56" t="s">
        <v>64</v>
      </c>
      <c r="B56" s="30">
        <v>46023</v>
      </c>
      <c r="C56" s="77" t="e">
        <v>#N/A</v>
      </c>
      <c r="D56" s="11">
        <v>-4.4000000000000004</v>
      </c>
      <c r="E56" s="78" t="e">
        <f t="shared" si="3"/>
        <v>#N/A</v>
      </c>
      <c r="F56" s="78">
        <f t="shared" ca="1" si="1"/>
        <v>-4.4000000000000004</v>
      </c>
      <c r="G56" s="10" t="e">
        <v>#N/A</v>
      </c>
      <c r="H56" s="17">
        <f t="shared" si="2"/>
        <v>0</v>
      </c>
      <c r="I56" s="11"/>
      <c r="J56" s="11"/>
    </row>
  </sheetData>
  <hyperlinks>
    <hyperlink ref="D3" r:id="rId1" xr:uid="{00000000-0004-0000-0800-000000000000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87"/>
  <sheetViews>
    <sheetView workbookViewId="0">
      <selection activeCell="I12" sqref="I12"/>
    </sheetView>
  </sheetViews>
  <sheetFormatPr defaultRowHeight="15"/>
  <cols>
    <col min="3" max="3" width="22.28515625" customWidth="1"/>
    <col min="7" max="7" width="9.140625" style="17"/>
  </cols>
  <sheetData>
    <row r="1" spans="1:7">
      <c r="C1" t="s">
        <v>92</v>
      </c>
      <c r="E1" s="87">
        <f ca="1">YEAR(TODAY())</f>
        <v>2019</v>
      </c>
    </row>
    <row r="2" spans="1:7">
      <c r="A2" s="8" t="s">
        <v>369</v>
      </c>
      <c r="B2" s="8" t="s">
        <v>313</v>
      </c>
      <c r="C2" s="7" t="s">
        <v>93</v>
      </c>
      <c r="F2" s="85" t="s">
        <v>316</v>
      </c>
    </row>
    <row r="3" spans="1:7" ht="60">
      <c r="A3" t="s">
        <v>7</v>
      </c>
      <c r="C3" s="22" t="s">
        <v>406</v>
      </c>
      <c r="F3" t="s">
        <v>399</v>
      </c>
    </row>
    <row r="4" spans="1:7">
      <c r="A4" t="s">
        <v>10</v>
      </c>
      <c r="C4" t="s">
        <v>387</v>
      </c>
      <c r="F4" t="s">
        <v>382</v>
      </c>
    </row>
    <row r="5" spans="1:7">
      <c r="A5" t="s">
        <v>11</v>
      </c>
      <c r="C5" t="s">
        <v>511</v>
      </c>
      <c r="D5" t="s">
        <v>111</v>
      </c>
      <c r="E5" t="s">
        <v>112</v>
      </c>
      <c r="F5" t="s">
        <v>518</v>
      </c>
    </row>
    <row r="6" spans="1:7">
      <c r="A6" t="s">
        <v>15</v>
      </c>
      <c r="B6" s="30">
        <v>28126</v>
      </c>
      <c r="C6" s="11">
        <v>27.1</v>
      </c>
      <c r="D6" s="17">
        <f t="shared" ref="D6:D55" si="0">IF(YEAR(B6)&gt;2015, #N/A, C6)</f>
        <v>27.1</v>
      </c>
      <c r="E6" s="19" t="e">
        <f ca="1">IF(YEAR(B6)&lt;$E$1-1,#N/A,C6)</f>
        <v>#N/A</v>
      </c>
      <c r="F6" s="10">
        <v>0</v>
      </c>
      <c r="G6" s="17">
        <f>IFERROR(IF(F6&gt;0, 1, 0), 0)</f>
        <v>0</v>
      </c>
    </row>
    <row r="7" spans="1:7">
      <c r="A7" t="s">
        <v>16</v>
      </c>
      <c r="B7" s="30">
        <v>28491</v>
      </c>
      <c r="C7" s="11">
        <v>26.6</v>
      </c>
      <c r="D7" s="17">
        <f t="shared" si="0"/>
        <v>26.6</v>
      </c>
      <c r="E7" s="19" t="e">
        <f t="shared" ref="E7:E55" ca="1" si="1">IF(YEAR(B7)&lt;$E$1-1,#N/A,C7)</f>
        <v>#N/A</v>
      </c>
      <c r="F7" s="10">
        <v>0</v>
      </c>
      <c r="G7" s="17">
        <f t="shared" ref="G7:G55" si="2">IFERROR(IF(F7&gt;0, 1, 0), 0)</f>
        <v>0</v>
      </c>
    </row>
    <row r="8" spans="1:7">
      <c r="A8" t="s">
        <v>17</v>
      </c>
      <c r="B8" s="30">
        <v>28856</v>
      </c>
      <c r="C8" s="11">
        <v>24.9</v>
      </c>
      <c r="D8" s="17">
        <f t="shared" si="0"/>
        <v>24.9</v>
      </c>
      <c r="E8" s="19" t="e">
        <f t="shared" ca="1" si="1"/>
        <v>#N/A</v>
      </c>
      <c r="F8" s="10">
        <v>0</v>
      </c>
      <c r="G8" s="17">
        <f t="shared" si="2"/>
        <v>0</v>
      </c>
    </row>
    <row r="9" spans="1:7">
      <c r="A9" t="s">
        <v>18</v>
      </c>
      <c r="B9" s="30">
        <v>29221</v>
      </c>
      <c r="C9" s="11">
        <v>25.5</v>
      </c>
      <c r="D9" s="17">
        <f t="shared" si="0"/>
        <v>25.5</v>
      </c>
      <c r="E9" s="19" t="e">
        <f t="shared" ca="1" si="1"/>
        <v>#N/A</v>
      </c>
      <c r="F9" s="10">
        <v>2</v>
      </c>
      <c r="G9" s="17">
        <f t="shared" si="2"/>
        <v>1</v>
      </c>
    </row>
    <row r="10" spans="1:7">
      <c r="A10" t="s">
        <v>19</v>
      </c>
      <c r="B10" s="30">
        <v>29587</v>
      </c>
      <c r="C10" s="11">
        <v>25.2</v>
      </c>
      <c r="D10" s="17">
        <f t="shared" si="0"/>
        <v>25.2</v>
      </c>
      <c r="E10" s="19" t="e">
        <f t="shared" ca="1" si="1"/>
        <v>#N/A</v>
      </c>
      <c r="F10" s="10">
        <v>1</v>
      </c>
      <c r="G10" s="17">
        <f t="shared" si="2"/>
        <v>1</v>
      </c>
    </row>
    <row r="11" spans="1:7">
      <c r="A11" t="s">
        <v>20</v>
      </c>
      <c r="B11" s="30">
        <v>29952</v>
      </c>
      <c r="C11" s="11">
        <v>27.9</v>
      </c>
      <c r="D11" s="17">
        <f t="shared" si="0"/>
        <v>27.9</v>
      </c>
      <c r="E11" s="19" t="e">
        <f t="shared" ca="1" si="1"/>
        <v>#N/A</v>
      </c>
      <c r="F11" s="10">
        <v>4</v>
      </c>
      <c r="G11" s="17">
        <f t="shared" si="2"/>
        <v>1</v>
      </c>
    </row>
    <row r="12" spans="1:7">
      <c r="A12" t="s">
        <v>21</v>
      </c>
      <c r="B12" s="30">
        <v>30317</v>
      </c>
      <c r="C12" s="11">
        <v>32.1</v>
      </c>
      <c r="D12" s="17">
        <f t="shared" si="0"/>
        <v>32.1</v>
      </c>
      <c r="E12" s="19" t="e">
        <f t="shared" ca="1" si="1"/>
        <v>#N/A</v>
      </c>
      <c r="F12" s="10">
        <v>0</v>
      </c>
      <c r="G12" s="17">
        <f t="shared" si="2"/>
        <v>0</v>
      </c>
    </row>
    <row r="13" spans="1:7">
      <c r="A13" t="s">
        <v>22</v>
      </c>
      <c r="B13" s="30">
        <v>30682</v>
      </c>
      <c r="C13" s="11">
        <v>33.1</v>
      </c>
      <c r="D13" s="17">
        <f t="shared" si="0"/>
        <v>33.1</v>
      </c>
      <c r="E13" s="19" t="e">
        <f t="shared" ca="1" si="1"/>
        <v>#N/A</v>
      </c>
      <c r="F13" s="10">
        <v>0</v>
      </c>
      <c r="G13" s="17">
        <f t="shared" si="2"/>
        <v>0</v>
      </c>
    </row>
    <row r="14" spans="1:7">
      <c r="A14" t="s">
        <v>23</v>
      </c>
      <c r="B14" s="30">
        <v>31048</v>
      </c>
      <c r="C14" s="11">
        <v>35.299999999999997</v>
      </c>
      <c r="D14" s="17">
        <f t="shared" si="0"/>
        <v>35.299999999999997</v>
      </c>
      <c r="E14" s="19" t="e">
        <f t="shared" ca="1" si="1"/>
        <v>#N/A</v>
      </c>
      <c r="F14" s="10">
        <v>0</v>
      </c>
      <c r="G14" s="17">
        <f t="shared" si="2"/>
        <v>0</v>
      </c>
    </row>
    <row r="15" spans="1:7">
      <c r="A15" t="s">
        <v>24</v>
      </c>
      <c r="B15" s="30">
        <v>31413</v>
      </c>
      <c r="C15" s="11">
        <v>38.4</v>
      </c>
      <c r="D15" s="17">
        <f t="shared" si="0"/>
        <v>38.4</v>
      </c>
      <c r="E15" s="19" t="e">
        <f t="shared" ca="1" si="1"/>
        <v>#N/A</v>
      </c>
      <c r="F15" s="10">
        <v>0</v>
      </c>
      <c r="G15" s="17">
        <f t="shared" si="2"/>
        <v>0</v>
      </c>
    </row>
    <row r="16" spans="1:7">
      <c r="A16" t="s">
        <v>25</v>
      </c>
      <c r="B16" s="30">
        <v>31778</v>
      </c>
      <c r="C16" s="11">
        <v>39.5</v>
      </c>
      <c r="D16" s="17">
        <f t="shared" si="0"/>
        <v>39.5</v>
      </c>
      <c r="E16" s="19" t="e">
        <f t="shared" ca="1" si="1"/>
        <v>#N/A</v>
      </c>
      <c r="F16" s="10">
        <v>0</v>
      </c>
      <c r="G16" s="17">
        <f t="shared" si="2"/>
        <v>0</v>
      </c>
    </row>
    <row r="17" spans="1:7">
      <c r="A17" t="s">
        <v>26</v>
      </c>
      <c r="B17" s="30">
        <v>32143</v>
      </c>
      <c r="C17" s="11">
        <v>39.799999999999997</v>
      </c>
      <c r="D17" s="17">
        <f t="shared" si="0"/>
        <v>39.799999999999997</v>
      </c>
      <c r="E17" s="19" t="e">
        <f t="shared" ca="1" si="1"/>
        <v>#N/A</v>
      </c>
      <c r="F17" s="10">
        <v>0</v>
      </c>
      <c r="G17" s="17">
        <f t="shared" si="2"/>
        <v>0</v>
      </c>
    </row>
    <row r="18" spans="1:7">
      <c r="A18" t="s">
        <v>27</v>
      </c>
      <c r="B18" s="30">
        <v>32509</v>
      </c>
      <c r="C18" s="11">
        <v>39.299999999999997</v>
      </c>
      <c r="D18" s="17">
        <f t="shared" si="0"/>
        <v>39.299999999999997</v>
      </c>
      <c r="E18" s="19" t="e">
        <f t="shared" ca="1" si="1"/>
        <v>#N/A</v>
      </c>
      <c r="F18" s="10">
        <v>0</v>
      </c>
      <c r="G18" s="17">
        <f t="shared" si="2"/>
        <v>0</v>
      </c>
    </row>
    <row r="19" spans="1:7">
      <c r="A19" t="s">
        <v>28</v>
      </c>
      <c r="B19" s="30">
        <v>32874</v>
      </c>
      <c r="C19" s="11">
        <v>40.799999999999997</v>
      </c>
      <c r="D19" s="17">
        <f t="shared" si="0"/>
        <v>40.799999999999997</v>
      </c>
      <c r="E19" s="19" t="e">
        <f t="shared" ca="1" si="1"/>
        <v>#N/A</v>
      </c>
      <c r="F19" s="10">
        <v>1</v>
      </c>
      <c r="G19" s="17">
        <f t="shared" si="2"/>
        <v>1</v>
      </c>
    </row>
    <row r="20" spans="1:7">
      <c r="A20" t="s">
        <v>29</v>
      </c>
      <c r="B20" s="30">
        <v>33239</v>
      </c>
      <c r="C20" s="11">
        <v>44</v>
      </c>
      <c r="D20" s="17">
        <f t="shared" si="0"/>
        <v>44</v>
      </c>
      <c r="E20" s="19" t="e">
        <f t="shared" ca="1" si="1"/>
        <v>#N/A</v>
      </c>
      <c r="F20" s="10">
        <v>1</v>
      </c>
      <c r="G20" s="17">
        <f t="shared" si="2"/>
        <v>1</v>
      </c>
    </row>
    <row r="21" spans="1:7">
      <c r="A21" t="s">
        <v>30</v>
      </c>
      <c r="B21" s="30">
        <v>33604</v>
      </c>
      <c r="C21" s="11">
        <v>46.6</v>
      </c>
      <c r="D21" s="17">
        <f t="shared" si="0"/>
        <v>46.6</v>
      </c>
      <c r="E21" s="19" t="e">
        <f t="shared" ca="1" si="1"/>
        <v>#N/A</v>
      </c>
      <c r="F21" s="10">
        <v>0</v>
      </c>
      <c r="G21" s="17">
        <f t="shared" si="2"/>
        <v>0</v>
      </c>
    </row>
    <row r="22" spans="1:7">
      <c r="A22" t="s">
        <v>31</v>
      </c>
      <c r="B22" s="30">
        <v>33970</v>
      </c>
      <c r="C22" s="11">
        <v>47.8</v>
      </c>
      <c r="D22" s="17">
        <f t="shared" si="0"/>
        <v>47.8</v>
      </c>
      <c r="E22" s="19" t="e">
        <f t="shared" ca="1" si="1"/>
        <v>#N/A</v>
      </c>
      <c r="F22" s="10">
        <v>0</v>
      </c>
      <c r="G22" s="17">
        <f t="shared" si="2"/>
        <v>0</v>
      </c>
    </row>
    <row r="23" spans="1:7">
      <c r="A23" t="s">
        <v>32</v>
      </c>
      <c r="B23" s="30">
        <v>34335</v>
      </c>
      <c r="C23" s="11">
        <v>47.7</v>
      </c>
      <c r="D23" s="17">
        <f t="shared" si="0"/>
        <v>47.7</v>
      </c>
      <c r="E23" s="19" t="e">
        <f t="shared" ca="1" si="1"/>
        <v>#N/A</v>
      </c>
      <c r="F23" s="10">
        <v>0</v>
      </c>
      <c r="G23" s="17">
        <f t="shared" si="2"/>
        <v>0</v>
      </c>
    </row>
    <row r="24" spans="1:7">
      <c r="A24" t="s">
        <v>33</v>
      </c>
      <c r="B24" s="30">
        <v>34700</v>
      </c>
      <c r="C24" s="11">
        <v>47.5</v>
      </c>
      <c r="D24" s="17">
        <f t="shared" si="0"/>
        <v>47.5</v>
      </c>
      <c r="E24" s="19" t="e">
        <f t="shared" ca="1" si="1"/>
        <v>#N/A</v>
      </c>
      <c r="F24" s="10">
        <v>0</v>
      </c>
      <c r="G24" s="17">
        <f t="shared" si="2"/>
        <v>0</v>
      </c>
    </row>
    <row r="25" spans="1:7">
      <c r="A25" t="s">
        <v>34</v>
      </c>
      <c r="B25" s="30">
        <v>35065</v>
      </c>
      <c r="C25" s="11">
        <v>46.8</v>
      </c>
      <c r="D25" s="17">
        <f t="shared" si="0"/>
        <v>46.8</v>
      </c>
      <c r="E25" s="19" t="e">
        <f t="shared" ca="1" si="1"/>
        <v>#N/A</v>
      </c>
      <c r="F25" s="10">
        <v>0</v>
      </c>
      <c r="G25" s="17">
        <f t="shared" si="2"/>
        <v>0</v>
      </c>
    </row>
    <row r="26" spans="1:7">
      <c r="A26" t="s">
        <v>35</v>
      </c>
      <c r="B26" s="30">
        <v>35431</v>
      </c>
      <c r="C26" s="11">
        <v>44.5</v>
      </c>
      <c r="D26" s="17">
        <f t="shared" si="0"/>
        <v>44.5</v>
      </c>
      <c r="E26" s="19" t="e">
        <f t="shared" ca="1" si="1"/>
        <v>#N/A</v>
      </c>
      <c r="F26" s="10">
        <v>0</v>
      </c>
      <c r="G26" s="17">
        <f t="shared" si="2"/>
        <v>0</v>
      </c>
    </row>
    <row r="27" spans="1:7">
      <c r="A27" t="s">
        <v>36</v>
      </c>
      <c r="B27" s="30">
        <v>35796</v>
      </c>
      <c r="C27" s="11">
        <v>41.6</v>
      </c>
      <c r="D27" s="17">
        <f t="shared" si="0"/>
        <v>41.6</v>
      </c>
      <c r="E27" s="19" t="e">
        <f t="shared" ca="1" si="1"/>
        <v>#N/A</v>
      </c>
      <c r="F27" s="10">
        <v>0</v>
      </c>
      <c r="G27" s="17">
        <f t="shared" si="2"/>
        <v>0</v>
      </c>
    </row>
    <row r="28" spans="1:7">
      <c r="A28" t="s">
        <v>37</v>
      </c>
      <c r="B28" s="30">
        <v>36161</v>
      </c>
      <c r="C28" s="11">
        <v>38.200000000000003</v>
      </c>
      <c r="D28" s="17">
        <f t="shared" si="0"/>
        <v>38.200000000000003</v>
      </c>
      <c r="E28" s="19" t="e">
        <f t="shared" ca="1" si="1"/>
        <v>#N/A</v>
      </c>
      <c r="F28" s="10">
        <v>0</v>
      </c>
      <c r="G28" s="17">
        <f t="shared" si="2"/>
        <v>0</v>
      </c>
    </row>
    <row r="29" spans="1:7">
      <c r="A29" t="s">
        <v>38</v>
      </c>
      <c r="B29" s="30">
        <v>36526</v>
      </c>
      <c r="C29" s="11">
        <v>33.6</v>
      </c>
      <c r="D29" s="17">
        <f t="shared" si="0"/>
        <v>33.6</v>
      </c>
      <c r="E29" s="19" t="e">
        <f t="shared" ca="1" si="1"/>
        <v>#N/A</v>
      </c>
      <c r="F29" s="10">
        <v>0</v>
      </c>
      <c r="G29" s="17">
        <f t="shared" si="2"/>
        <v>0</v>
      </c>
    </row>
    <row r="30" spans="1:7">
      <c r="A30" t="s">
        <v>39</v>
      </c>
      <c r="B30" s="30">
        <v>36892</v>
      </c>
      <c r="C30" s="11">
        <v>31.4</v>
      </c>
      <c r="D30" s="17">
        <f t="shared" si="0"/>
        <v>31.4</v>
      </c>
      <c r="E30" s="19" t="e">
        <f t="shared" ca="1" si="1"/>
        <v>#N/A</v>
      </c>
      <c r="F30" s="10">
        <v>3</v>
      </c>
      <c r="G30" s="17">
        <f t="shared" si="2"/>
        <v>1</v>
      </c>
    </row>
    <row r="31" spans="1:7">
      <c r="A31" t="s">
        <v>40</v>
      </c>
      <c r="B31" s="30">
        <v>37257</v>
      </c>
      <c r="C31" s="11">
        <v>32.6</v>
      </c>
      <c r="D31" s="17">
        <f t="shared" si="0"/>
        <v>32.6</v>
      </c>
      <c r="E31" s="19" t="e">
        <f t="shared" ca="1" si="1"/>
        <v>#N/A</v>
      </c>
      <c r="F31" s="10">
        <v>0</v>
      </c>
      <c r="G31" s="17">
        <f t="shared" si="2"/>
        <v>0</v>
      </c>
    </row>
    <row r="32" spans="1:7">
      <c r="A32" t="s">
        <v>41</v>
      </c>
      <c r="B32" s="30">
        <v>37622</v>
      </c>
      <c r="C32" s="11">
        <v>34.5</v>
      </c>
      <c r="D32" s="17">
        <f t="shared" si="0"/>
        <v>34.5</v>
      </c>
      <c r="E32" s="19" t="e">
        <f t="shared" ca="1" si="1"/>
        <v>#N/A</v>
      </c>
      <c r="F32" s="10">
        <v>0</v>
      </c>
      <c r="G32" s="17">
        <f t="shared" si="2"/>
        <v>0</v>
      </c>
    </row>
    <row r="33" spans="1:7">
      <c r="A33" t="s">
        <v>42</v>
      </c>
      <c r="B33" s="30">
        <v>37987</v>
      </c>
      <c r="C33" s="11">
        <v>35.5</v>
      </c>
      <c r="D33" s="17">
        <f t="shared" si="0"/>
        <v>35.5</v>
      </c>
      <c r="E33" s="19" t="e">
        <f t="shared" ca="1" si="1"/>
        <v>#N/A</v>
      </c>
      <c r="F33" s="10">
        <v>0</v>
      </c>
      <c r="G33" s="17">
        <f t="shared" si="2"/>
        <v>0</v>
      </c>
    </row>
    <row r="34" spans="1:7">
      <c r="A34" t="s">
        <v>43</v>
      </c>
      <c r="B34" s="30">
        <v>38353</v>
      </c>
      <c r="C34" s="11">
        <v>35.6</v>
      </c>
      <c r="D34" s="17">
        <f t="shared" si="0"/>
        <v>35.6</v>
      </c>
      <c r="E34" s="19" t="e">
        <f t="shared" ca="1" si="1"/>
        <v>#N/A</v>
      </c>
      <c r="F34" s="10">
        <v>0</v>
      </c>
      <c r="G34" s="17">
        <f t="shared" si="2"/>
        <v>0</v>
      </c>
    </row>
    <row r="35" spans="1:7">
      <c r="A35" t="s">
        <v>44</v>
      </c>
      <c r="B35" s="30">
        <v>38718</v>
      </c>
      <c r="C35" s="11">
        <v>35.299999999999997</v>
      </c>
      <c r="D35" s="17">
        <f t="shared" si="0"/>
        <v>35.299999999999997</v>
      </c>
      <c r="E35" s="19" t="e">
        <f t="shared" ca="1" si="1"/>
        <v>#N/A</v>
      </c>
      <c r="F35" s="10">
        <v>0</v>
      </c>
      <c r="G35" s="17">
        <f t="shared" si="2"/>
        <v>0</v>
      </c>
    </row>
    <row r="36" spans="1:7">
      <c r="A36" t="s">
        <v>45</v>
      </c>
      <c r="B36" s="30">
        <v>39083</v>
      </c>
      <c r="C36" s="11">
        <v>35.200000000000003</v>
      </c>
      <c r="D36" s="17">
        <f t="shared" si="0"/>
        <v>35.200000000000003</v>
      </c>
      <c r="E36" s="19" t="e">
        <f t="shared" ca="1" si="1"/>
        <v>#N/A</v>
      </c>
      <c r="F36" s="10">
        <v>0</v>
      </c>
      <c r="G36" s="17">
        <f t="shared" si="2"/>
        <v>0</v>
      </c>
    </row>
    <row r="37" spans="1:7">
      <c r="A37" t="s">
        <v>46</v>
      </c>
      <c r="B37" s="30">
        <v>39448</v>
      </c>
      <c r="C37" s="11">
        <v>39.299999999999997</v>
      </c>
      <c r="D37" s="17">
        <f t="shared" si="0"/>
        <v>39.299999999999997</v>
      </c>
      <c r="E37" s="19" t="e">
        <f t="shared" ca="1" si="1"/>
        <v>#N/A</v>
      </c>
      <c r="F37" s="10">
        <v>4</v>
      </c>
      <c r="G37" s="17">
        <f t="shared" si="2"/>
        <v>1</v>
      </c>
    </row>
    <row r="38" spans="1:7">
      <c r="A38" t="s">
        <v>47</v>
      </c>
      <c r="B38" s="30">
        <v>39814</v>
      </c>
      <c r="C38" s="11">
        <v>52.3</v>
      </c>
      <c r="D38" s="17">
        <f t="shared" si="0"/>
        <v>52.3</v>
      </c>
      <c r="E38" s="19" t="e">
        <f t="shared" ca="1" si="1"/>
        <v>#N/A</v>
      </c>
      <c r="F38" s="10">
        <v>2</v>
      </c>
      <c r="G38" s="17">
        <f t="shared" si="2"/>
        <v>1</v>
      </c>
    </row>
    <row r="39" spans="1:7">
      <c r="A39" t="s">
        <v>48</v>
      </c>
      <c r="B39" s="30">
        <v>40179</v>
      </c>
      <c r="C39" s="11">
        <v>60.9</v>
      </c>
      <c r="D39" s="17">
        <f t="shared" si="0"/>
        <v>60.9</v>
      </c>
      <c r="E39" s="19" t="e">
        <f t="shared" ca="1" si="1"/>
        <v>#N/A</v>
      </c>
      <c r="F39" s="10">
        <v>0</v>
      </c>
      <c r="G39" s="17">
        <f t="shared" si="2"/>
        <v>0</v>
      </c>
    </row>
    <row r="40" spans="1:7">
      <c r="A40" t="s">
        <v>49</v>
      </c>
      <c r="B40" s="30">
        <v>40544</v>
      </c>
      <c r="C40" s="11">
        <v>65.900000000000006</v>
      </c>
      <c r="D40" s="17">
        <f t="shared" si="0"/>
        <v>65.900000000000006</v>
      </c>
      <c r="E40" s="19" t="e">
        <f t="shared" ca="1" si="1"/>
        <v>#N/A</v>
      </c>
      <c r="F40" s="10">
        <v>0</v>
      </c>
      <c r="G40" s="17">
        <f t="shared" si="2"/>
        <v>0</v>
      </c>
    </row>
    <row r="41" spans="1:7">
      <c r="A41" t="s">
        <v>50</v>
      </c>
      <c r="B41" s="30">
        <v>40909</v>
      </c>
      <c r="C41" s="11">
        <v>70.400000000000006</v>
      </c>
      <c r="D41" s="17">
        <f t="shared" si="0"/>
        <v>70.400000000000006</v>
      </c>
      <c r="E41" s="19" t="e">
        <f t="shared" ca="1" si="1"/>
        <v>#N/A</v>
      </c>
      <c r="F41" s="10">
        <v>0</v>
      </c>
      <c r="G41" s="17">
        <f t="shared" si="2"/>
        <v>0</v>
      </c>
    </row>
    <row r="42" spans="1:7">
      <c r="A42" t="s">
        <v>51</v>
      </c>
      <c r="B42" s="30">
        <v>41275</v>
      </c>
      <c r="C42" s="11">
        <v>72.599999999999994</v>
      </c>
      <c r="D42" s="17">
        <f t="shared" si="0"/>
        <v>72.599999999999994</v>
      </c>
      <c r="E42" s="19" t="e">
        <f t="shared" ca="1" si="1"/>
        <v>#N/A</v>
      </c>
      <c r="F42" s="10">
        <v>0</v>
      </c>
      <c r="G42" s="17">
        <f t="shared" si="2"/>
        <v>0</v>
      </c>
    </row>
    <row r="43" spans="1:7">
      <c r="A43" t="s">
        <v>52</v>
      </c>
      <c r="B43" s="30">
        <v>41640</v>
      </c>
      <c r="C43" s="11">
        <v>74.2</v>
      </c>
      <c r="D43" s="17">
        <f t="shared" si="0"/>
        <v>74.2</v>
      </c>
      <c r="E43" s="19" t="e">
        <f t="shared" ca="1" si="1"/>
        <v>#N/A</v>
      </c>
      <c r="F43" s="10">
        <v>0</v>
      </c>
      <c r="G43" s="17">
        <f t="shared" si="2"/>
        <v>0</v>
      </c>
    </row>
    <row r="44" spans="1:7">
      <c r="A44" t="s">
        <v>53</v>
      </c>
      <c r="B44" s="30">
        <v>42005</v>
      </c>
      <c r="C44" s="11">
        <v>73.3</v>
      </c>
      <c r="D44" s="17">
        <f>IF(YEAR(B44)&gt;2015, #N/A, C44)</f>
        <v>73.3</v>
      </c>
      <c r="E44" s="19" t="e">
        <f t="shared" ca="1" si="1"/>
        <v>#N/A</v>
      </c>
      <c r="F44" s="10">
        <v>0</v>
      </c>
      <c r="G44" s="17">
        <f t="shared" si="2"/>
        <v>0</v>
      </c>
    </row>
    <row r="45" spans="1:7">
      <c r="A45" t="s">
        <v>54</v>
      </c>
      <c r="B45" s="30">
        <v>42370</v>
      </c>
      <c r="C45" s="11">
        <v>77</v>
      </c>
      <c r="D45" s="17" t="e">
        <f t="shared" si="0"/>
        <v>#N/A</v>
      </c>
      <c r="E45" s="19" t="e">
        <f t="shared" ca="1" si="1"/>
        <v>#N/A</v>
      </c>
      <c r="F45" s="10">
        <v>0</v>
      </c>
      <c r="G45" s="17">
        <f t="shared" si="2"/>
        <v>0</v>
      </c>
    </row>
    <row r="46" spans="1:7">
      <c r="A46" t="s">
        <v>55</v>
      </c>
      <c r="B46" s="30">
        <v>42736</v>
      </c>
      <c r="C46" s="11">
        <v>76.5</v>
      </c>
      <c r="D46" s="17" t="e">
        <f t="shared" si="0"/>
        <v>#N/A</v>
      </c>
      <c r="E46" s="19" t="e">
        <f t="shared" ca="1" si="1"/>
        <v>#N/A</v>
      </c>
      <c r="F46" s="10">
        <v>0</v>
      </c>
      <c r="G46" s="17">
        <f t="shared" si="2"/>
        <v>0</v>
      </c>
    </row>
    <row r="47" spans="1:7">
      <c r="A47" t="s">
        <v>56</v>
      </c>
      <c r="B47" s="30">
        <v>43101</v>
      </c>
      <c r="C47" s="11">
        <v>77.8</v>
      </c>
      <c r="D47" s="17" t="e">
        <f t="shared" si="0"/>
        <v>#N/A</v>
      </c>
      <c r="E47" s="19">
        <f t="shared" ca="1" si="1"/>
        <v>77.8</v>
      </c>
      <c r="F47" s="10">
        <v>0</v>
      </c>
      <c r="G47" s="17">
        <f t="shared" si="2"/>
        <v>0</v>
      </c>
    </row>
    <row r="48" spans="1:7">
      <c r="A48" t="s">
        <v>57</v>
      </c>
      <c r="B48" s="30">
        <v>43466</v>
      </c>
      <c r="C48" s="11">
        <v>78.3</v>
      </c>
      <c r="D48" s="17" t="e">
        <f t="shared" si="0"/>
        <v>#N/A</v>
      </c>
      <c r="E48" s="19">
        <f t="shared" ca="1" si="1"/>
        <v>78.3</v>
      </c>
      <c r="F48" s="10">
        <v>0</v>
      </c>
      <c r="G48" s="17">
        <f t="shared" si="2"/>
        <v>0</v>
      </c>
    </row>
    <row r="49" spans="1:7">
      <c r="A49" t="s">
        <v>58</v>
      </c>
      <c r="B49" s="30">
        <v>43831</v>
      </c>
      <c r="C49" s="11">
        <v>79.599999999999994</v>
      </c>
      <c r="D49" s="17" t="e">
        <f t="shared" si="0"/>
        <v>#N/A</v>
      </c>
      <c r="E49" s="19">
        <f t="shared" ca="1" si="1"/>
        <v>79.599999999999994</v>
      </c>
      <c r="F49" s="10" t="e">
        <v>#N/A</v>
      </c>
      <c r="G49" s="17">
        <f t="shared" si="2"/>
        <v>0</v>
      </c>
    </row>
    <row r="50" spans="1:7">
      <c r="A50" t="s">
        <v>59</v>
      </c>
      <c r="B50" s="30">
        <v>44197</v>
      </c>
      <c r="C50" s="11">
        <v>81.2</v>
      </c>
      <c r="D50" s="17" t="e">
        <f t="shared" si="0"/>
        <v>#N/A</v>
      </c>
      <c r="E50" s="19">
        <f t="shared" ca="1" si="1"/>
        <v>81.2</v>
      </c>
      <c r="F50" s="10" t="e">
        <v>#N/A</v>
      </c>
      <c r="G50" s="17">
        <f t="shared" si="2"/>
        <v>0</v>
      </c>
    </row>
    <row r="51" spans="1:7">
      <c r="A51" t="s">
        <v>60</v>
      </c>
      <c r="B51" s="30">
        <v>44562</v>
      </c>
      <c r="C51" s="11">
        <v>83.2</v>
      </c>
      <c r="D51" s="17" t="e">
        <f t="shared" si="0"/>
        <v>#N/A</v>
      </c>
      <c r="E51" s="19">
        <f t="shared" ca="1" si="1"/>
        <v>83.2</v>
      </c>
      <c r="F51" s="10" t="e">
        <v>#N/A</v>
      </c>
      <c r="G51" s="17">
        <f t="shared" si="2"/>
        <v>0</v>
      </c>
    </row>
    <row r="52" spans="1:7">
      <c r="A52" t="s">
        <v>61</v>
      </c>
      <c r="B52" s="30">
        <v>44927</v>
      </c>
      <c r="C52" s="11">
        <v>85</v>
      </c>
      <c r="D52" s="17" t="e">
        <f t="shared" si="0"/>
        <v>#N/A</v>
      </c>
      <c r="E52" s="19">
        <f t="shared" ca="1" si="1"/>
        <v>85</v>
      </c>
      <c r="F52" s="10" t="e">
        <v>#N/A</v>
      </c>
      <c r="G52" s="17">
        <f t="shared" si="2"/>
        <v>0</v>
      </c>
    </row>
    <row r="53" spans="1:7">
      <c r="A53" t="s">
        <v>62</v>
      </c>
      <c r="B53" s="30">
        <v>45292</v>
      </c>
      <c r="C53" s="11">
        <v>86.2</v>
      </c>
      <c r="D53" s="17" t="e">
        <f t="shared" si="0"/>
        <v>#N/A</v>
      </c>
      <c r="E53" s="19">
        <f t="shared" ca="1" si="1"/>
        <v>86.2</v>
      </c>
      <c r="F53" s="10" t="e">
        <v>#N/A</v>
      </c>
      <c r="G53" s="17">
        <f t="shared" si="2"/>
        <v>0</v>
      </c>
    </row>
    <row r="54" spans="1:7">
      <c r="A54" t="s">
        <v>63</v>
      </c>
      <c r="B54" s="30">
        <v>45658</v>
      </c>
      <c r="C54" s="11">
        <v>87.7</v>
      </c>
      <c r="D54" s="17" t="e">
        <f t="shared" si="0"/>
        <v>#N/A</v>
      </c>
      <c r="E54" s="19">
        <f t="shared" ca="1" si="1"/>
        <v>87.7</v>
      </c>
      <c r="F54" s="10" t="e">
        <v>#N/A</v>
      </c>
      <c r="G54" s="17">
        <f t="shared" si="2"/>
        <v>0</v>
      </c>
    </row>
    <row r="55" spans="1:7">
      <c r="A55" t="s">
        <v>64</v>
      </c>
      <c r="B55" s="30">
        <v>46023</v>
      </c>
      <c r="C55" s="11">
        <v>89</v>
      </c>
      <c r="D55" s="17" t="e">
        <f t="shared" si="0"/>
        <v>#N/A</v>
      </c>
      <c r="E55" s="19">
        <f t="shared" ca="1" si="1"/>
        <v>89</v>
      </c>
      <c r="F55" s="10" t="e">
        <v>#N/A</v>
      </c>
      <c r="G55" s="17">
        <f t="shared" si="2"/>
        <v>0</v>
      </c>
    </row>
    <row r="56" spans="1:7">
      <c r="B56" s="30"/>
      <c r="C56" s="11"/>
      <c r="D56" s="17"/>
      <c r="E56" s="19"/>
    </row>
    <row r="57" spans="1:7">
      <c r="B57" s="30"/>
      <c r="C57" s="11"/>
      <c r="D57" s="17"/>
      <c r="E57" s="19"/>
    </row>
    <row r="58" spans="1:7">
      <c r="B58" s="30"/>
      <c r="C58" s="11"/>
      <c r="D58" s="17"/>
      <c r="E58" s="19"/>
    </row>
    <row r="59" spans="1:7">
      <c r="B59" s="30"/>
      <c r="C59" s="11"/>
      <c r="D59" s="17"/>
      <c r="E59" s="19"/>
    </row>
    <row r="60" spans="1:7">
      <c r="B60" s="30"/>
      <c r="C60" s="11"/>
      <c r="D60" s="17"/>
      <c r="E60" s="19"/>
    </row>
    <row r="61" spans="1:7">
      <c r="B61" s="30"/>
      <c r="C61" s="11"/>
      <c r="D61" s="17"/>
      <c r="E61" s="19"/>
    </row>
    <row r="62" spans="1:7">
      <c r="B62" s="30"/>
      <c r="C62" s="11"/>
      <c r="D62" s="17"/>
      <c r="E62" s="19"/>
    </row>
    <row r="63" spans="1:7">
      <c r="B63" s="30"/>
      <c r="C63" s="11"/>
      <c r="D63" s="17"/>
      <c r="E63" s="19"/>
    </row>
    <row r="64" spans="1:7">
      <c r="B64" s="30"/>
      <c r="C64" s="11"/>
      <c r="D64" s="17"/>
      <c r="E64" s="19"/>
    </row>
    <row r="65" spans="2:5">
      <c r="B65" s="30"/>
      <c r="C65" s="11"/>
      <c r="D65" s="17"/>
      <c r="E65" s="19"/>
    </row>
    <row r="66" spans="2:5">
      <c r="B66" s="30"/>
      <c r="C66" s="11"/>
      <c r="D66" s="17"/>
      <c r="E66" s="19"/>
    </row>
    <row r="67" spans="2:5">
      <c r="B67" s="30"/>
      <c r="C67" s="11"/>
      <c r="D67" s="17"/>
      <c r="E67" s="19"/>
    </row>
    <row r="68" spans="2:5">
      <c r="B68" s="30"/>
      <c r="C68" s="11"/>
      <c r="D68" s="17"/>
      <c r="E68" s="19"/>
    </row>
    <row r="69" spans="2:5">
      <c r="B69" s="30"/>
      <c r="C69" s="11"/>
      <c r="D69" s="17"/>
      <c r="E69" s="19"/>
    </row>
    <row r="70" spans="2:5">
      <c r="B70" s="30"/>
      <c r="C70" s="11"/>
      <c r="D70" s="17"/>
      <c r="E70" s="19"/>
    </row>
    <row r="71" spans="2:5">
      <c r="B71" s="30"/>
      <c r="C71" s="11"/>
      <c r="D71" s="17"/>
      <c r="E71" s="19"/>
    </row>
    <row r="72" spans="2:5">
      <c r="B72" s="30"/>
      <c r="C72" s="11"/>
      <c r="D72" s="17"/>
      <c r="E72" s="19"/>
    </row>
    <row r="73" spans="2:5">
      <c r="B73" s="30"/>
      <c r="C73" s="11"/>
      <c r="D73" s="17"/>
      <c r="E73" s="19"/>
    </row>
    <row r="74" spans="2:5">
      <c r="B74" s="30"/>
      <c r="C74" s="11"/>
      <c r="D74" s="17"/>
      <c r="E74" s="19"/>
    </row>
    <row r="75" spans="2:5">
      <c r="B75" s="30"/>
      <c r="C75" s="11"/>
      <c r="D75" s="17"/>
      <c r="E75" s="19"/>
    </row>
    <row r="76" spans="2:5">
      <c r="B76" s="30"/>
      <c r="C76" s="11"/>
      <c r="D76" s="17"/>
      <c r="E76" s="19"/>
    </row>
    <row r="77" spans="2:5">
      <c r="B77" s="30"/>
      <c r="C77" s="11"/>
      <c r="D77" s="17"/>
      <c r="E77" s="19"/>
    </row>
    <row r="78" spans="2:5">
      <c r="B78" s="30"/>
      <c r="C78" s="11"/>
      <c r="D78" s="17"/>
      <c r="E78" s="19"/>
    </row>
    <row r="79" spans="2:5">
      <c r="B79" s="30"/>
      <c r="C79" s="11"/>
      <c r="D79" s="17"/>
      <c r="E79" s="19"/>
    </row>
    <row r="80" spans="2:5">
      <c r="B80" s="30"/>
      <c r="C80" s="11"/>
      <c r="D80" s="17"/>
      <c r="E80" s="19"/>
    </row>
    <row r="81" spans="2:5">
      <c r="B81" s="30"/>
      <c r="C81" s="11"/>
      <c r="D81" s="17"/>
      <c r="E81" s="19"/>
    </row>
    <row r="82" spans="2:5">
      <c r="B82" s="30"/>
      <c r="C82" s="11"/>
      <c r="D82" s="17"/>
      <c r="E82" s="19"/>
    </row>
    <row r="83" spans="2:5">
      <c r="B83" s="12"/>
    </row>
    <row r="84" spans="2:5">
      <c r="B84" s="12"/>
    </row>
    <row r="85" spans="2:5">
      <c r="B85" s="12"/>
    </row>
    <row r="86" spans="2:5">
      <c r="B86" s="12"/>
    </row>
    <row r="87" spans="2:5">
      <c r="B87" s="12"/>
    </row>
  </sheetData>
  <hyperlinks>
    <hyperlink ref="C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N122"/>
  <sheetViews>
    <sheetView topLeftCell="A31"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39" customWidth="1"/>
    <col min="8" max="9" width="9.140625" style="2"/>
    <col min="10" max="12" width="14" style="2" customWidth="1"/>
    <col min="13" max="16384" width="9.140625" style="2"/>
  </cols>
  <sheetData>
    <row r="1" spans="1:14" ht="12.75">
      <c r="A1" s="1" t="s">
        <v>143</v>
      </c>
      <c r="B1" s="1" t="s">
        <v>313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354</v>
      </c>
      <c r="H1" s="1" t="s">
        <v>5</v>
      </c>
      <c r="I1" s="1" t="s">
        <v>6</v>
      </c>
      <c r="J1" s="1" t="s">
        <v>355</v>
      </c>
      <c r="M1" s="85" t="s">
        <v>316</v>
      </c>
    </row>
    <row r="2" spans="1:14" s="3" customFormat="1" ht="202.5">
      <c r="A2" s="3" t="s">
        <v>7</v>
      </c>
      <c r="C2" s="4" t="s">
        <v>386</v>
      </c>
      <c r="D2" s="4" t="s">
        <v>388</v>
      </c>
      <c r="E2" s="4" t="s">
        <v>389</v>
      </c>
      <c r="F2" s="4" t="s">
        <v>390</v>
      </c>
      <c r="G2" s="91" t="s">
        <v>393</v>
      </c>
      <c r="H2" s="91" t="s">
        <v>395</v>
      </c>
      <c r="I2" s="93" t="s">
        <v>396</v>
      </c>
      <c r="J2" s="94" t="s">
        <v>517</v>
      </c>
      <c r="M2" s="3" t="s">
        <v>399</v>
      </c>
    </row>
    <row r="3" spans="1:14">
      <c r="A3" s="2" t="s">
        <v>8</v>
      </c>
      <c r="C3" s="5" t="s">
        <v>425</v>
      </c>
      <c r="D3" s="5" t="s">
        <v>54</v>
      </c>
      <c r="E3" s="5" t="s">
        <v>54</v>
      </c>
      <c r="F3" s="5" t="s">
        <v>54</v>
      </c>
      <c r="G3" s="92" t="s">
        <v>392</v>
      </c>
      <c r="H3" s="92" t="s">
        <v>394</v>
      </c>
      <c r="I3" s="95" t="s">
        <v>394</v>
      </c>
      <c r="J3" s="96" t="s">
        <v>398</v>
      </c>
      <c r="M3" s="2" t="s">
        <v>520</v>
      </c>
    </row>
    <row r="4" spans="1:14">
      <c r="A4" s="2" t="s">
        <v>9</v>
      </c>
      <c r="C4" s="5" t="s">
        <v>491</v>
      </c>
      <c r="D4" s="5" t="s">
        <v>493</v>
      </c>
      <c r="E4" s="5" t="s">
        <v>493</v>
      </c>
      <c r="F4" s="5" t="s">
        <v>493</v>
      </c>
      <c r="G4" s="92" t="s">
        <v>506</v>
      </c>
      <c r="H4" s="92" t="s">
        <v>56</v>
      </c>
      <c r="I4" s="95" t="s">
        <v>56</v>
      </c>
      <c r="J4" s="96" t="s">
        <v>509</v>
      </c>
      <c r="M4" s="2" t="s">
        <v>519</v>
      </c>
    </row>
    <row r="5" spans="1:14">
      <c r="A5" s="2" t="s">
        <v>10</v>
      </c>
      <c r="C5" s="5" t="s">
        <v>385</v>
      </c>
      <c r="D5" s="5" t="s">
        <v>387</v>
      </c>
      <c r="E5" s="5" t="s">
        <v>387</v>
      </c>
      <c r="F5" s="5" t="s">
        <v>387</v>
      </c>
      <c r="G5" s="92" t="s">
        <v>391</v>
      </c>
      <c r="H5" s="92" t="s">
        <v>387</v>
      </c>
      <c r="I5" s="95" t="s">
        <v>387</v>
      </c>
      <c r="J5" s="96" t="s">
        <v>397</v>
      </c>
      <c r="M5" s="2" t="s">
        <v>382</v>
      </c>
    </row>
    <row r="6" spans="1:14">
      <c r="A6" s="2" t="s">
        <v>11</v>
      </c>
      <c r="C6" s="5" t="s">
        <v>490</v>
      </c>
      <c r="D6" s="5" t="s">
        <v>492</v>
      </c>
      <c r="E6" s="5" t="s">
        <v>492</v>
      </c>
      <c r="F6" s="5" t="s">
        <v>492</v>
      </c>
      <c r="G6" s="92" t="s">
        <v>505</v>
      </c>
      <c r="H6" s="92" t="s">
        <v>507</v>
      </c>
      <c r="I6" s="95" t="s">
        <v>507</v>
      </c>
      <c r="J6" s="96" t="s">
        <v>508</v>
      </c>
      <c r="M6" s="2" t="s">
        <v>518</v>
      </c>
    </row>
    <row r="7" spans="1:14">
      <c r="A7" s="2" t="s">
        <v>12</v>
      </c>
      <c r="B7" s="32">
        <v>27030</v>
      </c>
      <c r="C7" s="105" t="e">
        <v>#N/A</v>
      </c>
      <c r="D7" s="33" t="e">
        <v>#N/A</v>
      </c>
      <c r="E7" s="33" t="e">
        <v>#N/A</v>
      </c>
      <c r="F7" s="33" t="e">
        <v>#N/A</v>
      </c>
      <c r="G7" s="106">
        <v>1.1120000000000001</v>
      </c>
      <c r="H7" s="97">
        <v>3.7080000000000002</v>
      </c>
      <c r="I7" s="97">
        <v>1.446</v>
      </c>
      <c r="J7" s="107">
        <v>11.898999999999997</v>
      </c>
      <c r="K7" s="42"/>
      <c r="L7" s="42"/>
      <c r="M7" s="86">
        <v>4</v>
      </c>
      <c r="N7" s="2">
        <f>IFERROR(IF(M7&gt;0, 1, 0), 0)</f>
        <v>1</v>
      </c>
    </row>
    <row r="8" spans="1:14">
      <c r="A8" s="2" t="s">
        <v>13</v>
      </c>
      <c r="B8" s="32">
        <v>27395</v>
      </c>
      <c r="C8" s="105" t="e">
        <v>#N/A</v>
      </c>
      <c r="D8" s="33" t="e">
        <v>#N/A</v>
      </c>
      <c r="E8" s="33" t="e">
        <v>#N/A</v>
      </c>
      <c r="F8" s="33" t="e">
        <v>#N/A</v>
      </c>
      <c r="G8" s="106">
        <v>1.3049999999999999</v>
      </c>
      <c r="H8" s="97">
        <v>3.9550000000000001</v>
      </c>
      <c r="I8" s="97">
        <v>1.446</v>
      </c>
      <c r="J8" s="107">
        <v>13.975</v>
      </c>
      <c r="K8" s="42"/>
      <c r="L8" s="42"/>
      <c r="M8" s="86">
        <v>1</v>
      </c>
      <c r="N8" s="2">
        <f t="shared" ref="N8:N68" si="0">IFERROR(IF(M8&gt;0, 1, 0), 0)</f>
        <v>1</v>
      </c>
    </row>
    <row r="9" spans="1:14">
      <c r="A9" s="2" t="s">
        <v>14</v>
      </c>
      <c r="B9" s="32">
        <v>27760</v>
      </c>
      <c r="C9" s="105" t="e">
        <v>#N/A</v>
      </c>
      <c r="D9" s="33" t="e">
        <v>#N/A</v>
      </c>
      <c r="E9" s="33" t="e">
        <v>#N/A</v>
      </c>
      <c r="F9" s="33" t="e">
        <v>#N/A</v>
      </c>
      <c r="G9" s="106">
        <v>1.4289999999999998</v>
      </c>
      <c r="H9" s="97">
        <v>4.07</v>
      </c>
      <c r="I9" s="97">
        <v>1.496</v>
      </c>
      <c r="J9" s="107">
        <v>13.821</v>
      </c>
      <c r="K9" s="42"/>
      <c r="L9" s="42"/>
      <c r="M9" s="86">
        <v>0</v>
      </c>
      <c r="N9" s="2">
        <f t="shared" si="0"/>
        <v>0</v>
      </c>
    </row>
    <row r="10" spans="1:14">
      <c r="A10" s="2" t="s">
        <v>15</v>
      </c>
      <c r="B10" s="32">
        <v>28126</v>
      </c>
      <c r="C10" s="105" t="e">
        <v>#N/A</v>
      </c>
      <c r="D10" s="33" t="e">
        <v>#N/A</v>
      </c>
      <c r="E10" s="33" t="e">
        <v>#N/A</v>
      </c>
      <c r="F10" s="33" t="e">
        <v>#N/A</v>
      </c>
      <c r="G10" s="106">
        <v>1.514</v>
      </c>
      <c r="H10" s="97">
        <v>4.1340000000000003</v>
      </c>
      <c r="I10" s="97">
        <v>1.4770000000000001</v>
      </c>
      <c r="J10" s="107">
        <v>13.09</v>
      </c>
      <c r="K10" s="42"/>
      <c r="L10" s="42"/>
      <c r="M10" s="86">
        <v>0</v>
      </c>
      <c r="N10" s="2">
        <f t="shared" si="0"/>
        <v>0</v>
      </c>
    </row>
    <row r="11" spans="1:14">
      <c r="A11" s="2" t="s">
        <v>16</v>
      </c>
      <c r="B11" s="32">
        <v>28491</v>
      </c>
      <c r="C11" s="105" t="e">
        <v>#N/A</v>
      </c>
      <c r="D11" s="33" t="e">
        <v>#N/A</v>
      </c>
      <c r="E11" s="33" t="e">
        <v>#N/A</v>
      </c>
      <c r="F11" s="33" t="e">
        <v>#N/A</v>
      </c>
      <c r="G11" s="106">
        <v>1.5389999999999999</v>
      </c>
      <c r="H11" s="97">
        <v>4.0659999999999998</v>
      </c>
      <c r="I11" s="97">
        <v>1.56</v>
      </c>
      <c r="J11" s="107">
        <v>13.013000000000003</v>
      </c>
      <c r="K11" s="42"/>
      <c r="L11" s="42"/>
      <c r="M11" s="86">
        <v>0</v>
      </c>
      <c r="N11" s="2">
        <f t="shared" si="0"/>
        <v>0</v>
      </c>
    </row>
    <row r="12" spans="1:14">
      <c r="A12" s="2" t="s">
        <v>17</v>
      </c>
      <c r="B12" s="32">
        <v>28856</v>
      </c>
      <c r="C12" s="105" t="e">
        <v>#N/A</v>
      </c>
      <c r="D12" s="33" t="e">
        <v>#N/A</v>
      </c>
      <c r="E12" s="33" t="e">
        <v>#N/A</v>
      </c>
      <c r="F12" s="33" t="e">
        <v>#N/A</v>
      </c>
      <c r="G12" s="106">
        <v>1.583</v>
      </c>
      <c r="H12" s="97">
        <v>3.9990000000000001</v>
      </c>
      <c r="I12" s="97">
        <v>1.6619999999999999</v>
      </c>
      <c r="J12" s="107">
        <v>12.402000000000001</v>
      </c>
      <c r="K12" s="42"/>
      <c r="L12" s="42"/>
      <c r="M12" s="86">
        <v>0</v>
      </c>
      <c r="N12" s="2">
        <f t="shared" si="0"/>
        <v>0</v>
      </c>
    </row>
    <row r="13" spans="1:14">
      <c r="A13" s="2" t="s">
        <v>18</v>
      </c>
      <c r="B13" s="32">
        <v>29221</v>
      </c>
      <c r="C13" s="105" t="e">
        <v>#N/A</v>
      </c>
      <c r="D13" s="33" t="e">
        <v>#N/A</v>
      </c>
      <c r="E13" s="33" t="e">
        <v>#N/A</v>
      </c>
      <c r="F13" s="33" t="e">
        <v>#N/A</v>
      </c>
      <c r="G13" s="106">
        <v>1.7170000000000001</v>
      </c>
      <c r="H13" s="97">
        <v>4.1929999999999996</v>
      </c>
      <c r="I13" s="97">
        <v>1.8819999999999999</v>
      </c>
      <c r="J13" s="107">
        <v>13.373999999999999</v>
      </c>
      <c r="K13" s="42"/>
      <c r="L13" s="42"/>
      <c r="M13" s="86">
        <v>2</v>
      </c>
      <c r="N13" s="2">
        <f t="shared" si="0"/>
        <v>1</v>
      </c>
    </row>
    <row r="14" spans="1:14">
      <c r="A14" s="2" t="s">
        <v>19</v>
      </c>
      <c r="B14" s="32">
        <v>29587</v>
      </c>
      <c r="C14" s="105" t="e">
        <v>#N/A</v>
      </c>
      <c r="D14" s="33" t="e">
        <v>#N/A</v>
      </c>
      <c r="E14" s="33" t="e">
        <v>#N/A</v>
      </c>
      <c r="F14" s="33" t="e">
        <v>#N/A</v>
      </c>
      <c r="G14" s="106">
        <v>1.855</v>
      </c>
      <c r="H14" s="97">
        <v>4.4009999999999998</v>
      </c>
      <c r="I14" s="97">
        <v>2.1949999999999998</v>
      </c>
      <c r="J14" s="107">
        <v>13.195999999999998</v>
      </c>
      <c r="K14" s="42"/>
      <c r="L14" s="42"/>
      <c r="M14" s="86">
        <v>1</v>
      </c>
      <c r="N14" s="2">
        <f t="shared" si="0"/>
        <v>1</v>
      </c>
    </row>
    <row r="15" spans="1:14">
      <c r="A15" s="2" t="s">
        <v>20</v>
      </c>
      <c r="B15" s="32">
        <v>29952</v>
      </c>
      <c r="C15" s="105" t="e">
        <v>#N/A</v>
      </c>
      <c r="D15" s="33" t="e">
        <v>#N/A</v>
      </c>
      <c r="E15" s="33" t="e">
        <v>#N/A</v>
      </c>
      <c r="F15" s="33" t="e">
        <v>#N/A</v>
      </c>
      <c r="G15" s="106">
        <v>2.0089999999999999</v>
      </c>
      <c r="H15" s="97">
        <v>4.6449999999999996</v>
      </c>
      <c r="I15" s="97">
        <v>2.5659999999999998</v>
      </c>
      <c r="J15" s="107">
        <v>13.287000000000003</v>
      </c>
      <c r="K15" s="42"/>
      <c r="L15" s="42"/>
      <c r="M15" s="86">
        <v>4</v>
      </c>
      <c r="N15" s="2">
        <f t="shared" si="0"/>
        <v>1</v>
      </c>
    </row>
    <row r="16" spans="1:14">
      <c r="A16" s="2" t="s">
        <v>21</v>
      </c>
      <c r="B16" s="32">
        <v>30317</v>
      </c>
      <c r="C16" s="105" t="e">
        <v>#N/A</v>
      </c>
      <c r="D16" s="33" t="e">
        <v>#N/A</v>
      </c>
      <c r="E16" s="33" t="e">
        <v>#N/A</v>
      </c>
      <c r="F16" s="33" t="e">
        <v>#N/A</v>
      </c>
      <c r="G16" s="106">
        <v>2.1070000000000002</v>
      </c>
      <c r="H16" s="97">
        <v>4.766</v>
      </c>
      <c r="I16" s="97">
        <v>2.54</v>
      </c>
      <c r="J16" s="107">
        <v>13.448</v>
      </c>
      <c r="K16" s="42"/>
      <c r="L16" s="42"/>
      <c r="M16" s="86">
        <v>0</v>
      </c>
      <c r="N16" s="2">
        <f t="shared" si="0"/>
        <v>0</v>
      </c>
    </row>
    <row r="17" spans="1:14">
      <c r="A17" s="2" t="s">
        <v>22</v>
      </c>
      <c r="B17" s="32">
        <v>30682</v>
      </c>
      <c r="C17" s="105" t="e">
        <v>#N/A</v>
      </c>
      <c r="D17" s="33" t="e">
        <v>#N/A</v>
      </c>
      <c r="E17" s="33" t="e">
        <v>#N/A</v>
      </c>
      <c r="F17" s="33" t="e">
        <v>#N/A</v>
      </c>
      <c r="G17" s="106">
        <v>2.056</v>
      </c>
      <c r="H17" s="97">
        <v>4.4580000000000002</v>
      </c>
      <c r="I17" s="97">
        <v>2.8130000000000002</v>
      </c>
      <c r="J17" s="107">
        <v>12.242000000000001</v>
      </c>
      <c r="K17" s="42"/>
      <c r="L17" s="42"/>
      <c r="M17" s="86">
        <v>0</v>
      </c>
      <c r="N17" s="2">
        <f t="shared" si="0"/>
        <v>0</v>
      </c>
    </row>
    <row r="18" spans="1:14">
      <c r="A18" s="2" t="s">
        <v>23</v>
      </c>
      <c r="B18" s="32">
        <v>31048</v>
      </c>
      <c r="C18" s="105" t="e">
        <v>#N/A</v>
      </c>
      <c r="D18" s="33" t="e">
        <v>#N/A</v>
      </c>
      <c r="E18" s="33" t="e">
        <v>#N/A</v>
      </c>
      <c r="F18" s="33" t="e">
        <v>#N/A</v>
      </c>
      <c r="G18" s="106">
        <v>2.1640000000000001</v>
      </c>
      <c r="H18" s="97">
        <v>4.3710000000000004</v>
      </c>
      <c r="I18" s="97">
        <v>3.036</v>
      </c>
      <c r="J18" s="107">
        <v>12.616999999999996</v>
      </c>
      <c r="K18" s="42"/>
      <c r="L18" s="42"/>
      <c r="M18" s="86">
        <v>0</v>
      </c>
      <c r="N18" s="2">
        <f t="shared" si="0"/>
        <v>0</v>
      </c>
    </row>
    <row r="19" spans="1:14">
      <c r="A19" s="2" t="s">
        <v>24</v>
      </c>
      <c r="B19" s="32">
        <v>31413</v>
      </c>
      <c r="C19" s="105" t="e">
        <v>#N/A</v>
      </c>
      <c r="D19" s="33" t="e">
        <v>#N/A</v>
      </c>
      <c r="E19" s="33" t="e">
        <v>#N/A</v>
      </c>
      <c r="F19" s="33" t="e">
        <v>#N/A</v>
      </c>
      <c r="G19" s="106">
        <v>2.1909999999999998</v>
      </c>
      <c r="H19" s="97">
        <v>4.3419999999999996</v>
      </c>
      <c r="I19" s="97">
        <v>3.0049999999999999</v>
      </c>
      <c r="J19" s="107">
        <v>12.343000000000004</v>
      </c>
      <c r="K19" s="42"/>
      <c r="L19" s="42"/>
      <c r="M19" s="86">
        <v>0</v>
      </c>
      <c r="N19" s="2">
        <f t="shared" si="0"/>
        <v>0</v>
      </c>
    </row>
    <row r="20" spans="1:14">
      <c r="A20" s="2" t="s">
        <v>25</v>
      </c>
      <c r="B20" s="32">
        <v>31778</v>
      </c>
      <c r="C20" s="105" t="e">
        <v>#N/A</v>
      </c>
      <c r="D20" s="33" t="e">
        <v>#N/A</v>
      </c>
      <c r="E20" s="33" t="e">
        <v>#N/A</v>
      </c>
      <c r="F20" s="33" t="e">
        <v>#N/A</v>
      </c>
      <c r="G20" s="106">
        <v>2.2509999999999999</v>
      </c>
      <c r="H20" s="97">
        <v>4.3010000000000002</v>
      </c>
      <c r="I20" s="97">
        <v>2.907</v>
      </c>
      <c r="J20" s="107">
        <v>11.600000000000001</v>
      </c>
      <c r="K20" s="42"/>
      <c r="L20" s="42"/>
      <c r="M20" s="86">
        <v>0</v>
      </c>
      <c r="N20" s="2">
        <f t="shared" si="0"/>
        <v>0</v>
      </c>
    </row>
    <row r="21" spans="1:14">
      <c r="A21" s="2" t="s">
        <v>26</v>
      </c>
      <c r="B21" s="32">
        <v>32143</v>
      </c>
      <c r="C21" s="105" t="e">
        <v>#N/A</v>
      </c>
      <c r="D21" s="33" t="e">
        <v>#N/A</v>
      </c>
      <c r="E21" s="33" t="e">
        <v>#N/A</v>
      </c>
      <c r="F21" s="33" t="e">
        <v>#N/A</v>
      </c>
      <c r="G21" s="106">
        <v>2.2610000000000001</v>
      </c>
      <c r="H21" s="97">
        <v>4.2190000000000003</v>
      </c>
      <c r="I21" s="97">
        <v>2.9540000000000002</v>
      </c>
      <c r="J21" s="107">
        <v>11.279999999999998</v>
      </c>
      <c r="K21" s="42"/>
      <c r="L21" s="42"/>
      <c r="M21" s="86">
        <v>0</v>
      </c>
      <c r="N21" s="2">
        <f t="shared" si="0"/>
        <v>0</v>
      </c>
    </row>
    <row r="22" spans="1:14">
      <c r="A22" s="2" t="s">
        <v>27</v>
      </c>
      <c r="B22" s="32">
        <v>32509</v>
      </c>
      <c r="C22" s="105" t="e">
        <v>#N/A</v>
      </c>
      <c r="D22" s="33" t="e">
        <v>#N/A</v>
      </c>
      <c r="E22" s="33" t="e">
        <v>#N/A</v>
      </c>
      <c r="F22" s="33" t="e">
        <v>#N/A</v>
      </c>
      <c r="G22" s="106">
        <v>2.3010000000000002</v>
      </c>
      <c r="H22" s="97">
        <v>4.1479999999999997</v>
      </c>
      <c r="I22" s="97">
        <v>3.0419999999999998</v>
      </c>
      <c r="J22" s="107">
        <v>11.1</v>
      </c>
      <c r="K22" s="42"/>
      <c r="L22" s="42"/>
      <c r="M22" s="86">
        <v>0</v>
      </c>
      <c r="N22" s="2">
        <f t="shared" si="0"/>
        <v>0</v>
      </c>
    </row>
    <row r="23" spans="1:14">
      <c r="A23" s="2" t="s">
        <v>28</v>
      </c>
      <c r="B23" s="32">
        <v>32874</v>
      </c>
      <c r="C23" s="105" t="e">
        <v>#N/A</v>
      </c>
      <c r="D23" s="33" t="e">
        <v>#N/A</v>
      </c>
      <c r="E23" s="33" t="e">
        <v>#N/A</v>
      </c>
      <c r="F23" s="33" t="e">
        <v>#N/A</v>
      </c>
      <c r="G23" s="106">
        <v>2.512</v>
      </c>
      <c r="H23" s="97">
        <v>4.1790000000000003</v>
      </c>
      <c r="I23" s="97">
        <v>3.125</v>
      </c>
      <c r="J23" s="107">
        <v>11.426000000000002</v>
      </c>
      <c r="K23" s="42"/>
      <c r="L23" s="42"/>
      <c r="M23" s="86">
        <v>1</v>
      </c>
      <c r="N23" s="2">
        <f t="shared" si="0"/>
        <v>1</v>
      </c>
    </row>
    <row r="24" spans="1:14">
      <c r="A24" s="2" t="s">
        <v>29</v>
      </c>
      <c r="B24" s="32">
        <v>33239</v>
      </c>
      <c r="C24" s="105" t="e">
        <v>#N/A</v>
      </c>
      <c r="D24" s="33" t="e">
        <v>#N/A</v>
      </c>
      <c r="E24" s="33" t="e">
        <v>#N/A</v>
      </c>
      <c r="F24" s="33" t="e">
        <v>#N/A</v>
      </c>
      <c r="G24" s="106">
        <v>2.7370000000000001</v>
      </c>
      <c r="H24" s="97">
        <v>4.3780000000000001</v>
      </c>
      <c r="I24" s="97">
        <v>3.1909999999999998</v>
      </c>
      <c r="J24" s="107">
        <v>11.427000000000001</v>
      </c>
      <c r="K24" s="42"/>
      <c r="L24" s="42"/>
      <c r="M24" s="86">
        <v>1</v>
      </c>
      <c r="N24" s="2">
        <f t="shared" si="0"/>
        <v>1</v>
      </c>
    </row>
    <row r="25" spans="1:14">
      <c r="A25" s="2" t="s">
        <v>30</v>
      </c>
      <c r="B25" s="32">
        <v>33604</v>
      </c>
      <c r="C25" s="105" t="e">
        <v>#N/A</v>
      </c>
      <c r="D25" s="33" t="e">
        <v>#N/A</v>
      </c>
      <c r="E25" s="33" t="e">
        <v>#N/A</v>
      </c>
      <c r="F25" s="33" t="e">
        <v>#N/A</v>
      </c>
      <c r="G25" s="106">
        <v>3.0739999999999998</v>
      </c>
      <c r="H25" s="97">
        <v>4.444</v>
      </c>
      <c r="I25" s="97">
        <v>3.1070000000000002</v>
      </c>
      <c r="J25" s="107">
        <v>10.907000000000002</v>
      </c>
      <c r="K25" s="42"/>
      <c r="L25" s="42"/>
      <c r="M25" s="86">
        <v>0</v>
      </c>
      <c r="N25" s="2">
        <f t="shared" si="0"/>
        <v>0</v>
      </c>
    </row>
    <row r="26" spans="1:14">
      <c r="A26" s="2" t="s">
        <v>31</v>
      </c>
      <c r="B26" s="32">
        <v>33970</v>
      </c>
      <c r="C26" s="105" t="e">
        <v>#N/A</v>
      </c>
      <c r="D26" s="33" t="e">
        <v>#N/A</v>
      </c>
      <c r="E26" s="33" t="e">
        <v>#N/A</v>
      </c>
      <c r="F26" s="33" t="e">
        <v>#N/A</v>
      </c>
      <c r="G26" s="106">
        <v>3.2320000000000002</v>
      </c>
      <c r="H26" s="97">
        <v>4.4569999999999999</v>
      </c>
      <c r="I26" s="97">
        <v>2.9329999999999998</v>
      </c>
      <c r="J26" s="107">
        <v>10.179999999999998</v>
      </c>
      <c r="K26" s="42"/>
      <c r="L26" s="42"/>
      <c r="M26" s="86">
        <v>0</v>
      </c>
      <c r="N26" s="2">
        <f t="shared" si="0"/>
        <v>0</v>
      </c>
    </row>
    <row r="27" spans="1:14">
      <c r="A27" s="2" t="s">
        <v>32</v>
      </c>
      <c r="B27" s="32">
        <v>34335</v>
      </c>
      <c r="C27" s="105" t="e">
        <v>#N/A</v>
      </c>
      <c r="D27" s="33" t="e">
        <v>#N/A</v>
      </c>
      <c r="E27" s="33" t="e">
        <v>#N/A</v>
      </c>
      <c r="F27" s="33" t="e">
        <v>#N/A</v>
      </c>
      <c r="G27" s="106">
        <v>3.367</v>
      </c>
      <c r="H27" s="97">
        <v>4.4160000000000004</v>
      </c>
      <c r="I27" s="97">
        <v>2.8279999999999998</v>
      </c>
      <c r="J27" s="107">
        <v>9.7569999999999979</v>
      </c>
      <c r="K27" s="42"/>
      <c r="L27" s="42"/>
      <c r="M27" s="86">
        <v>0</v>
      </c>
      <c r="N27" s="2">
        <f t="shared" si="0"/>
        <v>0</v>
      </c>
    </row>
    <row r="28" spans="1:14">
      <c r="A28" s="2" t="s">
        <v>33</v>
      </c>
      <c r="B28" s="32">
        <v>34700</v>
      </c>
      <c r="C28" s="105" t="e">
        <v>#N/A</v>
      </c>
      <c r="D28" s="33" t="e">
        <v>#N/A</v>
      </c>
      <c r="E28" s="33" t="e">
        <v>#N/A</v>
      </c>
      <c r="F28" s="33" t="e">
        <v>#N/A</v>
      </c>
      <c r="G28" s="106">
        <v>3.5209999999999999</v>
      </c>
      <c r="H28" s="97">
        <v>4.4080000000000004</v>
      </c>
      <c r="I28" s="97">
        <v>3.07</v>
      </c>
      <c r="J28" s="107">
        <v>9.0489999999999959</v>
      </c>
      <c r="K28" s="42"/>
      <c r="L28" s="42"/>
      <c r="M28" s="86">
        <v>0</v>
      </c>
      <c r="N28" s="2">
        <f t="shared" si="0"/>
        <v>0</v>
      </c>
    </row>
    <row r="29" spans="1:14">
      <c r="A29" s="2" t="s">
        <v>34</v>
      </c>
      <c r="B29" s="32">
        <v>35065</v>
      </c>
      <c r="C29" s="105" t="e">
        <v>#N/A</v>
      </c>
      <c r="D29" s="33" t="e">
        <v>#N/A</v>
      </c>
      <c r="E29" s="33" t="e">
        <v>#N/A</v>
      </c>
      <c r="F29" s="33" t="e">
        <v>#N/A</v>
      </c>
      <c r="G29" s="106">
        <v>3.5630000000000002</v>
      </c>
      <c r="H29" s="97">
        <v>4.3650000000000002</v>
      </c>
      <c r="I29" s="97">
        <v>3.032</v>
      </c>
      <c r="J29" s="107">
        <v>8.6649999999999991</v>
      </c>
      <c r="K29" s="42"/>
      <c r="L29" s="42"/>
      <c r="M29" s="86">
        <v>0</v>
      </c>
      <c r="N29" s="2">
        <f t="shared" si="0"/>
        <v>0</v>
      </c>
    </row>
    <row r="30" spans="1:14">
      <c r="A30" s="2" t="s">
        <v>35</v>
      </c>
      <c r="B30" s="32">
        <v>35431</v>
      </c>
      <c r="C30" s="105" t="e">
        <v>#N/A</v>
      </c>
      <c r="D30" s="33" t="e">
        <v>#N/A</v>
      </c>
      <c r="E30" s="33" t="e">
        <v>#N/A</v>
      </c>
      <c r="F30" s="33" t="e">
        <v>#N/A</v>
      </c>
      <c r="G30" s="106">
        <v>3.5910000000000002</v>
      </c>
      <c r="H30" s="97">
        <v>4.2869999999999999</v>
      </c>
      <c r="I30" s="97">
        <v>2.887</v>
      </c>
      <c r="J30" s="107">
        <v>8.1810000000000009</v>
      </c>
      <c r="K30" s="42"/>
      <c r="L30" s="42"/>
      <c r="M30" s="86">
        <v>0</v>
      </c>
      <c r="N30" s="2">
        <f t="shared" si="0"/>
        <v>0</v>
      </c>
    </row>
    <row r="31" spans="1:14">
      <c r="A31" s="2" t="s">
        <v>36</v>
      </c>
      <c r="B31" s="32">
        <v>35796</v>
      </c>
      <c r="C31" s="105" t="e">
        <v>#N/A</v>
      </c>
      <c r="D31" s="33" t="e">
        <v>#N/A</v>
      </c>
      <c r="E31" s="33" t="e">
        <v>#N/A</v>
      </c>
      <c r="F31" s="33" t="e">
        <v>#N/A</v>
      </c>
      <c r="G31" s="106">
        <v>3.496</v>
      </c>
      <c r="H31" s="97">
        <v>4.2110000000000003</v>
      </c>
      <c r="I31" s="97">
        <v>2.7</v>
      </c>
      <c r="J31" s="107">
        <v>8.0960000000000001</v>
      </c>
      <c r="K31" s="42"/>
      <c r="L31" s="42"/>
      <c r="M31" s="86">
        <v>0</v>
      </c>
      <c r="N31" s="2">
        <f t="shared" si="0"/>
        <v>0</v>
      </c>
    </row>
    <row r="32" spans="1:14">
      <c r="A32" s="2" t="s">
        <v>37</v>
      </c>
      <c r="B32" s="32">
        <v>36161</v>
      </c>
      <c r="C32" s="105" t="e">
        <v>#N/A</v>
      </c>
      <c r="D32" s="33" t="e">
        <v>#N/A</v>
      </c>
      <c r="E32" s="33" t="e">
        <v>#N/A</v>
      </c>
      <c r="F32" s="33" t="e">
        <v>#N/A</v>
      </c>
      <c r="G32" s="106">
        <v>3.3469999999999995</v>
      </c>
      <c r="H32" s="97">
        <v>4.0819999999999999</v>
      </c>
      <c r="I32" s="97">
        <v>2.4239999999999999</v>
      </c>
      <c r="J32" s="107">
        <v>8.0999999999999979</v>
      </c>
      <c r="K32" s="42"/>
      <c r="L32" s="42"/>
      <c r="M32" s="86">
        <v>0</v>
      </c>
      <c r="N32" s="2">
        <f t="shared" si="0"/>
        <v>0</v>
      </c>
    </row>
    <row r="33" spans="1:14">
      <c r="A33" s="2" t="s">
        <v>38</v>
      </c>
      <c r="B33" s="32">
        <v>36526</v>
      </c>
      <c r="C33" s="105" t="e">
        <v>#N/A</v>
      </c>
      <c r="D33" s="33" t="e">
        <v>#N/A</v>
      </c>
      <c r="E33" s="33" t="e">
        <v>#N/A</v>
      </c>
      <c r="F33" s="33" t="e">
        <v>#N/A</v>
      </c>
      <c r="G33" s="106">
        <v>3.3009999999999997</v>
      </c>
      <c r="H33" s="97">
        <v>4.0129999999999999</v>
      </c>
      <c r="I33" s="97">
        <v>2.2040000000000002</v>
      </c>
      <c r="J33" s="107">
        <v>8.1639999999999979</v>
      </c>
      <c r="K33" s="42"/>
      <c r="L33" s="42"/>
      <c r="M33" s="86">
        <v>0</v>
      </c>
      <c r="N33" s="2">
        <f t="shared" si="0"/>
        <v>0</v>
      </c>
    </row>
    <row r="34" spans="1:14">
      <c r="A34" s="2" t="s">
        <v>39</v>
      </c>
      <c r="B34" s="32">
        <v>36892</v>
      </c>
      <c r="C34" s="105" t="e">
        <v>#N/A</v>
      </c>
      <c r="D34" s="33" t="e">
        <v>#N/A</v>
      </c>
      <c r="E34" s="33" t="e">
        <v>#N/A</v>
      </c>
      <c r="F34" s="33" t="e">
        <v>#N/A</v>
      </c>
      <c r="G34" s="106">
        <v>3.4889999999999999</v>
      </c>
      <c r="H34" s="97">
        <v>4.0789999999999997</v>
      </c>
      <c r="I34" s="97">
        <v>1.9590000000000001</v>
      </c>
      <c r="J34" s="107">
        <v>8.1699999999999982</v>
      </c>
      <c r="K34" s="42"/>
      <c r="L34" s="42"/>
      <c r="M34" s="86">
        <v>3</v>
      </c>
      <c r="N34" s="2">
        <f t="shared" si="0"/>
        <v>1</v>
      </c>
    </row>
    <row r="35" spans="1:14">
      <c r="A35" s="2" t="s">
        <v>40</v>
      </c>
      <c r="B35" s="32">
        <v>37257</v>
      </c>
      <c r="C35" s="105" t="e">
        <v>#N/A</v>
      </c>
      <c r="D35" s="33" t="e">
        <v>#N/A</v>
      </c>
      <c r="E35" s="33" t="e">
        <v>#N/A</v>
      </c>
      <c r="F35" s="33" t="e">
        <v>#N/A</v>
      </c>
      <c r="G35" s="106">
        <v>3.7040000000000002</v>
      </c>
      <c r="H35" s="97">
        <v>4.173</v>
      </c>
      <c r="I35" s="97">
        <v>1.5780000000000001</v>
      </c>
      <c r="J35" s="107">
        <v>9.1070000000000011</v>
      </c>
      <c r="K35" s="42"/>
      <c r="L35" s="42"/>
      <c r="M35" s="86">
        <v>0</v>
      </c>
      <c r="N35" s="2">
        <f t="shared" si="0"/>
        <v>0</v>
      </c>
    </row>
    <row r="36" spans="1:14">
      <c r="A36" s="2" t="s">
        <v>41</v>
      </c>
      <c r="B36" s="32">
        <v>37622</v>
      </c>
      <c r="C36" s="105" t="e">
        <v>#N/A</v>
      </c>
      <c r="D36" s="33" t="e">
        <v>#N/A</v>
      </c>
      <c r="E36" s="33" t="e">
        <v>#N/A</v>
      </c>
      <c r="F36" s="33" t="e">
        <v>#N/A</v>
      </c>
      <c r="G36" s="106">
        <v>3.8540000000000001</v>
      </c>
      <c r="H36" s="97">
        <v>4.1689999999999996</v>
      </c>
      <c r="I36" s="97">
        <v>1.357</v>
      </c>
      <c r="J36" s="107">
        <v>9.7620000000000005</v>
      </c>
      <c r="K36" s="42"/>
      <c r="L36" s="42"/>
      <c r="M36" s="86">
        <v>0</v>
      </c>
      <c r="N36" s="2">
        <f t="shared" si="0"/>
        <v>0</v>
      </c>
    </row>
    <row r="37" spans="1:14">
      <c r="A37" s="2" t="s">
        <v>42</v>
      </c>
      <c r="B37" s="32">
        <v>37987</v>
      </c>
      <c r="C37" s="105" t="e">
        <v>#N/A</v>
      </c>
      <c r="D37" s="33" t="e">
        <v>#N/A</v>
      </c>
      <c r="E37" s="33" t="e">
        <v>#N/A</v>
      </c>
      <c r="F37" s="33" t="e">
        <v>#N/A</v>
      </c>
      <c r="G37" s="106">
        <v>3.9350000000000005</v>
      </c>
      <c r="H37" s="97">
        <v>4.0869999999999997</v>
      </c>
      <c r="I37" s="97">
        <v>1.333</v>
      </c>
      <c r="J37" s="107">
        <v>9.7120000000000015</v>
      </c>
      <c r="K37" s="42"/>
      <c r="L37" s="42"/>
      <c r="M37" s="86">
        <v>0</v>
      </c>
      <c r="N37" s="2">
        <f t="shared" si="0"/>
        <v>0</v>
      </c>
    </row>
    <row r="38" spans="1:14">
      <c r="A38" s="2" t="s">
        <v>43</v>
      </c>
      <c r="B38" s="32">
        <v>38353</v>
      </c>
      <c r="C38" s="105" t="e">
        <v>#N/A</v>
      </c>
      <c r="D38" s="33" t="e">
        <v>#N/A</v>
      </c>
      <c r="E38" s="33" t="e">
        <v>#N/A</v>
      </c>
      <c r="F38" s="33" t="e">
        <v>#N/A</v>
      </c>
      <c r="G38" s="106">
        <v>4.0270000000000001</v>
      </c>
      <c r="H38" s="97">
        <v>4.0419999999999998</v>
      </c>
      <c r="I38" s="97">
        <v>1.4339999999999999</v>
      </c>
      <c r="J38" s="107">
        <v>9.7579999999999973</v>
      </c>
      <c r="K38" s="42"/>
      <c r="L38" s="42"/>
      <c r="M38" s="86">
        <v>0</v>
      </c>
      <c r="N38" s="2">
        <f t="shared" si="0"/>
        <v>0</v>
      </c>
    </row>
    <row r="39" spans="1:14">
      <c r="A39" s="2" t="s">
        <v>44</v>
      </c>
      <c r="B39" s="32">
        <v>38718</v>
      </c>
      <c r="C39" s="105" t="e">
        <v>#N/A</v>
      </c>
      <c r="D39" s="33" t="e">
        <v>#N/A</v>
      </c>
      <c r="E39" s="33" t="e">
        <v>#N/A</v>
      </c>
      <c r="F39" s="33" t="e">
        <v>#N/A</v>
      </c>
      <c r="G39" s="106">
        <v>4.0869999999999997</v>
      </c>
      <c r="H39" s="97">
        <v>3.988</v>
      </c>
      <c r="I39" s="97">
        <v>1.6619999999999999</v>
      </c>
      <c r="J39" s="107">
        <v>9.73</v>
      </c>
      <c r="K39" s="42"/>
      <c r="L39" s="42"/>
      <c r="M39" s="86">
        <v>0</v>
      </c>
      <c r="N39" s="2">
        <f t="shared" si="0"/>
        <v>0</v>
      </c>
    </row>
    <row r="40" spans="1:14">
      <c r="A40" s="2" t="s">
        <v>45</v>
      </c>
      <c r="B40" s="32">
        <v>39083</v>
      </c>
      <c r="C40" s="105" t="e">
        <v>#N/A</v>
      </c>
      <c r="D40" s="33" t="e">
        <v>#N/A</v>
      </c>
      <c r="E40" s="33" t="e">
        <v>#N/A</v>
      </c>
      <c r="F40" s="33" t="e">
        <v>#N/A</v>
      </c>
      <c r="G40" s="106">
        <v>4.3860000000000001</v>
      </c>
      <c r="H40" s="97">
        <v>4.069</v>
      </c>
      <c r="I40" s="97">
        <v>1.659</v>
      </c>
      <c r="J40" s="107">
        <v>8.980000000000004</v>
      </c>
      <c r="K40" s="42"/>
      <c r="L40" s="42"/>
      <c r="M40" s="86">
        <v>0</v>
      </c>
      <c r="N40" s="2">
        <f t="shared" si="0"/>
        <v>0</v>
      </c>
    </row>
    <row r="41" spans="1:14">
      <c r="A41" s="2" t="s">
        <v>46</v>
      </c>
      <c r="B41" s="32">
        <v>39448</v>
      </c>
      <c r="C41" s="105" t="e">
        <v>#N/A</v>
      </c>
      <c r="D41" s="33" t="e">
        <v>#N/A</v>
      </c>
      <c r="E41" s="33" t="e">
        <v>#N/A</v>
      </c>
      <c r="F41" s="33" t="e">
        <v>#N/A</v>
      </c>
      <c r="G41" s="106">
        <v>4.4589999999999996</v>
      </c>
      <c r="H41" s="97">
        <v>4.1520000000000001</v>
      </c>
      <c r="I41" s="97">
        <v>1.714</v>
      </c>
      <c r="J41" s="107">
        <v>9.9050000000000011</v>
      </c>
      <c r="K41" s="42"/>
      <c r="L41" s="42"/>
      <c r="M41" s="86">
        <v>4</v>
      </c>
      <c r="N41" s="2">
        <f t="shared" si="0"/>
        <v>1</v>
      </c>
    </row>
    <row r="42" spans="1:14">
      <c r="A42" s="2" t="s">
        <v>47</v>
      </c>
      <c r="B42" s="32">
        <v>39814</v>
      </c>
      <c r="C42" s="105" t="e">
        <v>#N/A</v>
      </c>
      <c r="D42" s="33" t="e">
        <v>#N/A</v>
      </c>
      <c r="E42" s="33" t="e">
        <v>#N/A</v>
      </c>
      <c r="F42" s="33" t="e">
        <v>#N/A</v>
      </c>
      <c r="G42" s="106">
        <v>5.2030000000000003</v>
      </c>
      <c r="H42" s="97">
        <v>4.6959999999999997</v>
      </c>
      <c r="I42" s="97">
        <v>1.2949999999999999</v>
      </c>
      <c r="J42" s="107">
        <v>13.180000000000001</v>
      </c>
      <c r="K42" s="42"/>
      <c r="L42" s="42"/>
      <c r="M42" s="86">
        <v>2</v>
      </c>
      <c r="N42" s="2">
        <f t="shared" si="0"/>
        <v>1</v>
      </c>
    </row>
    <row r="43" spans="1:14">
      <c r="A43" s="2" t="s">
        <v>48</v>
      </c>
      <c r="B43" s="32">
        <v>40179</v>
      </c>
      <c r="C43" s="105" t="e">
        <v>#N/A</v>
      </c>
      <c r="D43" s="33" t="e">
        <v>#N/A</v>
      </c>
      <c r="E43" s="33" t="e">
        <v>#N/A</v>
      </c>
      <c r="F43" s="33" t="e">
        <v>#N/A</v>
      </c>
      <c r="G43" s="106">
        <v>5.3460000000000001</v>
      </c>
      <c r="H43" s="97">
        <v>4.7220000000000004</v>
      </c>
      <c r="I43" s="97">
        <v>1.3220000000000001</v>
      </c>
      <c r="J43" s="107">
        <v>11.907</v>
      </c>
      <c r="K43" s="42"/>
      <c r="L43" s="42"/>
      <c r="M43" s="86">
        <v>0</v>
      </c>
      <c r="N43" s="2">
        <f t="shared" si="0"/>
        <v>0</v>
      </c>
    </row>
    <row r="44" spans="1:14">
      <c r="A44" s="2" t="s">
        <v>49</v>
      </c>
      <c r="B44" s="32">
        <v>40544</v>
      </c>
      <c r="C44" s="105" t="e">
        <v>#N/A</v>
      </c>
      <c r="D44" s="33" t="e">
        <v>#N/A</v>
      </c>
      <c r="E44" s="33" t="e">
        <v>#N/A</v>
      </c>
      <c r="F44" s="33" t="e">
        <v>#N/A</v>
      </c>
      <c r="G44" s="106">
        <v>5.4180000000000001</v>
      </c>
      <c r="H44" s="97">
        <v>4.7060000000000004</v>
      </c>
      <c r="I44" s="97">
        <v>1.4930000000000001</v>
      </c>
      <c r="J44" s="107">
        <v>11.774000000000001</v>
      </c>
      <c r="K44" s="42"/>
      <c r="L44" s="42"/>
      <c r="M44" s="86">
        <v>0</v>
      </c>
      <c r="N44" s="2">
        <f t="shared" si="0"/>
        <v>0</v>
      </c>
    </row>
    <row r="45" spans="1:14">
      <c r="A45" s="2" t="s">
        <v>50</v>
      </c>
      <c r="B45" s="32">
        <v>40909</v>
      </c>
      <c r="C45" s="105" t="e">
        <v>#N/A</v>
      </c>
      <c r="D45" s="33" t="e">
        <v>#N/A</v>
      </c>
      <c r="E45" s="33" t="e">
        <v>#N/A</v>
      </c>
      <c r="F45" s="33" t="e">
        <v>#N/A</v>
      </c>
      <c r="G45" s="106">
        <v>4.9930000000000003</v>
      </c>
      <c r="H45" s="97">
        <v>4.7809999999999997</v>
      </c>
      <c r="I45" s="97">
        <v>1.373</v>
      </c>
      <c r="J45" s="107">
        <v>10.880999999999998</v>
      </c>
      <c r="K45" s="42"/>
      <c r="L45" s="42"/>
      <c r="M45" s="86">
        <v>0</v>
      </c>
      <c r="N45" s="2">
        <f t="shared" si="0"/>
        <v>0</v>
      </c>
    </row>
    <row r="46" spans="1:14">
      <c r="A46" s="2" t="s">
        <v>51</v>
      </c>
      <c r="B46" s="32">
        <v>41275</v>
      </c>
      <c r="C46" s="105" t="e">
        <v>#N/A</v>
      </c>
      <c r="D46" s="33" t="e">
        <v>#N/A</v>
      </c>
      <c r="E46" s="33" t="e">
        <v>#N/A</v>
      </c>
      <c r="F46" s="33" t="e">
        <v>#N/A</v>
      </c>
      <c r="G46" s="106">
        <v>5.1230000000000002</v>
      </c>
      <c r="H46" s="97">
        <v>4.8650000000000002</v>
      </c>
      <c r="I46" s="97">
        <v>1.33</v>
      </c>
      <c r="J46" s="107">
        <v>9.4879999999999978</v>
      </c>
      <c r="K46" s="42"/>
      <c r="L46" s="42"/>
      <c r="M46" s="86">
        <v>0</v>
      </c>
      <c r="N46" s="2">
        <f t="shared" si="0"/>
        <v>0</v>
      </c>
    </row>
    <row r="47" spans="1:14">
      <c r="A47" s="2" t="s">
        <v>52</v>
      </c>
      <c r="B47" s="32">
        <v>41640</v>
      </c>
      <c r="C47" s="106" t="e">
        <v>#N/A</v>
      </c>
      <c r="D47" s="100" t="e">
        <v>#N/A</v>
      </c>
      <c r="E47" s="100" t="e">
        <v>#N/A</v>
      </c>
      <c r="F47" s="100" t="e">
        <v>#N/A</v>
      </c>
      <c r="G47" s="106">
        <v>5.2</v>
      </c>
      <c r="H47" s="97">
        <v>4.8739999999999997</v>
      </c>
      <c r="I47" s="97">
        <v>1.321</v>
      </c>
      <c r="J47" s="107">
        <v>8.8330000000000002</v>
      </c>
      <c r="K47" s="41"/>
      <c r="L47" s="41"/>
      <c r="M47" s="86">
        <v>0</v>
      </c>
      <c r="N47" s="2">
        <f t="shared" si="0"/>
        <v>0</v>
      </c>
    </row>
    <row r="48" spans="1:14">
      <c r="A48" s="2" t="s">
        <v>53</v>
      </c>
      <c r="B48" s="32">
        <v>42005</v>
      </c>
      <c r="C48" s="106" t="e">
        <v>#N/A</v>
      </c>
      <c r="D48" s="33" t="e">
        <v>#N/A</v>
      </c>
      <c r="E48" s="33" t="e">
        <v>#N/A</v>
      </c>
      <c r="F48" s="33" t="e">
        <v>#N/A</v>
      </c>
      <c r="G48" s="106">
        <v>5.4379999999999997</v>
      </c>
      <c r="H48" s="34">
        <v>4.875</v>
      </c>
      <c r="I48" s="34">
        <v>1.234</v>
      </c>
      <c r="J48" s="108">
        <v>8.8420000000000023</v>
      </c>
      <c r="K48" s="33"/>
      <c r="L48" s="33"/>
      <c r="M48" s="86">
        <v>0</v>
      </c>
      <c r="N48" s="2">
        <f t="shared" si="0"/>
        <v>0</v>
      </c>
    </row>
    <row r="49" spans="1:14">
      <c r="A49" s="2" t="s">
        <v>54</v>
      </c>
      <c r="B49" s="32">
        <v>42370</v>
      </c>
      <c r="C49" s="105" t="e">
        <v>#N/A</v>
      </c>
      <c r="D49" s="33" t="e">
        <v>#N/A</v>
      </c>
      <c r="E49" s="33" t="e">
        <v>#N/A</v>
      </c>
      <c r="F49" s="33" t="e">
        <v>#N/A</v>
      </c>
      <c r="G49" s="106">
        <v>5.718</v>
      </c>
      <c r="H49" s="34">
        <v>4.907</v>
      </c>
      <c r="I49" s="34">
        <v>1.294</v>
      </c>
      <c r="J49" s="108">
        <v>8.8490000000000002</v>
      </c>
      <c r="K49" s="37"/>
      <c r="L49" s="37"/>
      <c r="M49" s="86">
        <v>0</v>
      </c>
      <c r="N49" s="2">
        <f t="shared" si="0"/>
        <v>0</v>
      </c>
    </row>
    <row r="50" spans="1:14">
      <c r="A50" s="2" t="s">
        <v>55</v>
      </c>
      <c r="B50" s="32">
        <v>42736</v>
      </c>
      <c r="C50" s="105">
        <v>5.5</v>
      </c>
      <c r="D50" s="33">
        <v>4.9000000000000004</v>
      </c>
      <c r="E50" s="33">
        <v>1.4</v>
      </c>
      <c r="F50" s="33">
        <v>8.9</v>
      </c>
      <c r="G50" s="106">
        <v>5.5880000000000001</v>
      </c>
      <c r="H50" s="34">
        <v>4.8730000000000002</v>
      </c>
      <c r="I50" s="34">
        <v>1.3620000000000001</v>
      </c>
      <c r="J50" s="108">
        <v>8.8369999999999997</v>
      </c>
      <c r="K50" s="37"/>
      <c r="L50" s="37"/>
      <c r="M50" s="86">
        <v>0</v>
      </c>
      <c r="N50" s="2">
        <f t="shared" si="0"/>
        <v>0</v>
      </c>
    </row>
    <row r="51" spans="1:14">
      <c r="A51" s="2" t="s">
        <v>56</v>
      </c>
      <c r="B51" s="32">
        <v>43101</v>
      </c>
      <c r="C51" s="105">
        <v>5.1999999999999993</v>
      </c>
      <c r="D51" s="33">
        <v>4.9000000000000004</v>
      </c>
      <c r="E51" s="33">
        <v>1.6</v>
      </c>
      <c r="F51" s="33">
        <v>8.9</v>
      </c>
      <c r="G51" s="106">
        <v>5.4039999999999999</v>
      </c>
      <c r="H51" s="34">
        <v>4.8540000000000001</v>
      </c>
      <c r="I51" s="34">
        <v>1.605</v>
      </c>
      <c r="J51" s="108">
        <v>8.4359999999999999</v>
      </c>
      <c r="K51" s="37"/>
      <c r="L51" s="37"/>
      <c r="M51" s="86">
        <v>0</v>
      </c>
      <c r="N51" s="2">
        <f t="shared" si="0"/>
        <v>0</v>
      </c>
    </row>
    <row r="52" spans="1:14">
      <c r="A52" s="2" t="s">
        <v>57</v>
      </c>
      <c r="B52" s="32">
        <v>43466</v>
      </c>
      <c r="C52" s="105">
        <v>5.2</v>
      </c>
      <c r="D52" s="33">
        <v>4.9000000000000004</v>
      </c>
      <c r="E52" s="33">
        <v>1.8</v>
      </c>
      <c r="F52" s="33">
        <v>9.1</v>
      </c>
      <c r="G52" s="106" t="e">
        <v>#N/A</v>
      </c>
      <c r="H52" s="34" t="e">
        <v>#N/A</v>
      </c>
      <c r="I52" s="34" t="e">
        <v>#N/A</v>
      </c>
      <c r="J52" s="108" t="e">
        <v>#N/A</v>
      </c>
      <c r="K52" s="37"/>
      <c r="L52" s="37"/>
      <c r="M52" s="86">
        <v>0</v>
      </c>
      <c r="N52" s="2">
        <f t="shared" si="0"/>
        <v>0</v>
      </c>
    </row>
    <row r="53" spans="1:14">
      <c r="A53" s="2" t="s">
        <v>58</v>
      </c>
      <c r="B53" s="32">
        <v>43831</v>
      </c>
      <c r="C53" s="105">
        <v>5.3000000000000007</v>
      </c>
      <c r="D53" s="33">
        <v>5</v>
      </c>
      <c r="E53" s="33">
        <v>2.2000000000000002</v>
      </c>
      <c r="F53" s="33">
        <v>8.6999999999999993</v>
      </c>
      <c r="G53" s="106" t="e">
        <v>#N/A</v>
      </c>
      <c r="H53" s="34" t="e">
        <v>#N/A</v>
      </c>
      <c r="I53" s="34" t="e">
        <v>#N/A</v>
      </c>
      <c r="J53" s="108" t="e">
        <v>#N/A</v>
      </c>
      <c r="K53" s="37"/>
      <c r="L53" s="37"/>
      <c r="M53" s="86" t="e">
        <v>#N/A</v>
      </c>
      <c r="N53" s="2">
        <f t="shared" si="0"/>
        <v>0</v>
      </c>
    </row>
    <row r="54" spans="1:14">
      <c r="A54" s="2" t="s">
        <v>59</v>
      </c>
      <c r="B54" s="32">
        <v>44197</v>
      </c>
      <c r="C54" s="105">
        <v>5.5</v>
      </c>
      <c r="D54" s="33">
        <v>5.2</v>
      </c>
      <c r="E54" s="33">
        <v>2.5</v>
      </c>
      <c r="F54" s="33">
        <v>8.5</v>
      </c>
      <c r="G54" s="106" t="e">
        <v>#N/A</v>
      </c>
      <c r="H54" s="34" t="e">
        <v>#N/A</v>
      </c>
      <c r="I54" s="34" t="e">
        <v>#N/A</v>
      </c>
      <c r="J54" s="108" t="e">
        <v>#N/A</v>
      </c>
      <c r="K54" s="37"/>
      <c r="L54" s="37"/>
      <c r="M54" s="86" t="e">
        <v>#N/A</v>
      </c>
      <c r="N54" s="2">
        <f t="shared" si="0"/>
        <v>0</v>
      </c>
    </row>
    <row r="55" spans="1:14">
      <c r="A55" s="2" t="s">
        <v>60</v>
      </c>
      <c r="B55" s="32">
        <v>44562</v>
      </c>
      <c r="C55" s="105">
        <v>5.8</v>
      </c>
      <c r="D55" s="33">
        <v>5.3</v>
      </c>
      <c r="E55" s="33">
        <v>2.7</v>
      </c>
      <c r="F55" s="33">
        <v>8.5</v>
      </c>
      <c r="G55" s="106" t="e">
        <v>#N/A</v>
      </c>
      <c r="H55" s="34" t="e">
        <v>#N/A</v>
      </c>
      <c r="I55" s="34" t="e">
        <v>#N/A</v>
      </c>
      <c r="J55" s="108" t="e">
        <v>#N/A</v>
      </c>
      <c r="K55" s="37"/>
      <c r="L55" s="37"/>
      <c r="M55" s="86" t="e">
        <v>#N/A</v>
      </c>
      <c r="N55" s="2">
        <f t="shared" si="0"/>
        <v>0</v>
      </c>
    </row>
    <row r="56" spans="1:14">
      <c r="A56" s="2" t="s">
        <v>61</v>
      </c>
      <c r="B56" s="32">
        <v>44927</v>
      </c>
      <c r="C56" s="105">
        <v>5.9</v>
      </c>
      <c r="D56" s="33">
        <v>5.4</v>
      </c>
      <c r="E56" s="33">
        <v>2.8</v>
      </c>
      <c r="F56" s="33">
        <v>8.3000000000000007</v>
      </c>
      <c r="G56" s="106" t="e">
        <v>#N/A</v>
      </c>
      <c r="H56" s="34" t="e">
        <v>#N/A</v>
      </c>
      <c r="I56" s="34" t="e">
        <v>#N/A</v>
      </c>
      <c r="J56" s="108" t="e">
        <v>#N/A</v>
      </c>
      <c r="K56" s="37"/>
      <c r="L56" s="37"/>
      <c r="M56" s="86" t="e">
        <v>#N/A</v>
      </c>
      <c r="N56" s="2">
        <f t="shared" si="0"/>
        <v>0</v>
      </c>
    </row>
    <row r="57" spans="1:14">
      <c r="A57" s="2" t="s">
        <v>62</v>
      </c>
      <c r="B57" s="32">
        <v>45292</v>
      </c>
      <c r="C57" s="105">
        <v>5.8</v>
      </c>
      <c r="D57" s="33">
        <v>5.5</v>
      </c>
      <c r="E57" s="33">
        <v>2.9</v>
      </c>
      <c r="F57" s="33">
        <v>8</v>
      </c>
      <c r="G57" s="106" t="e">
        <v>#N/A</v>
      </c>
      <c r="H57" s="34" t="e">
        <v>#N/A</v>
      </c>
      <c r="I57" s="34" t="e">
        <v>#N/A</v>
      </c>
      <c r="J57" s="108" t="e">
        <v>#N/A</v>
      </c>
      <c r="K57" s="37"/>
      <c r="L57" s="37"/>
      <c r="M57" s="86" t="e">
        <v>#N/A</v>
      </c>
      <c r="N57" s="2">
        <f t="shared" si="0"/>
        <v>0</v>
      </c>
    </row>
    <row r="58" spans="1:14">
      <c r="A58" s="2" t="s">
        <v>63</v>
      </c>
      <c r="B58" s="32">
        <v>45658</v>
      </c>
      <c r="C58" s="105">
        <v>6.1</v>
      </c>
      <c r="D58" s="33">
        <v>5.6</v>
      </c>
      <c r="E58" s="33">
        <v>2.9</v>
      </c>
      <c r="F58" s="33">
        <v>8</v>
      </c>
      <c r="G58" s="106" t="e">
        <v>#N/A</v>
      </c>
      <c r="H58" s="34" t="e">
        <v>#N/A</v>
      </c>
      <c r="I58" s="34" t="e">
        <v>#N/A</v>
      </c>
      <c r="J58" s="108" t="e">
        <v>#N/A</v>
      </c>
      <c r="K58" s="37"/>
      <c r="L58" s="37"/>
      <c r="M58" s="86" t="e">
        <v>#N/A</v>
      </c>
      <c r="N58" s="2">
        <f t="shared" si="0"/>
        <v>0</v>
      </c>
    </row>
    <row r="59" spans="1:14">
      <c r="A59" s="2" t="s">
        <v>64</v>
      </c>
      <c r="B59" s="32">
        <v>46023</v>
      </c>
      <c r="C59" s="105">
        <v>6.3</v>
      </c>
      <c r="D59" s="33">
        <v>5.7</v>
      </c>
      <c r="E59" s="33">
        <v>3</v>
      </c>
      <c r="F59" s="33">
        <v>8</v>
      </c>
      <c r="G59" s="106" t="e">
        <v>#N/A</v>
      </c>
      <c r="H59" s="34" t="e">
        <v>#N/A</v>
      </c>
      <c r="I59" s="34" t="e">
        <v>#N/A</v>
      </c>
      <c r="J59" s="108" t="e">
        <v>#N/A</v>
      </c>
      <c r="K59" s="37"/>
      <c r="L59" s="37"/>
      <c r="M59" s="86" t="e">
        <v>#N/A</v>
      </c>
      <c r="N59" s="2">
        <f t="shared" si="0"/>
        <v>0</v>
      </c>
    </row>
    <row r="60" spans="1:14">
      <c r="A60" s="2" t="s">
        <v>65</v>
      </c>
      <c r="B60" s="32">
        <v>46388</v>
      </c>
      <c r="C60" s="105">
        <v>6.4</v>
      </c>
      <c r="D60" s="33">
        <v>5.8</v>
      </c>
      <c r="E60" s="33">
        <v>3</v>
      </c>
      <c r="F60" s="33">
        <v>7.8</v>
      </c>
      <c r="G60" s="106" t="e">
        <v>#N/A</v>
      </c>
      <c r="H60" s="34" t="e">
        <v>#N/A</v>
      </c>
      <c r="I60" s="34" t="e">
        <v>#N/A</v>
      </c>
      <c r="J60" s="108" t="e">
        <v>#N/A</v>
      </c>
      <c r="K60" s="37"/>
      <c r="L60" s="37"/>
      <c r="M60" s="86" t="e">
        <v>#N/A</v>
      </c>
      <c r="N60" s="2">
        <f t="shared" si="0"/>
        <v>0</v>
      </c>
    </row>
    <row r="61" spans="1:14">
      <c r="A61" s="2" t="s">
        <v>66</v>
      </c>
      <c r="B61" s="32">
        <v>46753</v>
      </c>
      <c r="C61" s="105">
        <v>6.7</v>
      </c>
      <c r="D61" s="33">
        <v>6</v>
      </c>
      <c r="E61" s="33">
        <v>3.1</v>
      </c>
      <c r="F61" s="33">
        <v>7.9</v>
      </c>
      <c r="G61" s="106" t="e">
        <v>#N/A</v>
      </c>
      <c r="H61" s="34" t="e">
        <v>#N/A</v>
      </c>
      <c r="I61" s="34" t="e">
        <v>#N/A</v>
      </c>
      <c r="J61" s="108" t="e">
        <v>#N/A</v>
      </c>
      <c r="K61" s="37"/>
      <c r="L61" s="37"/>
      <c r="M61" s="86" t="e">
        <v>#N/A</v>
      </c>
      <c r="N61" s="2">
        <f t="shared" si="0"/>
        <v>0</v>
      </c>
    </row>
    <row r="62" spans="1:14">
      <c r="A62" s="2" t="s">
        <v>67</v>
      </c>
      <c r="B62" s="32">
        <v>47119</v>
      </c>
      <c r="C62" s="105">
        <v>6.6999999999999993</v>
      </c>
      <c r="D62" s="33">
        <v>6</v>
      </c>
      <c r="E62" s="33">
        <v>3.1</v>
      </c>
      <c r="F62" s="33">
        <v>7.7</v>
      </c>
      <c r="G62" s="106" t="e">
        <v>#N/A</v>
      </c>
      <c r="H62" s="34" t="e">
        <v>#N/A</v>
      </c>
      <c r="I62" s="34" t="e">
        <v>#N/A</v>
      </c>
      <c r="J62" s="108" t="e">
        <v>#N/A</v>
      </c>
      <c r="K62" s="37"/>
      <c r="L62" s="37"/>
      <c r="M62" s="86" t="e">
        <v>#N/A</v>
      </c>
      <c r="N62" s="2">
        <f t="shared" si="0"/>
        <v>0</v>
      </c>
    </row>
    <row r="63" spans="1:14">
      <c r="A63" s="2" t="s">
        <v>68</v>
      </c>
      <c r="B63" s="32">
        <v>47484</v>
      </c>
      <c r="C63" s="105">
        <v>6.8000000000000007</v>
      </c>
      <c r="D63" s="33">
        <v>6.1</v>
      </c>
      <c r="E63" s="33">
        <v>3.2</v>
      </c>
      <c r="F63" s="33">
        <v>7.7</v>
      </c>
      <c r="G63" s="106" t="e">
        <v>#N/A</v>
      </c>
      <c r="H63" s="34" t="e">
        <v>#N/A</v>
      </c>
      <c r="I63" s="34" t="e">
        <v>#N/A</v>
      </c>
      <c r="J63" s="108" t="e">
        <v>#N/A</v>
      </c>
      <c r="K63" s="37"/>
      <c r="L63" s="37"/>
      <c r="M63" s="86" t="e">
        <v>#N/A</v>
      </c>
      <c r="N63" s="2">
        <f t="shared" si="0"/>
        <v>0</v>
      </c>
    </row>
    <row r="64" spans="1:14">
      <c r="A64" s="2" t="s">
        <v>69</v>
      </c>
      <c r="B64" s="32">
        <v>47849</v>
      </c>
      <c r="C64" s="105">
        <v>7.1000000000000005</v>
      </c>
      <c r="D64" s="33">
        <v>6.1</v>
      </c>
      <c r="E64" s="33">
        <v>3.3</v>
      </c>
      <c r="F64" s="33">
        <v>7.7</v>
      </c>
      <c r="G64" s="106" t="e">
        <v>#N/A</v>
      </c>
      <c r="H64" s="34" t="e">
        <v>#N/A</v>
      </c>
      <c r="I64" s="34" t="e">
        <v>#N/A</v>
      </c>
      <c r="J64" s="108" t="e">
        <v>#N/A</v>
      </c>
      <c r="K64" s="37"/>
      <c r="L64" s="37"/>
      <c r="M64" s="86" t="e">
        <v>#N/A</v>
      </c>
      <c r="N64" s="2">
        <f t="shared" si="0"/>
        <v>0</v>
      </c>
    </row>
    <row r="65" spans="1:14">
      <c r="A65" s="2" t="s">
        <v>70</v>
      </c>
      <c r="B65" s="32">
        <v>48214</v>
      </c>
      <c r="C65" s="105">
        <v>7.2</v>
      </c>
      <c r="D65" s="33">
        <v>6.2</v>
      </c>
      <c r="E65" s="33">
        <v>3.4</v>
      </c>
      <c r="F65" s="33">
        <v>7.7</v>
      </c>
      <c r="G65" s="106" t="e">
        <v>#N/A</v>
      </c>
      <c r="H65" s="34" t="e">
        <v>#N/A</v>
      </c>
      <c r="I65" s="34" t="e">
        <v>#N/A</v>
      </c>
      <c r="J65" s="108" t="e">
        <v>#N/A</v>
      </c>
      <c r="K65" s="37"/>
      <c r="L65" s="37"/>
      <c r="M65" s="86" t="e">
        <v>#N/A</v>
      </c>
      <c r="N65" s="2">
        <f t="shared" si="0"/>
        <v>0</v>
      </c>
    </row>
    <row r="66" spans="1:14">
      <c r="A66" s="2" t="s">
        <v>71</v>
      </c>
      <c r="B66" s="32">
        <v>48580</v>
      </c>
      <c r="C66" s="105">
        <v>7.3</v>
      </c>
      <c r="D66" s="33">
        <v>6.2</v>
      </c>
      <c r="E66" s="33">
        <v>3.6</v>
      </c>
      <c r="F66" s="33">
        <v>7.7</v>
      </c>
      <c r="G66" s="106" t="e">
        <v>#N/A</v>
      </c>
      <c r="H66" s="34" t="e">
        <v>#N/A</v>
      </c>
      <c r="I66" s="34" t="e">
        <v>#N/A</v>
      </c>
      <c r="J66" s="108" t="e">
        <v>#N/A</v>
      </c>
      <c r="K66" s="37"/>
      <c r="L66" s="37"/>
      <c r="M66" s="86" t="e">
        <v>#N/A</v>
      </c>
      <c r="N66" s="2">
        <f t="shared" si="0"/>
        <v>0</v>
      </c>
    </row>
    <row r="67" spans="1:14">
      <c r="A67" s="2" t="s">
        <v>72</v>
      </c>
      <c r="B67" s="32">
        <v>48945</v>
      </c>
      <c r="C67" s="105">
        <v>7.5</v>
      </c>
      <c r="D67" s="33">
        <v>6.2</v>
      </c>
      <c r="E67" s="33">
        <v>3.7</v>
      </c>
      <c r="F67" s="33">
        <v>7.7</v>
      </c>
      <c r="G67" s="106" t="e">
        <v>#N/A</v>
      </c>
      <c r="H67" s="34" t="e">
        <v>#N/A</v>
      </c>
      <c r="I67" s="34" t="e">
        <v>#N/A</v>
      </c>
      <c r="J67" s="108" t="e">
        <v>#N/A</v>
      </c>
      <c r="K67" s="37"/>
      <c r="L67" s="37"/>
      <c r="M67" s="86" t="e">
        <v>#N/A</v>
      </c>
      <c r="N67" s="2">
        <f t="shared" si="0"/>
        <v>0</v>
      </c>
    </row>
    <row r="68" spans="1:14">
      <c r="A68" s="2" t="s">
        <v>73</v>
      </c>
      <c r="B68" s="32">
        <v>49310</v>
      </c>
      <c r="C68" s="105">
        <v>7.6</v>
      </c>
      <c r="D68" s="33">
        <v>6.3</v>
      </c>
      <c r="E68" s="33">
        <v>3.8</v>
      </c>
      <c r="F68" s="33">
        <v>7.7</v>
      </c>
      <c r="G68" s="106" t="e">
        <v>#N/A</v>
      </c>
      <c r="H68" s="34" t="e">
        <v>#N/A</v>
      </c>
      <c r="I68" s="34" t="e">
        <v>#N/A</v>
      </c>
      <c r="J68" s="108" t="e">
        <v>#N/A</v>
      </c>
      <c r="K68" s="37"/>
      <c r="L68" s="37"/>
      <c r="M68" s="86" t="e">
        <v>#N/A</v>
      </c>
      <c r="N68" s="2">
        <f t="shared" si="0"/>
        <v>0</v>
      </c>
    </row>
    <row r="69" spans="1:14">
      <c r="B69" s="35"/>
      <c r="C69" s="36"/>
      <c r="D69" s="5"/>
      <c r="E69" s="5"/>
      <c r="F69" s="5"/>
      <c r="G69" s="40"/>
      <c r="H69" s="6"/>
      <c r="I69" s="6"/>
    </row>
    <row r="70" spans="1:14">
      <c r="B70" s="35"/>
      <c r="C70" s="36"/>
      <c r="D70" s="5"/>
      <c r="E70" s="5"/>
      <c r="F70" s="5"/>
      <c r="G70" s="40"/>
      <c r="H70" s="6"/>
      <c r="I70" s="6"/>
    </row>
    <row r="71" spans="1:14">
      <c r="B71" s="35"/>
      <c r="C71" s="36"/>
      <c r="D71" s="5"/>
      <c r="E71" s="5"/>
      <c r="F71" s="5"/>
      <c r="G71" s="40"/>
      <c r="H71" s="6"/>
      <c r="I71" s="6"/>
    </row>
    <row r="72" spans="1:14">
      <c r="B72" s="35"/>
      <c r="C72" s="36"/>
      <c r="D72" s="5"/>
      <c r="E72" s="5"/>
      <c r="F72" s="5"/>
      <c r="G72" s="40"/>
      <c r="H72" s="6"/>
      <c r="I72" s="6"/>
    </row>
    <row r="73" spans="1:14">
      <c r="B73" s="35"/>
      <c r="C73" s="36"/>
      <c r="D73" s="5"/>
      <c r="E73" s="5"/>
      <c r="F73" s="5"/>
      <c r="G73" s="40"/>
      <c r="H73" s="6"/>
      <c r="I73" s="6"/>
    </row>
    <row r="74" spans="1:14">
      <c r="B74" s="35"/>
      <c r="C74" s="36"/>
      <c r="D74" s="5"/>
      <c r="E74" s="5"/>
      <c r="F74" s="5"/>
      <c r="G74" s="40"/>
      <c r="H74" s="6"/>
      <c r="I74" s="6"/>
    </row>
    <row r="75" spans="1:14">
      <c r="B75" s="35"/>
      <c r="C75" s="36"/>
      <c r="D75" s="5"/>
      <c r="E75" s="5"/>
      <c r="F75" s="5"/>
      <c r="G75" s="40"/>
      <c r="H75" s="6"/>
      <c r="I75" s="6"/>
    </row>
    <row r="76" spans="1:14">
      <c r="B76" s="35"/>
      <c r="C76" s="36"/>
      <c r="D76" s="5"/>
      <c r="E76" s="5"/>
      <c r="F76" s="5"/>
      <c r="G76" s="40"/>
      <c r="H76" s="6"/>
      <c r="I76" s="6"/>
    </row>
    <row r="77" spans="1:14">
      <c r="B77" s="35"/>
      <c r="C77" s="36"/>
      <c r="D77" s="5"/>
      <c r="E77" s="5"/>
      <c r="F77" s="5"/>
      <c r="G77" s="40"/>
      <c r="H77" s="6"/>
      <c r="I77" s="6"/>
    </row>
    <row r="78" spans="1:14">
      <c r="B78" s="35"/>
      <c r="C78" s="36"/>
      <c r="D78" s="5"/>
      <c r="E78" s="5"/>
      <c r="F78" s="5"/>
      <c r="G78" s="40"/>
      <c r="H78" s="6"/>
      <c r="I78" s="6"/>
    </row>
    <row r="79" spans="1:14">
      <c r="B79" s="35"/>
      <c r="C79" s="36"/>
      <c r="D79" s="5"/>
      <c r="E79" s="5"/>
      <c r="F79" s="5"/>
      <c r="G79" s="40"/>
      <c r="H79" s="6"/>
      <c r="I79" s="6"/>
    </row>
    <row r="80" spans="1:14">
      <c r="B80" s="35"/>
      <c r="C80" s="36"/>
      <c r="D80" s="5"/>
      <c r="E80" s="5"/>
      <c r="F80" s="5"/>
      <c r="G80" s="40"/>
      <c r="H80" s="6"/>
      <c r="I80" s="6"/>
    </row>
    <row r="81" spans="2:9">
      <c r="B81" s="35"/>
      <c r="C81" s="36"/>
      <c r="D81" s="5"/>
      <c r="E81" s="5"/>
      <c r="F81" s="5"/>
      <c r="G81" s="40"/>
      <c r="H81" s="6"/>
      <c r="I81" s="6"/>
    </row>
    <row r="82" spans="2:9">
      <c r="B82" s="35"/>
      <c r="C82" s="36"/>
      <c r="D82" s="5"/>
      <c r="E82" s="5"/>
      <c r="F82" s="5"/>
      <c r="G82" s="40"/>
      <c r="H82" s="6"/>
      <c r="I82" s="6"/>
    </row>
    <row r="83" spans="2:9">
      <c r="B83" s="35"/>
      <c r="C83" s="36"/>
      <c r="D83" s="5"/>
      <c r="E83" s="5"/>
      <c r="F83" s="5"/>
      <c r="G83" s="40"/>
      <c r="H83" s="6"/>
      <c r="I83" s="6"/>
    </row>
    <row r="84" spans="2:9">
      <c r="B84" s="35"/>
      <c r="C84" s="36"/>
      <c r="D84" s="5"/>
      <c r="E84" s="5"/>
      <c r="F84" s="5"/>
      <c r="G84" s="40"/>
      <c r="H84" s="6"/>
      <c r="I84" s="6"/>
    </row>
    <row r="85" spans="2:9">
      <c r="B85" s="35"/>
      <c r="C85" s="36"/>
      <c r="D85" s="5"/>
      <c r="E85" s="5"/>
      <c r="F85" s="5"/>
      <c r="G85" s="40"/>
      <c r="H85" s="6"/>
      <c r="I85" s="6"/>
    </row>
    <row r="86" spans="2:9">
      <c r="B86" s="35"/>
      <c r="C86" s="36"/>
      <c r="D86" s="5"/>
      <c r="E86" s="5"/>
      <c r="F86" s="5"/>
      <c r="G86" s="40"/>
      <c r="H86" s="6"/>
      <c r="I86" s="6"/>
    </row>
    <row r="87" spans="2:9">
      <c r="B87" s="35"/>
      <c r="C87" s="36"/>
      <c r="D87" s="5"/>
      <c r="E87" s="5"/>
      <c r="F87" s="5"/>
      <c r="G87" s="40"/>
      <c r="H87" s="6"/>
      <c r="I87" s="6"/>
    </row>
    <row r="88" spans="2:9">
      <c r="B88" s="35"/>
      <c r="C88" s="36"/>
      <c r="D88" s="5"/>
      <c r="E88" s="5"/>
      <c r="F88" s="5"/>
      <c r="G88" s="40"/>
      <c r="H88" s="6"/>
      <c r="I88" s="6"/>
    </row>
    <row r="89" spans="2:9">
      <c r="B89" s="35"/>
      <c r="C89" s="36"/>
      <c r="D89" s="5"/>
      <c r="E89" s="5"/>
      <c r="F89" s="5"/>
      <c r="G89" s="40"/>
      <c r="H89" s="6"/>
      <c r="I89" s="6"/>
    </row>
    <row r="90" spans="2:9">
      <c r="B90" s="35"/>
      <c r="C90" s="36"/>
      <c r="D90" s="5"/>
      <c r="E90" s="5"/>
      <c r="F90" s="5"/>
      <c r="G90" s="40"/>
      <c r="H90" s="6"/>
      <c r="I90" s="6"/>
    </row>
    <row r="91" spans="2:9">
      <c r="B91" s="35"/>
      <c r="C91" s="36"/>
      <c r="D91" s="5"/>
      <c r="E91" s="5"/>
      <c r="F91" s="5"/>
      <c r="G91" s="40"/>
      <c r="H91" s="6"/>
      <c r="I91" s="6"/>
    </row>
    <row r="92" spans="2:9">
      <c r="B92" s="35"/>
      <c r="C92" s="36"/>
      <c r="D92" s="5"/>
      <c r="E92" s="5"/>
      <c r="F92" s="5"/>
      <c r="G92" s="40"/>
      <c r="H92" s="6"/>
      <c r="I92" s="6"/>
    </row>
    <row r="93" spans="2:9">
      <c r="B93" s="35"/>
      <c r="C93" s="36"/>
      <c r="D93" s="5"/>
      <c r="E93" s="5"/>
      <c r="F93" s="5"/>
      <c r="G93" s="40"/>
      <c r="H93" s="6"/>
      <c r="I93" s="6"/>
    </row>
    <row r="94" spans="2:9">
      <c r="B94" s="35"/>
      <c r="C94" s="36"/>
      <c r="D94" s="5"/>
      <c r="E94" s="5"/>
      <c r="F94" s="5"/>
      <c r="G94" s="40"/>
      <c r="H94" s="6"/>
      <c r="I94" s="6"/>
    </row>
    <row r="95" spans="2:9">
      <c r="B95" s="35"/>
      <c r="C95" s="36"/>
      <c r="D95" s="5"/>
      <c r="E95" s="5"/>
      <c r="F95" s="5"/>
      <c r="G95" s="40"/>
      <c r="H95" s="6"/>
      <c r="I95" s="6"/>
    </row>
    <row r="96" spans="2:9">
      <c r="B96" s="35"/>
      <c r="C96" s="36"/>
      <c r="D96" s="5"/>
      <c r="E96" s="5"/>
      <c r="F96" s="5"/>
      <c r="G96" s="40"/>
      <c r="H96" s="6"/>
      <c r="I96" s="6"/>
    </row>
    <row r="97" spans="2:9">
      <c r="B97" s="35"/>
      <c r="C97" s="36"/>
      <c r="D97" s="5"/>
      <c r="E97" s="5"/>
      <c r="F97" s="5"/>
      <c r="G97" s="40"/>
      <c r="H97" s="6"/>
      <c r="I97" s="6"/>
    </row>
    <row r="98" spans="2:9">
      <c r="B98" s="35"/>
      <c r="C98" s="36"/>
      <c r="D98" s="5"/>
      <c r="E98" s="5"/>
      <c r="F98" s="5"/>
      <c r="G98" s="40"/>
      <c r="H98" s="6"/>
      <c r="I98" s="6"/>
    </row>
    <row r="99" spans="2:9">
      <c r="B99" s="35"/>
      <c r="C99" s="36"/>
      <c r="D99" s="5"/>
      <c r="E99" s="5"/>
      <c r="F99" s="5"/>
      <c r="G99" s="40"/>
      <c r="H99" s="6"/>
      <c r="I99" s="6"/>
    </row>
    <row r="100" spans="2:9">
      <c r="B100" s="35"/>
      <c r="C100" s="36"/>
      <c r="D100" s="5"/>
      <c r="E100" s="5"/>
      <c r="F100" s="5"/>
      <c r="G100" s="40"/>
      <c r="H100" s="6"/>
      <c r="I100" s="6"/>
    </row>
    <row r="101" spans="2:9">
      <c r="B101" s="35"/>
      <c r="C101" s="36"/>
      <c r="D101" s="5"/>
      <c r="E101" s="5"/>
      <c r="F101" s="5"/>
      <c r="G101" s="40"/>
      <c r="H101" s="6"/>
      <c r="I101" s="6"/>
    </row>
    <row r="102" spans="2:9">
      <c r="B102" s="35"/>
      <c r="C102" s="36"/>
      <c r="D102" s="5"/>
      <c r="E102" s="5"/>
      <c r="F102" s="5"/>
      <c r="G102" s="40"/>
      <c r="H102" s="6"/>
      <c r="I102" s="6"/>
    </row>
    <row r="103" spans="2:9">
      <c r="B103" s="35"/>
      <c r="C103" s="36"/>
      <c r="D103" s="5"/>
      <c r="E103" s="5"/>
      <c r="F103" s="5"/>
      <c r="G103" s="40"/>
      <c r="H103" s="6"/>
      <c r="I103" s="6"/>
    </row>
    <row r="104" spans="2:9">
      <c r="B104" s="35"/>
      <c r="C104" s="36"/>
      <c r="D104" s="5"/>
      <c r="E104" s="5"/>
      <c r="F104" s="5"/>
      <c r="G104" s="40"/>
      <c r="H104" s="6"/>
      <c r="I104" s="6"/>
    </row>
    <row r="105" spans="2:9">
      <c r="B105" s="35"/>
      <c r="C105" s="36"/>
      <c r="D105" s="5"/>
      <c r="E105" s="5"/>
      <c r="F105" s="5"/>
      <c r="G105" s="40"/>
      <c r="H105" s="6"/>
      <c r="I105" s="6"/>
    </row>
    <row r="106" spans="2:9">
      <c r="B106" s="35"/>
      <c r="C106" s="36"/>
      <c r="D106" s="5"/>
      <c r="E106" s="5"/>
      <c r="F106" s="5"/>
      <c r="G106" s="40"/>
      <c r="H106" s="6"/>
      <c r="I106" s="6"/>
    </row>
    <row r="107" spans="2:9">
      <c r="B107" s="35"/>
      <c r="C107" s="36"/>
      <c r="D107" s="5"/>
      <c r="E107" s="5"/>
      <c r="F107" s="5"/>
      <c r="G107" s="40"/>
      <c r="H107" s="6"/>
      <c r="I107" s="6"/>
    </row>
    <row r="108" spans="2:9">
      <c r="B108" s="35"/>
      <c r="C108" s="36"/>
      <c r="D108" s="5"/>
      <c r="E108" s="5"/>
      <c r="F108" s="5"/>
      <c r="G108" s="40"/>
      <c r="H108" s="6"/>
      <c r="I108" s="6"/>
    </row>
    <row r="109" spans="2:9">
      <c r="B109" s="35"/>
      <c r="C109" s="36"/>
      <c r="D109" s="5"/>
      <c r="E109" s="5"/>
      <c r="F109" s="5"/>
      <c r="G109" s="40"/>
      <c r="H109" s="6"/>
      <c r="I109" s="6"/>
    </row>
    <row r="110" spans="2:9">
      <c r="B110" s="35"/>
      <c r="C110" s="36"/>
      <c r="D110" s="5"/>
      <c r="E110" s="5"/>
      <c r="F110" s="5"/>
      <c r="G110" s="40"/>
      <c r="H110" s="6"/>
      <c r="I110" s="6"/>
    </row>
    <row r="111" spans="2:9">
      <c r="B111" s="35"/>
      <c r="C111" s="36"/>
      <c r="D111" s="5"/>
      <c r="E111" s="5"/>
      <c r="F111" s="5"/>
      <c r="G111" s="40"/>
      <c r="H111" s="6"/>
      <c r="I111" s="6"/>
    </row>
    <row r="112" spans="2:9">
      <c r="B112" s="35"/>
      <c r="C112" s="36"/>
      <c r="D112" s="5"/>
      <c r="E112" s="5"/>
      <c r="F112" s="5"/>
      <c r="G112" s="40"/>
      <c r="H112" s="6"/>
      <c r="I112" s="6"/>
    </row>
    <row r="113" spans="2:9">
      <c r="B113" s="35"/>
      <c r="C113" s="36"/>
      <c r="D113" s="5"/>
      <c r="E113" s="5"/>
      <c r="F113" s="5"/>
      <c r="G113" s="40"/>
      <c r="H113" s="6"/>
      <c r="I113" s="6"/>
    </row>
    <row r="114" spans="2:9">
      <c r="B114" s="35"/>
      <c r="C114" s="36"/>
      <c r="D114" s="5"/>
      <c r="E114" s="5"/>
      <c r="F114" s="5"/>
      <c r="G114" s="40"/>
      <c r="H114" s="6"/>
      <c r="I114" s="6"/>
    </row>
    <row r="115" spans="2:9">
      <c r="B115" s="35"/>
      <c r="C115" s="36"/>
      <c r="D115" s="5"/>
      <c r="E115" s="5"/>
      <c r="F115" s="5"/>
      <c r="G115" s="40"/>
      <c r="H115" s="6"/>
      <c r="I115" s="6"/>
    </row>
    <row r="116" spans="2:9">
      <c r="B116" s="35"/>
      <c r="C116" s="36"/>
      <c r="D116" s="5"/>
      <c r="E116" s="5"/>
      <c r="F116" s="5"/>
      <c r="G116" s="40"/>
      <c r="H116" s="6"/>
      <c r="I116" s="6"/>
    </row>
    <row r="117" spans="2:9">
      <c r="B117" s="35"/>
      <c r="C117" s="36"/>
      <c r="D117" s="5"/>
      <c r="E117" s="5"/>
      <c r="F117" s="5"/>
      <c r="G117" s="40"/>
      <c r="H117" s="6"/>
      <c r="I117" s="6"/>
    </row>
    <row r="118" spans="2:9">
      <c r="B118" s="35"/>
      <c r="C118" s="36"/>
      <c r="D118" s="5"/>
      <c r="E118" s="5"/>
      <c r="F118" s="5"/>
      <c r="G118" s="40"/>
      <c r="H118" s="6"/>
      <c r="I118" s="6"/>
    </row>
    <row r="119" spans="2:9">
      <c r="B119" s="35"/>
      <c r="C119" s="36"/>
      <c r="D119" s="5"/>
      <c r="E119" s="5"/>
      <c r="F119" s="5"/>
      <c r="G119" s="40"/>
      <c r="H119" s="6"/>
      <c r="I119" s="6"/>
    </row>
    <row r="120" spans="2:9">
      <c r="B120" s="35"/>
      <c r="C120" s="36"/>
      <c r="D120" s="5"/>
      <c r="E120" s="5"/>
      <c r="F120" s="5"/>
      <c r="G120" s="40"/>
      <c r="H120" s="6"/>
      <c r="I120" s="6"/>
    </row>
    <row r="121" spans="2:9">
      <c r="B121" s="35"/>
      <c r="C121" s="36"/>
      <c r="D121" s="5"/>
      <c r="E121" s="5"/>
      <c r="F121" s="5"/>
      <c r="H121" s="6"/>
      <c r="I121" s="6"/>
    </row>
    <row r="122" spans="2:9">
      <c r="B122" s="35"/>
      <c r="C122" s="36"/>
      <c r="D122" s="5"/>
      <c r="E122" s="5"/>
      <c r="F122" s="5"/>
      <c r="H122" s="6"/>
      <c r="I122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FF00"/>
  </sheetPr>
  <dimension ref="A1:D973"/>
  <sheetViews>
    <sheetView workbookViewId="0">
      <selection activeCell="C113" sqref="A1:C113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>
      <c r="A2" s="14">
        <f>A3-31</f>
        <v>39783</v>
      </c>
      <c r="D2" s="8">
        <f>IF(ISNUMBER('Change in Employment'!G9),'Change in Employment'!G9,"")</f>
        <v>1</v>
      </c>
    </row>
    <row r="3" spans="1:4">
      <c r="A3" t="str">
        <f>TEXT(IF('Change in Employment'!B10&lt;&gt;0,DATE(YEAR('Change in Employment'!B10), MONTH('Change in Employment'!B10), 1), ""), "mm/dd/yyyy")</f>
        <v>01/01/2009</v>
      </c>
      <c r="B3" s="8" t="str">
        <f>IF(ISNUMBER('Change in Employment'!I10), TEXT('Change in Employment'!I10, "0"), "")</f>
        <v>12000</v>
      </c>
      <c r="C3" s="8" t="str">
        <f>IF(ISNUMBER('Change in Employment'!J10),TEXT('Change in Employment'!J10, "0"),"")</f>
        <v>5333</v>
      </c>
      <c r="D3" s="8">
        <f>IF(ISNUMBER('Change in Employment'!G10),'Change in Employment'!G10,"")</f>
        <v>1</v>
      </c>
    </row>
    <row r="4" spans="1:4">
      <c r="A4" t="str">
        <f>TEXT(IF('Change in Employment'!B11&lt;&gt;0,DATE(YEAR('Change in Employment'!B11), MONTH('Change in Employment'!B11), 1), ""), "mm/dd/yyyy")</f>
        <v>02/01/2009</v>
      </c>
      <c r="B4" s="8" t="str">
        <f>IF(ISNUMBER('Change in Employment'!I11), TEXT('Change in Employment'!I11, "0"), "")</f>
        <v>-12000</v>
      </c>
      <c r="C4" s="8" t="str">
        <f>IF(ISNUMBER('Change in Employment'!J11),TEXT('Change in Employment'!J11, "0"),"")</f>
        <v>-333</v>
      </c>
      <c r="D4" s="8">
        <f>IF(ISNUMBER('Change in Employment'!G11),'Change in Employment'!G11,"")</f>
        <v>1</v>
      </c>
    </row>
    <row r="5" spans="1:4">
      <c r="A5" t="str">
        <f>TEXT(IF('Change in Employment'!B12&lt;&gt;0,DATE(YEAR('Change in Employment'!B12), MONTH('Change in Employment'!B12), 1), ""), "mm/dd/yyyy")</f>
        <v>03/01/2009</v>
      </c>
      <c r="B5" s="8" t="str">
        <f>IF(ISNUMBER('Change in Employment'!I12), TEXT('Change in Employment'!I12, "0"), "")</f>
        <v>-18000</v>
      </c>
      <c r="C5" s="8" t="str">
        <f>IF(ISNUMBER('Change in Employment'!J12),TEXT('Change in Employment'!J12, "0"),"")</f>
        <v>-6000</v>
      </c>
      <c r="D5" s="8">
        <f>IF(ISNUMBER('Change in Employment'!G12),'Change in Employment'!G12,"")</f>
        <v>1</v>
      </c>
    </row>
    <row r="6" spans="1:4">
      <c r="A6" t="str">
        <f>TEXT(IF('Change in Employment'!B13&lt;&gt;0,DATE(YEAR('Change in Employment'!B13), MONTH('Change in Employment'!B13), 1), ""), "mm/dd/yyyy")</f>
        <v>04/01/2009</v>
      </c>
      <c r="B6" s="8" t="str">
        <f>IF(ISNUMBER('Change in Employment'!I13), TEXT('Change in Employment'!I13, "0"), "")</f>
        <v>-8000</v>
      </c>
      <c r="C6" s="8" t="str">
        <f>IF(ISNUMBER('Change in Employment'!J13),TEXT('Change in Employment'!J13, "0"),"")</f>
        <v>-12667</v>
      </c>
      <c r="D6" s="8">
        <f>IF(ISNUMBER('Change in Employment'!G13),'Change in Employment'!G13,"")</f>
        <v>1</v>
      </c>
    </row>
    <row r="7" spans="1:4">
      <c r="A7" t="str">
        <f>TEXT(IF('Change in Employment'!B14&lt;&gt;0,DATE(YEAR('Change in Employment'!B14), MONTH('Change in Employment'!B14), 1), ""), "mm/dd/yyyy")</f>
        <v>05/01/2009</v>
      </c>
      <c r="B7" s="8" t="str">
        <f>IF(ISNUMBER('Change in Employment'!I14), TEXT('Change in Employment'!I14, "0"), "")</f>
        <v>2000</v>
      </c>
      <c r="C7" s="8" t="str">
        <f>IF(ISNUMBER('Change in Employment'!J14),TEXT('Change in Employment'!J14, "0"),"")</f>
        <v>-8000</v>
      </c>
      <c r="D7" s="8">
        <f>IF(ISNUMBER('Change in Employment'!G14),'Change in Employment'!G14,"")</f>
        <v>1</v>
      </c>
    </row>
    <row r="8" spans="1:4">
      <c r="A8" t="str">
        <f>TEXT(IF('Change in Employment'!B15&lt;&gt;0,DATE(YEAR('Change in Employment'!B15), MONTH('Change in Employment'!B15), 1), ""), "mm/dd/yyyy")</f>
        <v>06/01/2009</v>
      </c>
      <c r="B8" s="8" t="str">
        <f>IF(ISNUMBER('Change in Employment'!I15), TEXT('Change in Employment'!I15, "0"), "")</f>
        <v>5000</v>
      </c>
      <c r="C8" s="8" t="str">
        <f>IF(ISNUMBER('Change in Employment'!J15),TEXT('Change in Employment'!J15, "0"),"")</f>
        <v>-333</v>
      </c>
      <c r="D8" s="8">
        <f>IF(ISNUMBER('Change in Employment'!G15),'Change in Employment'!G15,"")</f>
        <v>1</v>
      </c>
    </row>
    <row r="9" spans="1:4">
      <c r="A9" t="str">
        <f>TEXT(IF('Change in Employment'!B16&lt;&gt;0,DATE(YEAR('Change in Employment'!B16), MONTH('Change in Employment'!B16), 1), ""), "mm/dd/yyyy")</f>
        <v>07/01/2009</v>
      </c>
      <c r="B9" s="8" t="str">
        <f>IF(ISNUMBER('Change in Employment'!I16), TEXT('Change in Employment'!I16, "0"), "")</f>
        <v>-67000</v>
      </c>
      <c r="C9" s="8" t="str">
        <f>IF(ISNUMBER('Change in Employment'!J16),TEXT('Change in Employment'!J16, "0"),"")</f>
        <v>-20000</v>
      </c>
      <c r="D9" s="8">
        <f>IF(ISNUMBER('Change in Employment'!G16),'Change in Employment'!G16,"")</f>
        <v>0</v>
      </c>
    </row>
    <row r="10" spans="1:4">
      <c r="A10" t="str">
        <f>TEXT(IF('Change in Employment'!B17&lt;&gt;0,DATE(YEAR('Change in Employment'!B17), MONTH('Change in Employment'!B17), 1), ""), "mm/dd/yyyy")</f>
        <v>08/01/2009</v>
      </c>
      <c r="B10" s="8" t="str">
        <f>IF(ISNUMBER('Change in Employment'!I17), TEXT('Change in Employment'!I17, "0"), "")</f>
        <v>17000</v>
      </c>
      <c r="C10" s="8" t="str">
        <f>IF(ISNUMBER('Change in Employment'!J17),TEXT('Change in Employment'!J17, "0"),"")</f>
        <v>-15000</v>
      </c>
      <c r="D10" s="8">
        <f>IF(ISNUMBER('Change in Employment'!G17),'Change in Employment'!G17,"")</f>
        <v>0</v>
      </c>
    </row>
    <row r="11" spans="1:4">
      <c r="A11" t="str">
        <f>TEXT(IF('Change in Employment'!B18&lt;&gt;0,DATE(YEAR('Change in Employment'!B18), MONTH('Change in Employment'!B18), 1), ""), "mm/dd/yyyy")</f>
        <v>09/01/2009</v>
      </c>
      <c r="B11" s="8" t="str">
        <f>IF(ISNUMBER('Change in Employment'!I18), TEXT('Change in Employment'!I18, "0"), "")</f>
        <v>-87000</v>
      </c>
      <c r="C11" s="8" t="str">
        <f>IF(ISNUMBER('Change in Employment'!J18),TEXT('Change in Employment'!J18, "0"),"")</f>
        <v>-45667</v>
      </c>
      <c r="D11" s="8">
        <f>IF(ISNUMBER('Change in Employment'!G18),'Change in Employment'!G18,"")</f>
        <v>0</v>
      </c>
    </row>
    <row r="12" spans="1:4">
      <c r="A12" t="str">
        <f>TEXT(IF('Change in Employment'!B19&lt;&gt;0,DATE(YEAR('Change in Employment'!B19), MONTH('Change in Employment'!B19), 1), ""), "mm/dd/yyyy")</f>
        <v>10/01/2009</v>
      </c>
      <c r="B12" s="8" t="str">
        <f>IF(ISNUMBER('Change in Employment'!I19), TEXT('Change in Employment'!I19, "0"), "")</f>
        <v>56000</v>
      </c>
      <c r="C12" s="8" t="str">
        <f>IF(ISNUMBER('Change in Employment'!J19),TEXT('Change in Employment'!J19, "0"),"")</f>
        <v>-4667</v>
      </c>
      <c r="D12" s="8">
        <f>IF(ISNUMBER('Change in Employment'!G19),'Change in Employment'!G19,"")</f>
        <v>0</v>
      </c>
    </row>
    <row r="13" spans="1:4">
      <c r="A13" t="str">
        <f>TEXT(IF('Change in Employment'!B20&lt;&gt;0,DATE(YEAR('Change in Employment'!B20), MONTH('Change in Employment'!B20), 1), ""), "mm/dd/yyyy")</f>
        <v>11/01/2009</v>
      </c>
      <c r="B13" s="8" t="str">
        <f>IF(ISNUMBER('Change in Employment'!I20), TEXT('Change in Employment'!I20, "0"), "")</f>
        <v>10000</v>
      </c>
      <c r="C13" s="8" t="str">
        <f>IF(ISNUMBER('Change in Employment'!J20),TEXT('Change in Employment'!J20, "0"),"")</f>
        <v>-7000</v>
      </c>
      <c r="D13" s="8">
        <f>IF(ISNUMBER('Change in Employment'!G20),'Change in Employment'!G20,"")</f>
        <v>0</v>
      </c>
    </row>
    <row r="14" spans="1:4">
      <c r="A14" t="str">
        <f>TEXT(IF('Change in Employment'!B21&lt;&gt;0,DATE(YEAR('Change in Employment'!B21), MONTH('Change in Employment'!B21), 1), ""), "mm/dd/yyyy")</f>
        <v>12/01/2009</v>
      </c>
      <c r="B14" s="8" t="str">
        <f>IF(ISNUMBER('Change in Employment'!I21), TEXT('Change in Employment'!I21, "0"), "")</f>
        <v>-40000</v>
      </c>
      <c r="C14" s="8" t="str">
        <f>IF(ISNUMBER('Change in Employment'!J21),TEXT('Change in Employment'!J21, "0"),"")</f>
        <v>8667</v>
      </c>
      <c r="D14" s="8">
        <f>IF(ISNUMBER('Change in Employment'!G21),'Change in Employment'!G21,"")</f>
        <v>0</v>
      </c>
    </row>
    <row r="15" spans="1:4">
      <c r="A15" t="str">
        <f>TEXT(IF('Change in Employment'!B22&lt;&gt;0,DATE(YEAR('Change in Employment'!B22), MONTH('Change in Employment'!B22), 1), ""), "mm/dd/yyyy")</f>
        <v>01/01/2010</v>
      </c>
      <c r="B15" s="8" t="str">
        <f>IF(ISNUMBER('Change in Employment'!I22), TEXT('Change in Employment'!I22, "0"), "")</f>
        <v>-20000</v>
      </c>
      <c r="C15" s="8" t="str">
        <f>IF(ISNUMBER('Change in Employment'!J22),TEXT('Change in Employment'!J22, "0"),"")</f>
        <v>-16667</v>
      </c>
      <c r="D15" s="8">
        <f>IF(ISNUMBER('Change in Employment'!G22),'Change in Employment'!G22,"")</f>
        <v>0</v>
      </c>
    </row>
    <row r="16" spans="1:4">
      <c r="A16" t="str">
        <f>TEXT(IF('Change in Employment'!B23&lt;&gt;0,DATE(YEAR('Change in Employment'!B23), MONTH('Change in Employment'!B23), 1), ""), "mm/dd/yyyy")</f>
        <v>02/01/2010</v>
      </c>
      <c r="B16" s="8" t="str">
        <f>IF(ISNUMBER('Change in Employment'!I23), TEXT('Change in Employment'!I23, "0"), "")</f>
        <v>-27000</v>
      </c>
      <c r="C16" s="8" t="str">
        <f>IF(ISNUMBER('Change in Employment'!J23),TEXT('Change in Employment'!J23, "0"),"")</f>
        <v>-29000</v>
      </c>
      <c r="D16" s="8">
        <f>IF(ISNUMBER('Change in Employment'!G23),'Change in Employment'!G23,"")</f>
        <v>0</v>
      </c>
    </row>
    <row r="17" spans="1:4">
      <c r="A17" t="str">
        <f>TEXT(IF('Change in Employment'!B24&lt;&gt;0,DATE(YEAR('Change in Employment'!B24), MONTH('Change in Employment'!B24), 1), ""), "mm/dd/yyyy")</f>
        <v>03/01/2010</v>
      </c>
      <c r="B17" s="8" t="str">
        <f>IF(ISNUMBER('Change in Employment'!I24), TEXT('Change in Employment'!I24, "0"), "")</f>
        <v>-9000</v>
      </c>
      <c r="C17" s="8" t="str">
        <f>IF(ISNUMBER('Change in Employment'!J24),TEXT('Change in Employment'!J24, "0"),"")</f>
        <v>-18667</v>
      </c>
      <c r="D17" s="8">
        <f>IF(ISNUMBER('Change in Employment'!G24),'Change in Employment'!G24,"")</f>
        <v>0</v>
      </c>
    </row>
    <row r="18" spans="1:4">
      <c r="A18" t="str">
        <f>TEXT(IF('Change in Employment'!B25&lt;&gt;0,DATE(YEAR('Change in Employment'!B25), MONTH('Change in Employment'!B25), 1), ""), "mm/dd/yyyy")</f>
        <v>04/01/2010</v>
      </c>
      <c r="B18" s="8" t="str">
        <f>IF(ISNUMBER('Change in Employment'!I25), TEXT('Change in Employment'!I25, "0"), "")</f>
        <v>-10000</v>
      </c>
      <c r="C18" s="8" t="str">
        <f>IF(ISNUMBER('Change in Employment'!J25),TEXT('Change in Employment'!J25, "0"),"")</f>
        <v>-15333</v>
      </c>
      <c r="D18" s="8">
        <f>IF(ISNUMBER('Change in Employment'!G25),'Change in Employment'!G25,"")</f>
        <v>0</v>
      </c>
    </row>
    <row r="19" spans="1:4">
      <c r="A19" t="str">
        <f>TEXT(IF('Change in Employment'!B26&lt;&gt;0,DATE(YEAR('Change in Employment'!B26), MONTH('Change in Employment'!B26), 1), ""), "mm/dd/yyyy")</f>
        <v>05/01/2010</v>
      </c>
      <c r="B19" s="8" t="str">
        <f>IF(ISNUMBER('Change in Employment'!I26), TEXT('Change in Employment'!I26, "0"), "")</f>
        <v>-5000</v>
      </c>
      <c r="C19" s="8" t="str">
        <f>IF(ISNUMBER('Change in Employment'!J26),TEXT('Change in Employment'!J26, "0"),"")</f>
        <v>-8000</v>
      </c>
      <c r="D19" s="8">
        <f>IF(ISNUMBER('Change in Employment'!G26),'Change in Employment'!G26,"")</f>
        <v>0</v>
      </c>
    </row>
    <row r="20" spans="1:4">
      <c r="A20" t="str">
        <f>TEXT(IF('Change in Employment'!B27&lt;&gt;0,DATE(YEAR('Change in Employment'!B27), MONTH('Change in Employment'!B27), 1), ""), "mm/dd/yyyy")</f>
        <v>06/01/2010</v>
      </c>
      <c r="B20" s="8" t="str">
        <f>IF(ISNUMBER('Change in Employment'!I27), TEXT('Change in Employment'!I27, "0"), "")</f>
        <v>-33000</v>
      </c>
      <c r="C20" s="8" t="str">
        <f>IF(ISNUMBER('Change in Employment'!J27),TEXT('Change in Employment'!J27, "0"),"")</f>
        <v>-16000</v>
      </c>
      <c r="D20" s="8">
        <f>IF(ISNUMBER('Change in Employment'!G27),'Change in Employment'!G27,"")</f>
        <v>0</v>
      </c>
    </row>
    <row r="21" spans="1:4">
      <c r="A21" t="str">
        <f>TEXT(IF('Change in Employment'!B28&lt;&gt;0,DATE(YEAR('Change in Employment'!B28), MONTH('Change in Employment'!B28), 1), ""), "mm/dd/yyyy")</f>
        <v>07/01/2010</v>
      </c>
      <c r="B21" s="8" t="str">
        <f>IF(ISNUMBER('Change in Employment'!I28), TEXT('Change in Employment'!I28, "0"), "")</f>
        <v>-29000</v>
      </c>
      <c r="C21" s="8" t="str">
        <f>IF(ISNUMBER('Change in Employment'!J28),TEXT('Change in Employment'!J28, "0"),"")</f>
        <v>-22333</v>
      </c>
      <c r="D21" s="8">
        <f>IF(ISNUMBER('Change in Employment'!G28),'Change in Employment'!G28,"")</f>
        <v>0</v>
      </c>
    </row>
    <row r="22" spans="1:4">
      <c r="A22" t="str">
        <f>TEXT(IF('Change in Employment'!B29&lt;&gt;0,DATE(YEAR('Change in Employment'!B29), MONTH('Change in Employment'!B29), 1), ""), "mm/dd/yyyy")</f>
        <v>08/01/2010</v>
      </c>
      <c r="B22" s="8" t="str">
        <f>IF(ISNUMBER('Change in Employment'!I29), TEXT('Change in Employment'!I29, "0"), "")</f>
        <v>-43000</v>
      </c>
      <c r="C22" s="8" t="str">
        <f>IF(ISNUMBER('Change in Employment'!J29),TEXT('Change in Employment'!J29, "0"),"")</f>
        <v>-35000</v>
      </c>
      <c r="D22" s="8">
        <f>IF(ISNUMBER('Change in Employment'!G29),'Change in Employment'!G29,"")</f>
        <v>0</v>
      </c>
    </row>
    <row r="23" spans="1:4">
      <c r="A23" t="str">
        <f>TEXT(IF('Change in Employment'!B30&lt;&gt;0,DATE(YEAR('Change in Employment'!B30), MONTH('Change in Employment'!B30), 1), ""), "mm/dd/yyyy")</f>
        <v>09/01/2010</v>
      </c>
      <c r="B23" s="8" t="str">
        <f>IF(ISNUMBER('Change in Employment'!I30), TEXT('Change in Employment'!I30, "0"), "")</f>
        <v>-97000</v>
      </c>
      <c r="C23" s="8" t="str">
        <f>IF(ISNUMBER('Change in Employment'!J30),TEXT('Change in Employment'!J30, "0"),"")</f>
        <v>-56333</v>
      </c>
      <c r="D23" s="8">
        <f>IF(ISNUMBER('Change in Employment'!G30),'Change in Employment'!G30,"")</f>
        <v>0</v>
      </c>
    </row>
    <row r="24" spans="1:4">
      <c r="A24" t="str">
        <f>TEXT(IF('Change in Employment'!B31&lt;&gt;0,DATE(YEAR('Change in Employment'!B31), MONTH('Change in Employment'!B31), 1), ""), "mm/dd/yyyy")</f>
        <v>10/01/2010</v>
      </c>
      <c r="B24" s="8" t="str">
        <f>IF(ISNUMBER('Change in Employment'!I31), TEXT('Change in Employment'!I31, "0"), "")</f>
        <v>53000</v>
      </c>
      <c r="C24" s="8" t="str">
        <f>IF(ISNUMBER('Change in Employment'!J31),TEXT('Change in Employment'!J31, "0"),"")</f>
        <v>-29000</v>
      </c>
      <c r="D24" s="8">
        <f>IF(ISNUMBER('Change in Employment'!G31),'Change in Employment'!G31,"")</f>
        <v>0</v>
      </c>
    </row>
    <row r="25" spans="1:4">
      <c r="A25" t="str">
        <f>TEXT(IF('Change in Employment'!B32&lt;&gt;0,DATE(YEAR('Change in Employment'!B32), MONTH('Change in Employment'!B32), 1), ""), "mm/dd/yyyy")</f>
        <v>11/01/2010</v>
      </c>
      <c r="B25" s="8" t="str">
        <f>IF(ISNUMBER('Change in Employment'!I32), TEXT('Change in Employment'!I32, "0"), "")</f>
        <v>-10000</v>
      </c>
      <c r="C25" s="8" t="str">
        <f>IF(ISNUMBER('Change in Employment'!J32),TEXT('Change in Employment'!J32, "0"),"")</f>
        <v>-18000</v>
      </c>
      <c r="D25" s="8">
        <f>IF(ISNUMBER('Change in Employment'!G32),'Change in Employment'!G32,"")</f>
        <v>0</v>
      </c>
    </row>
    <row r="26" spans="1:4">
      <c r="A26" t="str">
        <f>TEXT(IF('Change in Employment'!B33&lt;&gt;0,DATE(YEAR('Change in Employment'!B33), MONTH('Change in Employment'!B33), 1), ""), "mm/dd/yyyy")</f>
        <v>12/01/2010</v>
      </c>
      <c r="B26" s="8" t="str">
        <f>IF(ISNUMBER('Change in Employment'!I33), TEXT('Change in Employment'!I33, "0"), "")</f>
        <v>-25000</v>
      </c>
      <c r="C26" s="8" t="str">
        <f>IF(ISNUMBER('Change in Employment'!J33),TEXT('Change in Employment'!J33, "0"),"")</f>
        <v>6000</v>
      </c>
      <c r="D26" s="8">
        <f>IF(ISNUMBER('Change in Employment'!G33),'Change in Employment'!G33,"")</f>
        <v>0</v>
      </c>
    </row>
    <row r="27" spans="1:4">
      <c r="A27" t="str">
        <f>TEXT(IF('Change in Employment'!B34&lt;&gt;0,DATE(YEAR('Change in Employment'!B34), MONTH('Change in Employment'!B34), 1), ""), "mm/dd/yyyy")</f>
        <v>01/01/2011</v>
      </c>
      <c r="B27" s="8" t="str">
        <f>IF(ISNUMBER('Change in Employment'!I34), TEXT('Change in Employment'!I34, "0"), "")</f>
        <v>-12000</v>
      </c>
      <c r="C27" s="8" t="str">
        <f>IF(ISNUMBER('Change in Employment'!J34),TEXT('Change in Employment'!J34, "0"),"")</f>
        <v>-15667</v>
      </c>
      <c r="D27" s="8">
        <f>IF(ISNUMBER('Change in Employment'!G34),'Change in Employment'!G34,"")</f>
        <v>0</v>
      </c>
    </row>
    <row r="28" spans="1:4">
      <c r="A28" t="str">
        <f>TEXT(IF('Change in Employment'!B35&lt;&gt;0,DATE(YEAR('Change in Employment'!B35), MONTH('Change in Employment'!B35), 1), ""), "mm/dd/yyyy")</f>
        <v>02/01/2011</v>
      </c>
      <c r="B28" s="8" t="str">
        <f>IF(ISNUMBER('Change in Employment'!I35), TEXT('Change in Employment'!I35, "0"), "")</f>
        <v>-45000</v>
      </c>
      <c r="C28" s="8" t="str">
        <f>IF(ISNUMBER('Change in Employment'!J35),TEXT('Change in Employment'!J35, "0"),"")</f>
        <v>-27333</v>
      </c>
      <c r="D28" s="8">
        <f>IF(ISNUMBER('Change in Employment'!G35),'Change in Employment'!G35,"")</f>
        <v>0</v>
      </c>
    </row>
    <row r="29" spans="1:4">
      <c r="A29" t="str">
        <f>TEXT(IF('Change in Employment'!B36&lt;&gt;0,DATE(YEAR('Change in Employment'!B36), MONTH('Change in Employment'!B36), 1), ""), "mm/dd/yyyy")</f>
        <v>03/01/2011</v>
      </c>
      <c r="B29" s="8" t="str">
        <f>IF(ISNUMBER('Change in Employment'!I36), TEXT('Change in Employment'!I36, "0"), "")</f>
        <v>-24000</v>
      </c>
      <c r="C29" s="8" t="str">
        <f>IF(ISNUMBER('Change in Employment'!J36),TEXT('Change in Employment'!J36, "0"),"")</f>
        <v>-27000</v>
      </c>
      <c r="D29" s="8">
        <f>IF(ISNUMBER('Change in Employment'!G36),'Change in Employment'!G36,"")</f>
        <v>0</v>
      </c>
    </row>
    <row r="30" spans="1:4">
      <c r="A30" t="str">
        <f>TEXT(IF('Change in Employment'!B37&lt;&gt;0,DATE(YEAR('Change in Employment'!B37), MONTH('Change in Employment'!B37), 1), ""), "mm/dd/yyyy")</f>
        <v>04/01/2011</v>
      </c>
      <c r="B30" s="8" t="str">
        <f>IF(ISNUMBER('Change in Employment'!I37), TEXT('Change in Employment'!I37, "0"), "")</f>
        <v>-1000</v>
      </c>
      <c r="C30" s="8" t="str">
        <f>IF(ISNUMBER('Change in Employment'!J37),TEXT('Change in Employment'!J37, "0"),"")</f>
        <v>-23333</v>
      </c>
      <c r="D30" s="8">
        <f>IF(ISNUMBER('Change in Employment'!G37),'Change in Employment'!G37,"")</f>
        <v>0</v>
      </c>
    </row>
    <row r="31" spans="1:4">
      <c r="A31" t="str">
        <f>TEXT(IF('Change in Employment'!B38&lt;&gt;0,DATE(YEAR('Change in Employment'!B38), MONTH('Change in Employment'!B38), 1), ""), "mm/dd/yyyy")</f>
        <v>05/01/2011</v>
      </c>
      <c r="B31" s="8" t="str">
        <f>IF(ISNUMBER('Change in Employment'!I38), TEXT('Change in Employment'!I38, "0"), "")</f>
        <v>-56000</v>
      </c>
      <c r="C31" s="8" t="str">
        <f>IF(ISNUMBER('Change in Employment'!J38),TEXT('Change in Employment'!J38, "0"),"")</f>
        <v>-27000</v>
      </c>
      <c r="D31" s="8">
        <f>IF(ISNUMBER('Change in Employment'!G38),'Change in Employment'!G38,"")</f>
        <v>0</v>
      </c>
    </row>
    <row r="32" spans="1:4">
      <c r="A32" t="str">
        <f>TEXT(IF('Change in Employment'!B39&lt;&gt;0,DATE(YEAR('Change in Employment'!B39), MONTH('Change in Employment'!B39), 1), ""), "mm/dd/yyyy")</f>
        <v>06/01/2011</v>
      </c>
      <c r="B32" s="8" t="str">
        <f>IF(ISNUMBER('Change in Employment'!I39), TEXT('Change in Employment'!I39, "0"), "")</f>
        <v>46000</v>
      </c>
      <c r="C32" s="8" t="str">
        <f>IF(ISNUMBER('Change in Employment'!J39),TEXT('Change in Employment'!J39, "0"),"")</f>
        <v>-3667</v>
      </c>
      <c r="D32" s="8">
        <f>IF(ISNUMBER('Change in Employment'!G39),'Change in Employment'!G39,"")</f>
        <v>0</v>
      </c>
    </row>
    <row r="33" spans="1:4">
      <c r="A33" t="str">
        <f>TEXT(IF('Change in Employment'!B40&lt;&gt;0,DATE(YEAR('Change in Employment'!B40), MONTH('Change in Employment'!B40), 1), ""), "mm/dd/yyyy")</f>
        <v>07/01/2011</v>
      </c>
      <c r="B33" s="8" t="str">
        <f>IF(ISNUMBER('Change in Employment'!I40), TEXT('Change in Employment'!I40, "0"), "")</f>
        <v>-117000</v>
      </c>
      <c r="C33" s="8" t="str">
        <f>IF(ISNUMBER('Change in Employment'!J40),TEXT('Change in Employment'!J40, "0"),"")</f>
        <v>-42333</v>
      </c>
      <c r="D33" s="8">
        <f>IF(ISNUMBER('Change in Employment'!G40),'Change in Employment'!G40,"")</f>
        <v>0</v>
      </c>
    </row>
    <row r="34" spans="1:4">
      <c r="A34" t="str">
        <f>TEXT(IF('Change in Employment'!B41&lt;&gt;0,DATE(YEAR('Change in Employment'!B41), MONTH('Change in Employment'!B41), 1), ""), "mm/dd/yyyy")</f>
        <v>08/01/2011</v>
      </c>
      <c r="B34" s="8" t="str">
        <f>IF(ISNUMBER('Change in Employment'!I41), TEXT('Change in Employment'!I41, "0"), "")</f>
        <v>-20000</v>
      </c>
      <c r="C34" s="8" t="str">
        <f>IF(ISNUMBER('Change in Employment'!J41),TEXT('Change in Employment'!J41, "0"),"")</f>
        <v>-30333</v>
      </c>
      <c r="D34" s="8">
        <f>IF(ISNUMBER('Change in Employment'!G41),'Change in Employment'!G41,"")</f>
        <v>0</v>
      </c>
    </row>
    <row r="35" spans="1:4">
      <c r="A35" t="str">
        <f>TEXT(IF('Change in Employment'!B42&lt;&gt;0,DATE(YEAR('Change in Employment'!B42), MONTH('Change in Employment'!B42), 1), ""), "mm/dd/yyyy")</f>
        <v>09/01/2011</v>
      </c>
      <c r="B35" s="8" t="str">
        <f>IF(ISNUMBER('Change in Employment'!I42), TEXT('Change in Employment'!I42, "0"), "")</f>
        <v>-30000</v>
      </c>
      <c r="C35" s="8" t="str">
        <f>IF(ISNUMBER('Change in Employment'!J42),TEXT('Change in Employment'!J42, "0"),"")</f>
        <v>-55667</v>
      </c>
      <c r="D35" s="8">
        <f>IF(ISNUMBER('Change in Employment'!G42),'Change in Employment'!G42,"")</f>
        <v>0</v>
      </c>
    </row>
    <row r="36" spans="1:4">
      <c r="A36" t="str">
        <f>TEXT(IF('Change in Employment'!B43&lt;&gt;0,DATE(YEAR('Change in Employment'!B43), MONTH('Change in Employment'!B43), 1), ""), "mm/dd/yyyy")</f>
        <v>10/01/2011</v>
      </c>
      <c r="B36" s="8" t="str">
        <f>IF(ISNUMBER('Change in Employment'!I43), TEXT('Change in Employment'!I43, "0"), "")</f>
        <v>11000</v>
      </c>
      <c r="C36" s="8" t="str">
        <f>IF(ISNUMBER('Change in Employment'!J43),TEXT('Change in Employment'!J43, "0"),"")</f>
        <v>-13000</v>
      </c>
      <c r="D36" s="8">
        <f>IF(ISNUMBER('Change in Employment'!G43),'Change in Employment'!G43,"")</f>
        <v>0</v>
      </c>
    </row>
    <row r="37" spans="1:4">
      <c r="A37" t="str">
        <f>TEXT(IF('Change in Employment'!B44&lt;&gt;0,DATE(YEAR('Change in Employment'!B44), MONTH('Change in Employment'!B44), 1), ""), "mm/dd/yyyy")</f>
        <v>11/01/2011</v>
      </c>
      <c r="B37" s="8" t="str">
        <f>IF(ISNUMBER('Change in Employment'!I44), TEXT('Change in Employment'!I44, "0"), "")</f>
        <v>-19000</v>
      </c>
      <c r="C37" s="8" t="str">
        <f>IF(ISNUMBER('Change in Employment'!J44),TEXT('Change in Employment'!J44, "0"),"")</f>
        <v>-12667</v>
      </c>
      <c r="D37" s="8">
        <f>IF(ISNUMBER('Change in Employment'!G44),'Change in Employment'!G44,"")</f>
        <v>0</v>
      </c>
    </row>
    <row r="38" spans="1:4">
      <c r="A38" t="str">
        <f>TEXT(IF('Change in Employment'!B45&lt;&gt;0,DATE(YEAR('Change in Employment'!B45), MONTH('Change in Employment'!B45), 1), ""), "mm/dd/yyyy")</f>
        <v>12/01/2011</v>
      </c>
      <c r="B38" s="8" t="str">
        <f>IF(ISNUMBER('Change in Employment'!I45), TEXT('Change in Employment'!I45, "0"), "")</f>
        <v>-11000</v>
      </c>
      <c r="C38" s="8" t="str">
        <f>IF(ISNUMBER('Change in Employment'!J45),TEXT('Change in Employment'!J45, "0"),"")</f>
        <v>-6333</v>
      </c>
      <c r="D38" s="8">
        <f>IF(ISNUMBER('Change in Employment'!G45),'Change in Employment'!G45,"")</f>
        <v>0</v>
      </c>
    </row>
    <row r="39" spans="1:4">
      <c r="A39" t="str">
        <f>TEXT(IF('Change in Employment'!B46&lt;&gt;0,DATE(YEAR('Change in Employment'!B46), MONTH('Change in Employment'!B46), 1), ""), "mm/dd/yyyy")</f>
        <v>01/01/2012</v>
      </c>
      <c r="B39" s="8" t="str">
        <f>IF(ISNUMBER('Change in Employment'!I46), TEXT('Change in Employment'!I46, "0"), "")</f>
        <v>-5000</v>
      </c>
      <c r="C39" s="8" t="str">
        <f>IF(ISNUMBER('Change in Employment'!J46),TEXT('Change in Employment'!J46, "0"),"")</f>
        <v>-11667</v>
      </c>
      <c r="D39" s="8">
        <f>IF(ISNUMBER('Change in Employment'!G46),'Change in Employment'!G46,"")</f>
        <v>0</v>
      </c>
    </row>
    <row r="40" spans="1:4">
      <c r="A40" t="str">
        <f>TEXT(IF('Change in Employment'!B47&lt;&gt;0,DATE(YEAR('Change in Employment'!B47), MONTH('Change in Employment'!B47), 1), ""), "mm/dd/yyyy")</f>
        <v>02/01/2012</v>
      </c>
      <c r="B40" s="8" t="str">
        <f>IF(ISNUMBER('Change in Employment'!I47), TEXT('Change in Employment'!I47, "0"), "")</f>
        <v>6000</v>
      </c>
      <c r="C40" s="8" t="str">
        <f>IF(ISNUMBER('Change in Employment'!J47),TEXT('Change in Employment'!J47, "0"),"")</f>
        <v>-3333</v>
      </c>
      <c r="D40" s="8">
        <f>IF(ISNUMBER('Change in Employment'!G47),'Change in Employment'!G47,"")</f>
        <v>0</v>
      </c>
    </row>
    <row r="41" spans="1:4">
      <c r="A41" t="str">
        <f>TEXT(IF('Change in Employment'!B48&lt;&gt;0,DATE(YEAR('Change in Employment'!B48), MONTH('Change in Employment'!B48), 1), ""), "mm/dd/yyyy")</f>
        <v>03/01/2012</v>
      </c>
      <c r="B41" s="8" t="str">
        <f>IF(ISNUMBER('Change in Employment'!I48), TEXT('Change in Employment'!I48, "0"), "")</f>
        <v>-4000</v>
      </c>
      <c r="C41" s="8" t="str">
        <f>IF(ISNUMBER('Change in Employment'!J48),TEXT('Change in Employment'!J48, "0"),"")</f>
        <v>-1000</v>
      </c>
      <c r="D41" s="8">
        <f>IF(ISNUMBER('Change in Employment'!G48),'Change in Employment'!G48,"")</f>
        <v>0</v>
      </c>
    </row>
    <row r="42" spans="1:4">
      <c r="A42" t="str">
        <f>TEXT(IF('Change in Employment'!B49&lt;&gt;0,DATE(YEAR('Change in Employment'!B49), MONTH('Change in Employment'!B49), 1), ""), "mm/dd/yyyy")</f>
        <v>04/01/2012</v>
      </c>
      <c r="B42" s="8" t="str">
        <f>IF(ISNUMBER('Change in Employment'!I49), TEXT('Change in Employment'!I49, "0"), "")</f>
        <v>-10000</v>
      </c>
      <c r="C42" s="8" t="str">
        <f>IF(ISNUMBER('Change in Employment'!J49),TEXT('Change in Employment'!J49, "0"),"")</f>
        <v>-2667</v>
      </c>
      <c r="D42" s="8">
        <f>IF(ISNUMBER('Change in Employment'!G49),'Change in Employment'!G49,"")</f>
        <v>0</v>
      </c>
    </row>
    <row r="43" spans="1:4">
      <c r="A43" t="str">
        <f>TEXT(IF('Change in Employment'!B50&lt;&gt;0,DATE(YEAR('Change in Employment'!B50), MONTH('Change in Employment'!B50), 1), ""), "mm/dd/yyyy")</f>
        <v>05/01/2012</v>
      </c>
      <c r="B43" s="8" t="str">
        <f>IF(ISNUMBER('Change in Employment'!I50), TEXT('Change in Employment'!I50, "0"), "")</f>
        <v>-17000</v>
      </c>
      <c r="C43" s="8" t="str">
        <f>IF(ISNUMBER('Change in Employment'!J50),TEXT('Change in Employment'!J50, "0"),"")</f>
        <v>-10333</v>
      </c>
      <c r="D43" s="8">
        <f>IF(ISNUMBER('Change in Employment'!G50),'Change in Employment'!G50,"")</f>
        <v>0</v>
      </c>
    </row>
    <row r="44" spans="1:4">
      <c r="A44" t="str">
        <f>TEXT(IF('Change in Employment'!B51&lt;&gt;0,DATE(YEAR('Change in Employment'!B51), MONTH('Change in Employment'!B51), 1), ""), "mm/dd/yyyy")</f>
        <v>06/01/2012</v>
      </c>
      <c r="B44" s="8" t="str">
        <f>IF(ISNUMBER('Change in Employment'!I51), TEXT('Change in Employment'!I51, "0"), "")</f>
        <v>18000</v>
      </c>
      <c r="C44" s="8" t="str">
        <f>IF(ISNUMBER('Change in Employment'!J51),TEXT('Change in Employment'!J51, "0"),"")</f>
        <v>-3000</v>
      </c>
      <c r="D44" s="8">
        <f>IF(ISNUMBER('Change in Employment'!G51),'Change in Employment'!G51,"")</f>
        <v>0</v>
      </c>
    </row>
    <row r="45" spans="1:4">
      <c r="A45" t="str">
        <f>TEXT(IF('Change in Employment'!B52&lt;&gt;0,DATE(YEAR('Change in Employment'!B52), MONTH('Change in Employment'!B52), 1), ""), "mm/dd/yyyy")</f>
        <v>07/01/2012</v>
      </c>
      <c r="B45" s="8" t="str">
        <f>IF(ISNUMBER('Change in Employment'!I52), TEXT('Change in Employment'!I52, "0"), "")</f>
        <v>-8000</v>
      </c>
      <c r="C45" s="8" t="str">
        <f>IF(ISNUMBER('Change in Employment'!J52),TEXT('Change in Employment'!J52, "0"),"")</f>
        <v>-2333</v>
      </c>
      <c r="D45" s="8">
        <f>IF(ISNUMBER('Change in Employment'!G52),'Change in Employment'!G52,"")</f>
        <v>0</v>
      </c>
    </row>
    <row r="46" spans="1:4">
      <c r="A46" t="str">
        <f>TEXT(IF('Change in Employment'!B53&lt;&gt;0,DATE(YEAR('Change in Employment'!B53), MONTH('Change in Employment'!B53), 1), ""), "mm/dd/yyyy")</f>
        <v>08/01/2012</v>
      </c>
      <c r="B46" s="8" t="str">
        <f>IF(ISNUMBER('Change in Employment'!I53), TEXT('Change in Employment'!I53, "0"), "")</f>
        <v>-2000</v>
      </c>
      <c r="C46" s="8" t="str">
        <f>IF(ISNUMBER('Change in Employment'!J53),TEXT('Change in Employment'!J53, "0"),"")</f>
        <v>2667</v>
      </c>
      <c r="D46" s="8">
        <f>IF(ISNUMBER('Change in Employment'!G53),'Change in Employment'!G53,"")</f>
        <v>0</v>
      </c>
    </row>
    <row r="47" spans="1:4">
      <c r="A47" t="str">
        <f>TEXT(IF('Change in Employment'!B54&lt;&gt;0,DATE(YEAR('Change in Employment'!B54), MONTH('Change in Employment'!B54), 1), ""), "mm/dd/yyyy")</f>
        <v>09/01/2012</v>
      </c>
      <c r="B47" s="8" t="str">
        <f>IF(ISNUMBER('Change in Employment'!I54), TEXT('Change in Employment'!I54, "0"), "")</f>
        <v>7000</v>
      </c>
      <c r="C47" s="8" t="str">
        <f>IF(ISNUMBER('Change in Employment'!J54),TEXT('Change in Employment'!J54, "0"),"")</f>
        <v>-1000</v>
      </c>
      <c r="D47" s="8">
        <f>IF(ISNUMBER('Change in Employment'!G54),'Change in Employment'!G54,"")</f>
        <v>0</v>
      </c>
    </row>
    <row r="48" spans="1:4">
      <c r="A48" t="str">
        <f>TEXT(IF('Change in Employment'!B55&lt;&gt;0,DATE(YEAR('Change in Employment'!B55), MONTH('Change in Employment'!B55), 1), ""), "mm/dd/yyyy")</f>
        <v>10/01/2012</v>
      </c>
      <c r="B48" s="8" t="str">
        <f>IF(ISNUMBER('Change in Employment'!I55), TEXT('Change in Employment'!I55, "0"), "")</f>
        <v>-24000</v>
      </c>
      <c r="C48" s="8" t="str">
        <f>IF(ISNUMBER('Change in Employment'!J55),TEXT('Change in Employment'!J55, "0"),"")</f>
        <v>-6333</v>
      </c>
      <c r="D48" s="8">
        <f>IF(ISNUMBER('Change in Employment'!G55),'Change in Employment'!G55,"")</f>
        <v>0</v>
      </c>
    </row>
    <row r="49" spans="1:4">
      <c r="A49" t="str">
        <f>TEXT(IF('Change in Employment'!B56&lt;&gt;0,DATE(YEAR('Change in Employment'!B56), MONTH('Change in Employment'!B56), 1), ""), "mm/dd/yyyy")</f>
        <v>11/01/2012</v>
      </c>
      <c r="B49" s="8" t="str">
        <f>IF(ISNUMBER('Change in Employment'!I56), TEXT('Change in Employment'!I56, "0"), "")</f>
        <v>-5000</v>
      </c>
      <c r="C49" s="8" t="str">
        <f>IF(ISNUMBER('Change in Employment'!J56),TEXT('Change in Employment'!J56, "0"),"")</f>
        <v>-7333</v>
      </c>
      <c r="D49" s="8">
        <f>IF(ISNUMBER('Change in Employment'!G56),'Change in Employment'!G56,"")</f>
        <v>0</v>
      </c>
    </row>
    <row r="50" spans="1:4">
      <c r="A50" t="str">
        <f>TEXT(IF('Change in Employment'!B57&lt;&gt;0,DATE(YEAR('Change in Employment'!B57), MONTH('Change in Employment'!B57), 1), ""), "mm/dd/yyyy")</f>
        <v>12/01/2012</v>
      </c>
      <c r="B50" s="8" t="str">
        <f>IF(ISNUMBER('Change in Employment'!I57), TEXT('Change in Employment'!I57, "0"), "")</f>
        <v>7000</v>
      </c>
      <c r="C50" s="8" t="str">
        <f>IF(ISNUMBER('Change in Employment'!J57),TEXT('Change in Employment'!J57, "0"),"")</f>
        <v>-7333</v>
      </c>
      <c r="D50" s="8">
        <f>IF(ISNUMBER('Change in Employment'!G57),'Change in Employment'!G57,"")</f>
        <v>0</v>
      </c>
    </row>
    <row r="51" spans="1:4">
      <c r="A51" t="str">
        <f>TEXT(IF('Change in Employment'!B58&lt;&gt;0,DATE(YEAR('Change in Employment'!B58), MONTH('Change in Employment'!B58), 1), ""), "mm/dd/yyyy")</f>
        <v>01/01/2013</v>
      </c>
      <c r="B51" s="8" t="str">
        <f>IF(ISNUMBER('Change in Employment'!I58), TEXT('Change in Employment'!I58, "0"), "")</f>
        <v>-18000</v>
      </c>
      <c r="C51" s="8" t="str">
        <f>IF(ISNUMBER('Change in Employment'!J58),TEXT('Change in Employment'!J58, "0"),"")</f>
        <v>-5333</v>
      </c>
      <c r="D51" s="8">
        <f>IF(ISNUMBER('Change in Employment'!G58),'Change in Employment'!G58,"")</f>
        <v>0</v>
      </c>
    </row>
    <row r="52" spans="1:4">
      <c r="A52" t="str">
        <f>TEXT(IF('Change in Employment'!B59&lt;&gt;0,DATE(YEAR('Change in Employment'!B59), MONTH('Change in Employment'!B59), 1), ""), "mm/dd/yyyy")</f>
        <v>02/01/2013</v>
      </c>
      <c r="B52" s="8" t="str">
        <f>IF(ISNUMBER('Change in Employment'!I59), TEXT('Change in Employment'!I59, "0"), "")</f>
        <v>12000</v>
      </c>
      <c r="C52" s="8" t="str">
        <f>IF(ISNUMBER('Change in Employment'!J59),TEXT('Change in Employment'!J59, "0"),"")</f>
        <v>333</v>
      </c>
      <c r="D52" s="8">
        <f>IF(ISNUMBER('Change in Employment'!G59),'Change in Employment'!G59,"")</f>
        <v>0</v>
      </c>
    </row>
    <row r="53" spans="1:4">
      <c r="A53" t="str">
        <f>TEXT(IF('Change in Employment'!B60&lt;&gt;0,DATE(YEAR('Change in Employment'!B60), MONTH('Change in Employment'!B60), 1), ""), "mm/dd/yyyy")</f>
        <v>03/01/2013</v>
      </c>
      <c r="B53" s="8" t="str">
        <f>IF(ISNUMBER('Change in Employment'!I60), TEXT('Change in Employment'!I60, "0"), "")</f>
        <v>1000</v>
      </c>
      <c r="C53" s="8" t="str">
        <f>IF(ISNUMBER('Change in Employment'!J60),TEXT('Change in Employment'!J60, "0"),"")</f>
        <v>-1667</v>
      </c>
      <c r="D53" s="8">
        <f>IF(ISNUMBER('Change in Employment'!G60),'Change in Employment'!G60,"")</f>
        <v>0</v>
      </c>
    </row>
    <row r="54" spans="1:4">
      <c r="A54" t="str">
        <f>TEXT(IF('Change in Employment'!B61&lt;&gt;0,DATE(YEAR('Change in Employment'!B61), MONTH('Change in Employment'!B61), 1), ""), "mm/dd/yyyy")</f>
        <v>04/01/2013</v>
      </c>
      <c r="B54" s="8" t="str">
        <f>IF(ISNUMBER('Change in Employment'!I61), TEXT('Change in Employment'!I61, "0"), "")</f>
        <v>-1000</v>
      </c>
      <c r="C54" s="8" t="str">
        <f>IF(ISNUMBER('Change in Employment'!J61),TEXT('Change in Employment'!J61, "0"),"")</f>
        <v>4000</v>
      </c>
      <c r="D54" s="8">
        <f>IF(ISNUMBER('Change in Employment'!G61),'Change in Employment'!G61,"")</f>
        <v>0</v>
      </c>
    </row>
    <row r="55" spans="1:4">
      <c r="A55" t="str">
        <f>TEXT(IF('Change in Employment'!B62&lt;&gt;0,DATE(YEAR('Change in Employment'!B62), MONTH('Change in Employment'!B62), 1), ""), "mm/dd/yyyy")</f>
        <v>05/01/2013</v>
      </c>
      <c r="B55" s="8" t="str">
        <f>IF(ISNUMBER('Change in Employment'!I62), TEXT('Change in Employment'!I62, "0"), "")</f>
        <v>14000</v>
      </c>
      <c r="C55" s="8" t="str">
        <f>IF(ISNUMBER('Change in Employment'!J62),TEXT('Change in Employment'!J62, "0"),"")</f>
        <v>4667</v>
      </c>
      <c r="D55" s="8">
        <f>IF(ISNUMBER('Change in Employment'!G62),'Change in Employment'!G62,"")</f>
        <v>0</v>
      </c>
    </row>
    <row r="56" spans="1:4">
      <c r="A56" t="str">
        <f>TEXT(IF('Change in Employment'!B63&lt;&gt;0,DATE(YEAR('Change in Employment'!B63), MONTH('Change in Employment'!B63), 1), ""), "mm/dd/yyyy")</f>
        <v>06/01/2013</v>
      </c>
      <c r="B56" s="8" t="str">
        <f>IF(ISNUMBER('Change in Employment'!I63), TEXT('Change in Employment'!I63, "0"), "")</f>
        <v>-20000</v>
      </c>
      <c r="C56" s="8" t="str">
        <f>IF(ISNUMBER('Change in Employment'!J63),TEXT('Change in Employment'!J63, "0"),"")</f>
        <v>-2333</v>
      </c>
      <c r="D56" s="8">
        <f>IF(ISNUMBER('Change in Employment'!G63),'Change in Employment'!G63,"")</f>
        <v>0</v>
      </c>
    </row>
    <row r="57" spans="1:4">
      <c r="A57" t="str">
        <f>TEXT(IF('Change in Employment'!B64&lt;&gt;0,DATE(YEAR('Change in Employment'!B64), MONTH('Change in Employment'!B64), 1), ""), "mm/dd/yyyy")</f>
        <v>07/01/2013</v>
      </c>
      <c r="B57" s="8" t="str">
        <f>IF(ISNUMBER('Change in Employment'!I64), TEXT('Change in Employment'!I64, "0"), "")</f>
        <v>-15000</v>
      </c>
      <c r="C57" s="8" t="str">
        <f>IF(ISNUMBER('Change in Employment'!J64),TEXT('Change in Employment'!J64, "0"),"")</f>
        <v>-7000</v>
      </c>
      <c r="D57" s="8">
        <f>IF(ISNUMBER('Change in Employment'!G64),'Change in Employment'!G64,"")</f>
        <v>0</v>
      </c>
    </row>
    <row r="58" spans="1:4">
      <c r="A58" t="str">
        <f>TEXT(IF('Change in Employment'!B65&lt;&gt;0,DATE(YEAR('Change in Employment'!B65), MONTH('Change in Employment'!B65), 1), ""), "mm/dd/yyyy")</f>
        <v>08/01/2013</v>
      </c>
      <c r="B58" s="8" t="str">
        <f>IF(ISNUMBER('Change in Employment'!I65), TEXT('Change in Employment'!I65, "0"), "")</f>
        <v>23000</v>
      </c>
      <c r="C58" s="8" t="str">
        <f>IF(ISNUMBER('Change in Employment'!J65),TEXT('Change in Employment'!J65, "0"),"")</f>
        <v>-4000</v>
      </c>
      <c r="D58" s="8">
        <f>IF(ISNUMBER('Change in Employment'!G65),'Change in Employment'!G65,"")</f>
        <v>0</v>
      </c>
    </row>
    <row r="59" spans="1:4">
      <c r="A59" t="str">
        <f>TEXT(IF('Change in Employment'!B66&lt;&gt;0,DATE(YEAR('Change in Employment'!B66), MONTH('Change in Employment'!B66), 1), ""), "mm/dd/yyyy")</f>
        <v>09/01/2013</v>
      </c>
      <c r="B59" s="8" t="str">
        <f>IF(ISNUMBER('Change in Employment'!I66), TEXT('Change in Employment'!I66, "0"), "")</f>
        <v>5000</v>
      </c>
      <c r="C59" s="8" t="str">
        <f>IF(ISNUMBER('Change in Employment'!J66),TEXT('Change in Employment'!J66, "0"),"")</f>
        <v>4333</v>
      </c>
      <c r="D59" s="8">
        <f>IF(ISNUMBER('Change in Employment'!G66),'Change in Employment'!G66,"")</f>
        <v>0</v>
      </c>
    </row>
    <row r="60" spans="1:4">
      <c r="A60" t="str">
        <f>TEXT(IF('Change in Employment'!B67&lt;&gt;0,DATE(YEAR('Change in Employment'!B67), MONTH('Change in Employment'!B67), 1), ""), "mm/dd/yyyy")</f>
        <v>10/01/2013</v>
      </c>
      <c r="B60" s="8" t="str">
        <f>IF(ISNUMBER('Change in Employment'!I67), TEXT('Change in Employment'!I67, "0"), "")</f>
        <v>9000</v>
      </c>
      <c r="C60" s="8" t="str">
        <f>IF(ISNUMBER('Change in Employment'!J67),TEXT('Change in Employment'!J67, "0"),"")</f>
        <v>12333</v>
      </c>
      <c r="D60" s="8">
        <f>IF(ISNUMBER('Change in Employment'!G67),'Change in Employment'!G67,"")</f>
        <v>0</v>
      </c>
    </row>
    <row r="61" spans="1:4">
      <c r="A61" t="str">
        <f>TEXT(IF('Change in Employment'!B68&lt;&gt;0,DATE(YEAR('Change in Employment'!B68), MONTH('Change in Employment'!B68), 1), ""), "mm/dd/yyyy")</f>
        <v>11/01/2013</v>
      </c>
      <c r="B61" s="8" t="str">
        <f>IF(ISNUMBER('Change in Employment'!I68), TEXT('Change in Employment'!I68, "0"), "")</f>
        <v>6000</v>
      </c>
      <c r="C61" s="8" t="str">
        <f>IF(ISNUMBER('Change in Employment'!J68),TEXT('Change in Employment'!J68, "0"),"")</f>
        <v>6667</v>
      </c>
      <c r="D61" s="8">
        <f>IF(ISNUMBER('Change in Employment'!G68),'Change in Employment'!G68,"")</f>
        <v>0</v>
      </c>
    </row>
    <row r="62" spans="1:4">
      <c r="A62" t="str">
        <f>TEXT(IF('Change in Employment'!B69&lt;&gt;0,DATE(YEAR('Change in Employment'!B69), MONTH('Change in Employment'!B69), 1), ""), "mm/dd/yyyy")</f>
        <v>12/01/2013</v>
      </c>
      <c r="B62" s="8" t="str">
        <f>IF(ISNUMBER('Change in Employment'!I69), TEXT('Change in Employment'!I69, "0"), "")</f>
        <v>-18000</v>
      </c>
      <c r="C62" s="8" t="str">
        <f>IF(ISNUMBER('Change in Employment'!J69),TEXT('Change in Employment'!J69, "0"),"")</f>
        <v>-1000</v>
      </c>
      <c r="D62" s="8">
        <f>IF(ISNUMBER('Change in Employment'!G69),'Change in Employment'!G69,"")</f>
        <v>0</v>
      </c>
    </row>
    <row r="63" spans="1:4">
      <c r="A63" t="str">
        <f>TEXT(IF('Change in Employment'!B70&lt;&gt;0,DATE(YEAR('Change in Employment'!B70), MONTH('Change in Employment'!B70), 1), ""), "mm/dd/yyyy")</f>
        <v>01/01/2014</v>
      </c>
      <c r="B63" s="8" t="str">
        <f>IF(ISNUMBER('Change in Employment'!I70), TEXT('Change in Employment'!I70, "0"), "")</f>
        <v>-1000</v>
      </c>
      <c r="C63" s="8" t="str">
        <f>IF(ISNUMBER('Change in Employment'!J70),TEXT('Change in Employment'!J70, "0"),"")</f>
        <v>-4333</v>
      </c>
      <c r="D63" s="8">
        <f>IF(ISNUMBER('Change in Employment'!G70),'Change in Employment'!G70,"")</f>
        <v>0</v>
      </c>
    </row>
    <row r="64" spans="1:4">
      <c r="A64" t="str">
        <f>TEXT(IF('Change in Employment'!B71&lt;&gt;0,DATE(YEAR('Change in Employment'!B71), MONTH('Change in Employment'!B71), 1), ""), "mm/dd/yyyy")</f>
        <v>02/01/2014</v>
      </c>
      <c r="B64" s="8" t="str">
        <f>IF(ISNUMBER('Change in Employment'!I71), TEXT('Change in Employment'!I71, "0"), "")</f>
        <v>16000</v>
      </c>
      <c r="C64" s="8" t="str">
        <f>IF(ISNUMBER('Change in Employment'!J71),TEXT('Change in Employment'!J71, "0"),"")</f>
        <v>-1000</v>
      </c>
      <c r="D64" s="8">
        <f>IF(ISNUMBER('Change in Employment'!G71),'Change in Employment'!G71,"")</f>
        <v>0</v>
      </c>
    </row>
    <row r="65" spans="1:4">
      <c r="A65" t="str">
        <f>TEXT(IF('Change in Employment'!B72&lt;&gt;0,DATE(YEAR('Change in Employment'!B72), MONTH('Change in Employment'!B72), 1), ""), "mm/dd/yyyy")</f>
        <v>03/01/2014</v>
      </c>
      <c r="B65" s="8" t="str">
        <f>IF(ISNUMBER('Change in Employment'!I72), TEXT('Change in Employment'!I72, "0"), "")</f>
        <v>11000</v>
      </c>
      <c r="C65" s="8" t="str">
        <f>IF(ISNUMBER('Change in Employment'!J72),TEXT('Change in Employment'!J72, "0"),"")</f>
        <v>8667</v>
      </c>
      <c r="D65" s="8">
        <f>IF(ISNUMBER('Change in Employment'!G72),'Change in Employment'!G72,"")</f>
        <v>0</v>
      </c>
    </row>
    <row r="66" spans="1:4">
      <c r="A66" t="str">
        <f>TEXT(IF('Change in Employment'!B73&lt;&gt;0,DATE(YEAR('Change in Employment'!B73), MONTH('Change in Employment'!B73), 1), ""), "mm/dd/yyyy")</f>
        <v>04/01/2014</v>
      </c>
      <c r="B66" s="8" t="str">
        <f>IF(ISNUMBER('Change in Employment'!I73), TEXT('Change in Employment'!I73, "0"), "")</f>
        <v>20000</v>
      </c>
      <c r="C66" s="8" t="str">
        <f>IF(ISNUMBER('Change in Employment'!J73),TEXT('Change in Employment'!J73, "0"),"")</f>
        <v>15667</v>
      </c>
      <c r="D66" s="8">
        <f>IF(ISNUMBER('Change in Employment'!G73),'Change in Employment'!G73,"")</f>
        <v>0</v>
      </c>
    </row>
    <row r="67" spans="1:4">
      <c r="A67" t="str">
        <f>TEXT(IF('Change in Employment'!B74&lt;&gt;0,DATE(YEAR('Change in Employment'!B74), MONTH('Change in Employment'!B74), 1), ""), "mm/dd/yyyy")</f>
        <v>05/01/2014</v>
      </c>
      <c r="B67" s="8" t="str">
        <f>IF(ISNUMBER('Change in Employment'!I74), TEXT('Change in Employment'!I74, "0"), "")</f>
        <v>-21000</v>
      </c>
      <c r="C67" s="8" t="str">
        <f>IF(ISNUMBER('Change in Employment'!J74),TEXT('Change in Employment'!J74, "0"),"")</f>
        <v>3333</v>
      </c>
      <c r="D67" s="8">
        <f>IF(ISNUMBER('Change in Employment'!G74),'Change in Employment'!G74,"")</f>
        <v>0</v>
      </c>
    </row>
    <row r="68" spans="1:4">
      <c r="A68" t="str">
        <f>TEXT(IF('Change in Employment'!B75&lt;&gt;0,DATE(YEAR('Change in Employment'!B75), MONTH('Change in Employment'!B75), 1), ""), "mm/dd/yyyy")</f>
        <v>06/01/2014</v>
      </c>
      <c r="B68" s="8" t="str">
        <f>IF(ISNUMBER('Change in Employment'!I75), TEXT('Change in Employment'!I75, "0"), "")</f>
        <v>62000</v>
      </c>
      <c r="C68" s="8" t="str">
        <f>IF(ISNUMBER('Change in Employment'!J75),TEXT('Change in Employment'!J75, "0"),"")</f>
        <v>20333</v>
      </c>
      <c r="D68" s="8">
        <f>IF(ISNUMBER('Change in Employment'!G75),'Change in Employment'!G75,"")</f>
        <v>0</v>
      </c>
    </row>
    <row r="69" spans="1:4">
      <c r="A69" t="str">
        <f>TEXT(IF('Change in Employment'!B76&lt;&gt;0,DATE(YEAR('Change in Employment'!B76), MONTH('Change in Employment'!B76), 1), ""), "mm/dd/yyyy")</f>
        <v>07/01/2014</v>
      </c>
      <c r="B69" s="8" t="str">
        <f>IF(ISNUMBER('Change in Employment'!I76), TEXT('Change in Employment'!I76, "0"), "")</f>
        <v>4000</v>
      </c>
      <c r="C69" s="8" t="str">
        <f>IF(ISNUMBER('Change in Employment'!J76),TEXT('Change in Employment'!J76, "0"),"")</f>
        <v>15000</v>
      </c>
      <c r="D69" s="8">
        <f>IF(ISNUMBER('Change in Employment'!G76),'Change in Employment'!G76,"")</f>
        <v>0</v>
      </c>
    </row>
    <row r="70" spans="1:4">
      <c r="A70" t="str">
        <f>TEXT(IF('Change in Employment'!B77&lt;&gt;0,DATE(YEAR('Change in Employment'!B77), MONTH('Change in Employment'!B77), 1), ""), "mm/dd/yyyy")</f>
        <v>08/01/2014</v>
      </c>
      <c r="B70" s="8" t="str">
        <f>IF(ISNUMBER('Change in Employment'!I77), TEXT('Change in Employment'!I77, "0"), "")</f>
        <v>-50000</v>
      </c>
      <c r="C70" s="8" t="str">
        <f>IF(ISNUMBER('Change in Employment'!J77),TEXT('Change in Employment'!J77, "0"),"")</f>
        <v>5333</v>
      </c>
      <c r="D70" s="8">
        <f>IF(ISNUMBER('Change in Employment'!G77),'Change in Employment'!G77,"")</f>
        <v>0</v>
      </c>
    </row>
    <row r="71" spans="1:4">
      <c r="A71" t="str">
        <f>TEXT(IF('Change in Employment'!B78&lt;&gt;0,DATE(YEAR('Change in Employment'!B78), MONTH('Change in Employment'!B78), 1), ""), "mm/dd/yyyy")</f>
        <v>09/01/2014</v>
      </c>
      <c r="B71" s="8" t="str">
        <f>IF(ISNUMBER('Change in Employment'!I78), TEXT('Change in Employment'!I78, "0"), "")</f>
        <v>42000</v>
      </c>
      <c r="C71" s="8" t="str">
        <f>IF(ISNUMBER('Change in Employment'!J78),TEXT('Change in Employment'!J78, "0"),"")</f>
        <v>-1333</v>
      </c>
      <c r="D71" s="8">
        <f>IF(ISNUMBER('Change in Employment'!G78),'Change in Employment'!G78,"")</f>
        <v>0</v>
      </c>
    </row>
    <row r="72" spans="1:4">
      <c r="A72" t="str">
        <f>TEXT(IF('Change in Employment'!B79&lt;&gt;0,DATE(YEAR('Change in Employment'!B79), MONTH('Change in Employment'!B79), 1), ""), "mm/dd/yyyy")</f>
        <v>10/01/2014</v>
      </c>
      <c r="B72" s="8" t="str">
        <f>IF(ISNUMBER('Change in Employment'!I79), TEXT('Change in Employment'!I79, "0"), "")</f>
        <v>20000</v>
      </c>
      <c r="C72" s="8" t="str">
        <f>IF(ISNUMBER('Change in Employment'!J79),TEXT('Change in Employment'!J79, "0"),"")</f>
        <v>4000</v>
      </c>
      <c r="D72" s="8">
        <f>IF(ISNUMBER('Change in Employment'!G79),'Change in Employment'!G79,"")</f>
        <v>0</v>
      </c>
    </row>
    <row r="73" spans="1:4">
      <c r="A73" t="str">
        <f>TEXT(IF('Change in Employment'!B80&lt;&gt;0,DATE(YEAR('Change in Employment'!B80), MONTH('Change in Employment'!B80), 1), ""), "mm/dd/yyyy")</f>
        <v>11/01/2014</v>
      </c>
      <c r="B73" s="8" t="str">
        <f>IF(ISNUMBER('Change in Employment'!I80), TEXT('Change in Employment'!I80, "0"), "")</f>
        <v>10000</v>
      </c>
      <c r="C73" s="8" t="str">
        <f>IF(ISNUMBER('Change in Employment'!J80),TEXT('Change in Employment'!J80, "0"),"")</f>
        <v>24000</v>
      </c>
      <c r="D73" s="8">
        <f>IF(ISNUMBER('Change in Employment'!G80),'Change in Employment'!G80,"")</f>
        <v>0</v>
      </c>
    </row>
    <row r="74" spans="1:4">
      <c r="A74" t="str">
        <f>TEXT(IF('Change in Employment'!B81&lt;&gt;0,DATE(YEAR('Change in Employment'!B81), MONTH('Change in Employment'!B81), 1), ""), "mm/dd/yyyy")</f>
        <v>12/01/2014</v>
      </c>
      <c r="B74" s="8" t="str">
        <f>IF(ISNUMBER('Change in Employment'!I81), TEXT('Change in Employment'!I81, "0"), "")</f>
        <v>12000</v>
      </c>
      <c r="C74" s="8" t="str">
        <f>IF(ISNUMBER('Change in Employment'!J81),TEXT('Change in Employment'!J81, "0"),"")</f>
        <v>14000</v>
      </c>
      <c r="D74" s="8">
        <f>IF(ISNUMBER('Change in Employment'!G81),'Change in Employment'!G81,"")</f>
        <v>0</v>
      </c>
    </row>
    <row r="75" spans="1:4">
      <c r="A75" t="str">
        <f>TEXT(IF('Change in Employment'!B82&lt;&gt;0,DATE(YEAR('Change in Employment'!B82), MONTH('Change in Employment'!B82), 1), ""), "mm/dd/yyyy")</f>
        <v>01/01/2015</v>
      </c>
      <c r="B75" s="8" t="str">
        <f>IF(ISNUMBER('Change in Employment'!I82), TEXT('Change in Employment'!I82, "0"), "")</f>
        <v>11000</v>
      </c>
      <c r="C75" s="8" t="str">
        <f>IF(ISNUMBER('Change in Employment'!J82),TEXT('Change in Employment'!J82, "0"),"")</f>
        <v>11000</v>
      </c>
      <c r="D75" s="8">
        <f>IF(ISNUMBER('Change in Employment'!G82),'Change in Employment'!G82,"")</f>
        <v>0</v>
      </c>
    </row>
    <row r="76" spans="1:4">
      <c r="A76" t="str">
        <f>TEXT(IF('Change in Employment'!B83&lt;&gt;0,DATE(YEAR('Change in Employment'!B83), MONTH('Change in Employment'!B83), 1), ""), "mm/dd/yyyy")</f>
        <v>02/01/2015</v>
      </c>
      <c r="B76" s="8" t="str">
        <f>IF(ISNUMBER('Change in Employment'!I83), TEXT('Change in Employment'!I83, "0"), "")</f>
        <v>17000</v>
      </c>
      <c r="C76" s="8" t="str">
        <f>IF(ISNUMBER('Change in Employment'!J83),TEXT('Change in Employment'!J83, "0"),"")</f>
        <v>13333</v>
      </c>
      <c r="D76" s="8">
        <f>IF(ISNUMBER('Change in Employment'!G83),'Change in Employment'!G83,"")</f>
        <v>0</v>
      </c>
    </row>
    <row r="77" spans="1:4">
      <c r="A77" t="str">
        <f>TEXT(IF('Change in Employment'!B84&lt;&gt;0,DATE(YEAR('Change in Employment'!B84), MONTH('Change in Employment'!B84), 1), ""), "mm/dd/yyyy")</f>
        <v>03/01/2015</v>
      </c>
      <c r="B77" s="8" t="str">
        <f>IF(ISNUMBER('Change in Employment'!I84), TEXT('Change in Employment'!I84, "0"), "")</f>
        <v>-10000</v>
      </c>
      <c r="C77" s="8" t="str">
        <f>IF(ISNUMBER('Change in Employment'!J84),TEXT('Change in Employment'!J84, "0"),"")</f>
        <v>6000</v>
      </c>
      <c r="D77" s="8">
        <f>IF(ISNUMBER('Change in Employment'!G84),'Change in Employment'!G84,"")</f>
        <v>0</v>
      </c>
    </row>
    <row r="78" spans="1:4">
      <c r="A78" t="str">
        <f>TEXT(IF('Change in Employment'!B85&lt;&gt;0,DATE(YEAR('Change in Employment'!B85), MONTH('Change in Employment'!B85), 1), ""), "mm/dd/yyyy")</f>
        <v>04/01/2015</v>
      </c>
      <c r="B78" s="8" t="str">
        <f>IF(ISNUMBER('Change in Employment'!I85), TEXT('Change in Employment'!I85, "0"), "")</f>
        <v>24000</v>
      </c>
      <c r="C78" s="8" t="str">
        <f>IF(ISNUMBER('Change in Employment'!J85),TEXT('Change in Employment'!J85, "0"),"")</f>
        <v>10333</v>
      </c>
      <c r="D78" s="8">
        <f>IF(ISNUMBER('Change in Employment'!G85),'Change in Employment'!G85,"")</f>
        <v>0</v>
      </c>
    </row>
    <row r="79" spans="1:4">
      <c r="A79" t="str">
        <f>TEXT(IF('Change in Employment'!B86&lt;&gt;0,DATE(YEAR('Change in Employment'!B86), MONTH('Change in Employment'!B86), 1), ""), "mm/dd/yyyy")</f>
        <v>05/01/2015</v>
      </c>
      <c r="B79" s="8" t="str">
        <f>IF(ISNUMBER('Change in Employment'!I86), TEXT('Change in Employment'!I86, "0"), "")</f>
        <v>15000</v>
      </c>
      <c r="C79" s="8" t="str">
        <f>IF(ISNUMBER('Change in Employment'!J86),TEXT('Change in Employment'!J86, "0"),"")</f>
        <v>9667</v>
      </c>
      <c r="D79" s="8">
        <f>IF(ISNUMBER('Change in Employment'!G86),'Change in Employment'!G86,"")</f>
        <v>0</v>
      </c>
    </row>
    <row r="80" spans="1:4">
      <c r="A80" t="str">
        <f>TEXT(IF('Change in Employment'!B87&lt;&gt;0,DATE(YEAR('Change in Employment'!B87), MONTH('Change in Employment'!B87), 1), ""), "mm/dd/yyyy")</f>
        <v>06/01/2015</v>
      </c>
      <c r="B80" s="8" t="str">
        <f>IF(ISNUMBER('Change in Employment'!I87), TEXT('Change in Employment'!I87, "0"), "")</f>
        <v>-3000</v>
      </c>
      <c r="C80" s="8" t="str">
        <f>IF(ISNUMBER('Change in Employment'!J87),TEXT('Change in Employment'!J87, "0"),"")</f>
        <v>12000</v>
      </c>
      <c r="D80" s="8">
        <f>IF(ISNUMBER('Change in Employment'!G87),'Change in Employment'!G87,"")</f>
        <v>0</v>
      </c>
    </row>
    <row r="81" spans="1:4">
      <c r="A81" t="str">
        <f>TEXT(IF('Change in Employment'!B88&lt;&gt;0,DATE(YEAR('Change in Employment'!B88), MONTH('Change in Employment'!B88), 1), ""), "mm/dd/yyyy")</f>
        <v>07/01/2015</v>
      </c>
      <c r="B81" s="8" t="str">
        <f>IF(ISNUMBER('Change in Employment'!I88), TEXT('Change in Employment'!I88, "0"), "")</f>
        <v>37000</v>
      </c>
      <c r="C81" s="8" t="str">
        <f>IF(ISNUMBER('Change in Employment'!J88),TEXT('Change in Employment'!J88, "0"),"")</f>
        <v>16333</v>
      </c>
      <c r="D81" s="8">
        <f>IF(ISNUMBER('Change in Employment'!G88),'Change in Employment'!G88,"")</f>
        <v>0</v>
      </c>
    </row>
    <row r="82" spans="1:4">
      <c r="A82" t="str">
        <f>TEXT(IF('Change in Employment'!B89&lt;&gt;0,DATE(YEAR('Change in Employment'!B89), MONTH('Change in Employment'!B89), 1), ""), "mm/dd/yyyy")</f>
        <v>08/01/2015</v>
      </c>
      <c r="B82" s="8" t="str">
        <f>IF(ISNUMBER('Change in Employment'!I89), TEXT('Change in Employment'!I89, "0"), "")</f>
        <v>7000</v>
      </c>
      <c r="C82" s="8" t="str">
        <f>IF(ISNUMBER('Change in Employment'!J89),TEXT('Change in Employment'!J89, "0"),"")</f>
        <v>13667</v>
      </c>
      <c r="D82" s="8">
        <f>IF(ISNUMBER('Change in Employment'!G89),'Change in Employment'!G89,"")</f>
        <v>0</v>
      </c>
    </row>
    <row r="83" spans="1:4">
      <c r="A83" t="str">
        <f>TEXT(IF('Change in Employment'!B90&lt;&gt;0,DATE(YEAR('Change in Employment'!B90), MONTH('Change in Employment'!B90), 1), ""), "mm/dd/yyyy")</f>
        <v>09/01/2015</v>
      </c>
      <c r="B83" s="8" t="str">
        <f>IF(ISNUMBER('Change in Employment'!I90), TEXT('Change in Employment'!I90, "0"), "")</f>
        <v>-19000</v>
      </c>
      <c r="C83" s="8" t="str">
        <f>IF(ISNUMBER('Change in Employment'!J90),TEXT('Change in Employment'!J90, "0"),"")</f>
        <v>8333</v>
      </c>
      <c r="D83" s="8">
        <f>IF(ISNUMBER('Change in Employment'!G90),'Change in Employment'!G90,"")</f>
        <v>0</v>
      </c>
    </row>
    <row r="84" spans="1:4">
      <c r="A84" t="str">
        <f>TEXT(IF('Change in Employment'!B91&lt;&gt;0,DATE(YEAR('Change in Employment'!B91), MONTH('Change in Employment'!B91), 1), ""), "mm/dd/yyyy")</f>
        <v>10/01/2015</v>
      </c>
      <c r="B84" s="8" t="str">
        <f>IF(ISNUMBER('Change in Employment'!I91), TEXT('Change in Employment'!I91, "0"), "")</f>
        <v>18000</v>
      </c>
      <c r="C84" s="8" t="str">
        <f>IF(ISNUMBER('Change in Employment'!J91),TEXT('Change in Employment'!J91, "0"),"")</f>
        <v>2000</v>
      </c>
      <c r="D84" s="8">
        <f>IF(ISNUMBER('Change in Employment'!G91),'Change in Employment'!G91,"")</f>
        <v>0</v>
      </c>
    </row>
    <row r="85" spans="1:4">
      <c r="A85" t="str">
        <f>TEXT(IF('Change in Employment'!B92&lt;&gt;0,DATE(YEAR('Change in Employment'!B92), MONTH('Change in Employment'!B92), 1), ""), "mm/dd/yyyy")</f>
        <v>11/01/2015</v>
      </c>
      <c r="B85" s="8" t="str">
        <f>IF(ISNUMBER('Change in Employment'!I92), TEXT('Change in Employment'!I92, "0"), "")</f>
        <v>11000</v>
      </c>
      <c r="C85" s="8" t="str">
        <f>IF(ISNUMBER('Change in Employment'!J92),TEXT('Change in Employment'!J92, "0"),"")</f>
        <v>3333</v>
      </c>
      <c r="D85" s="8">
        <f>IF(ISNUMBER('Change in Employment'!G92),'Change in Employment'!G92,"")</f>
        <v>0</v>
      </c>
    </row>
    <row r="86" spans="1:4">
      <c r="A86" t="str">
        <f>TEXT(IF('Change in Employment'!B93&lt;&gt;0,DATE(YEAR('Change in Employment'!B93), MONTH('Change in Employment'!B93), 1), ""), "mm/dd/yyyy")</f>
        <v>12/01/2015</v>
      </c>
      <c r="B86" s="8" t="str">
        <f>IF(ISNUMBER('Change in Employment'!I93), TEXT('Change in Employment'!I93, "0"), "")</f>
        <v>13000</v>
      </c>
      <c r="C86" s="8" t="str">
        <f>IF(ISNUMBER('Change in Employment'!J93),TEXT('Change in Employment'!J93, "0"),"")</f>
        <v>14000</v>
      </c>
      <c r="D86" s="8">
        <f>IF(ISNUMBER('Change in Employment'!G93),'Change in Employment'!G93,"")</f>
        <v>0</v>
      </c>
    </row>
    <row r="87" spans="1:4">
      <c r="A87" t="str">
        <f>TEXT(IF('Change in Employment'!B94&lt;&gt;0,DATE(YEAR('Change in Employment'!B94), MONTH('Change in Employment'!B94), 1), ""), "mm/dd/yyyy")</f>
        <v>01/01/2016</v>
      </c>
      <c r="B87" s="8" t="str">
        <f>IF(ISNUMBER('Change in Employment'!I94), TEXT('Change in Employment'!I94, "0"), "")</f>
        <v>25000</v>
      </c>
      <c r="C87" s="8" t="str">
        <f>IF(ISNUMBER('Change in Employment'!J94),TEXT('Change in Employment'!J94, "0"),"")</f>
        <v>16333</v>
      </c>
      <c r="D87" s="8">
        <f>IF(ISNUMBER('Change in Employment'!G94),'Change in Employment'!G94,"")</f>
        <v>0</v>
      </c>
    </row>
    <row r="88" spans="1:4">
      <c r="A88" t="str">
        <f>TEXT(IF('Change in Employment'!B95&lt;&gt;0,DATE(YEAR('Change in Employment'!B95), MONTH('Change in Employment'!B95), 1), ""), "mm/dd/yyyy")</f>
        <v>02/01/2016</v>
      </c>
      <c r="B88" s="8" t="str">
        <f>IF(ISNUMBER('Change in Employment'!I95), TEXT('Change in Employment'!I95, "0"), "")</f>
        <v>15000</v>
      </c>
      <c r="C88" s="8" t="str">
        <f>IF(ISNUMBER('Change in Employment'!J95),TEXT('Change in Employment'!J95, "0"),"")</f>
        <v>17667</v>
      </c>
      <c r="D88" s="8">
        <f>IF(ISNUMBER('Change in Employment'!G95),'Change in Employment'!G95,"")</f>
        <v>0</v>
      </c>
    </row>
    <row r="89" spans="1:4">
      <c r="A89" t="str">
        <f>TEXT(IF('Change in Employment'!B96&lt;&gt;0,DATE(YEAR('Change in Employment'!B96), MONTH('Change in Employment'!B96), 1), ""), "mm/dd/yyyy")</f>
        <v>03/01/2016</v>
      </c>
      <c r="B89" s="8" t="str">
        <f>IF(ISNUMBER('Change in Employment'!I96), TEXT('Change in Employment'!I96, "0"), "")</f>
        <v>35000</v>
      </c>
      <c r="C89" s="8" t="str">
        <f>IF(ISNUMBER('Change in Employment'!J96),TEXT('Change in Employment'!J96, "0"),"")</f>
        <v>25000</v>
      </c>
      <c r="D89" s="8">
        <f>IF(ISNUMBER('Change in Employment'!G96),'Change in Employment'!G96,"")</f>
        <v>0</v>
      </c>
    </row>
    <row r="90" spans="1:4">
      <c r="A90" t="str">
        <f>TEXT(IF('Change in Employment'!B97&lt;&gt;0,DATE(YEAR('Change in Employment'!B97), MONTH('Change in Employment'!B97), 1), ""), "mm/dd/yyyy")</f>
        <v>04/01/2016</v>
      </c>
      <c r="B90" s="8" t="str">
        <f>IF(ISNUMBER('Change in Employment'!I97), TEXT('Change in Employment'!I97, "0"), "")</f>
        <v>6000</v>
      </c>
      <c r="C90" s="8" t="str">
        <f>IF(ISNUMBER('Change in Employment'!J97),TEXT('Change in Employment'!J97, "0"),"")</f>
        <v>18667</v>
      </c>
      <c r="D90" s="8">
        <f>IF(ISNUMBER('Change in Employment'!G97),'Change in Employment'!G97,"")</f>
        <v>0</v>
      </c>
    </row>
    <row r="91" spans="1:4">
      <c r="A91" t="str">
        <f>TEXT(IF('Change in Employment'!B98&lt;&gt;0,DATE(YEAR('Change in Employment'!B98), MONTH('Change in Employment'!B98), 1), ""), "mm/dd/yyyy")</f>
        <v>05/01/2016</v>
      </c>
      <c r="B91" s="8" t="str">
        <f>IF(ISNUMBER('Change in Employment'!I98), TEXT('Change in Employment'!I98, "0"), "")</f>
        <v>-2000</v>
      </c>
      <c r="C91" s="8" t="str">
        <f>IF(ISNUMBER('Change in Employment'!J98),TEXT('Change in Employment'!J98, "0"),"")</f>
        <v>13000</v>
      </c>
      <c r="D91" s="8">
        <f>IF(ISNUMBER('Change in Employment'!G98),'Change in Employment'!G98,"")</f>
        <v>0</v>
      </c>
    </row>
    <row r="92" spans="1:4">
      <c r="A92" t="str">
        <f>TEXT(IF('Change in Employment'!B99&lt;&gt;0,DATE(YEAR('Change in Employment'!B99), MONTH('Change in Employment'!B99), 1), ""), "mm/dd/yyyy")</f>
        <v>06/01/2016</v>
      </c>
      <c r="B92" s="8" t="str">
        <f>IF(ISNUMBER('Change in Employment'!I99), TEXT('Change in Employment'!I99, "0"), "")</f>
        <v>1000</v>
      </c>
      <c r="C92" s="8" t="str">
        <f>IF(ISNUMBER('Change in Employment'!J99),TEXT('Change in Employment'!J99, "0"),"")</f>
        <v>1667</v>
      </c>
      <c r="D92" s="8">
        <f>IF(ISNUMBER('Change in Employment'!G99),'Change in Employment'!G99,"")</f>
        <v>0</v>
      </c>
    </row>
    <row r="93" spans="1:4">
      <c r="A93" t="str">
        <f>TEXT(IF('Change in Employment'!B100&lt;&gt;0,DATE(YEAR('Change in Employment'!B100), MONTH('Change in Employment'!B100), 1), ""), "mm/dd/yyyy")</f>
        <v>07/01/2016</v>
      </c>
      <c r="B93" s="8" t="str">
        <f>IF(ISNUMBER('Change in Employment'!I100), TEXT('Change in Employment'!I100, "0"), "")</f>
        <v>92000</v>
      </c>
      <c r="C93" s="8" t="str">
        <f>IF(ISNUMBER('Change in Employment'!J100),TEXT('Change in Employment'!J100, "0"),"")</f>
        <v>30333</v>
      </c>
      <c r="D93" s="8">
        <f>IF(ISNUMBER('Change in Employment'!G100),'Change in Employment'!G100,"")</f>
        <v>0</v>
      </c>
    </row>
    <row r="94" spans="1:4">
      <c r="A94" t="str">
        <f>TEXT(IF('Change in Employment'!B101&lt;&gt;0,DATE(YEAR('Change in Employment'!B101), MONTH('Change in Employment'!B101), 1), ""), "mm/dd/yyyy")</f>
        <v>08/01/2016</v>
      </c>
      <c r="B94" s="8" t="str">
        <f>IF(ISNUMBER('Change in Employment'!I101), TEXT('Change in Employment'!I101, "0"), "")</f>
        <v>-29000</v>
      </c>
      <c r="C94" s="8" t="str">
        <f>IF(ISNUMBER('Change in Employment'!J101),TEXT('Change in Employment'!J101, "0"),"")</f>
        <v>21333</v>
      </c>
      <c r="D94" s="8">
        <f>IF(ISNUMBER('Change in Employment'!G101),'Change in Employment'!G101,"")</f>
        <v>0</v>
      </c>
    </row>
    <row r="95" spans="1:4">
      <c r="A95" t="str">
        <f>TEXT(IF('Change in Employment'!B102&lt;&gt;0,DATE(YEAR('Change in Employment'!B102), MONTH('Change in Employment'!B102), 1), ""), "mm/dd/yyyy")</f>
        <v>09/01/2016</v>
      </c>
      <c r="B95" s="8" t="str">
        <f>IF(ISNUMBER('Change in Employment'!I102), TEXT('Change in Employment'!I102, "0"), "")</f>
        <v>22000</v>
      </c>
      <c r="C95" s="8" t="str">
        <f>IF(ISNUMBER('Change in Employment'!J102),TEXT('Change in Employment'!J102, "0"),"")</f>
        <v>28333</v>
      </c>
      <c r="D95" s="8">
        <f>IF(ISNUMBER('Change in Employment'!G102),'Change in Employment'!G102,"")</f>
        <v>0</v>
      </c>
    </row>
    <row r="96" spans="1:4">
      <c r="A96" t="str">
        <f>TEXT(IF('Change in Employment'!B103&lt;&gt;0,DATE(YEAR('Change in Employment'!B103), MONTH('Change in Employment'!B103), 1), ""), "mm/dd/yyyy")</f>
        <v>10/01/2016</v>
      </c>
      <c r="B96" s="8" t="str">
        <f>IF(ISNUMBER('Change in Employment'!I103), TEXT('Change in Employment'!I103, "0"), "")</f>
        <v>-2000</v>
      </c>
      <c r="C96" s="8" t="str">
        <f>IF(ISNUMBER('Change in Employment'!J103),TEXT('Change in Employment'!J103, "0"),"")</f>
        <v>-3000</v>
      </c>
      <c r="D96" s="8">
        <f>IF(ISNUMBER('Change in Employment'!G103),'Change in Employment'!G103,"")</f>
        <v>0</v>
      </c>
    </row>
    <row r="97" spans="1:4">
      <c r="A97" t="str">
        <f>TEXT(IF('Change in Employment'!B104&lt;&gt;0,DATE(YEAR('Change in Employment'!B104), MONTH('Change in Employment'!B104), 1), ""), "mm/dd/yyyy")</f>
        <v>11/01/2016</v>
      </c>
      <c r="B97" s="8" t="str">
        <f>IF(ISNUMBER('Change in Employment'!I104), TEXT('Change in Employment'!I104, "0"), "")</f>
        <v>-7000</v>
      </c>
      <c r="C97" s="8" t="str">
        <f>IF(ISNUMBER('Change in Employment'!J104),TEXT('Change in Employment'!J104, "0"),"")</f>
        <v>4333</v>
      </c>
      <c r="D97" s="8">
        <f>IF(ISNUMBER('Change in Employment'!G104),'Change in Employment'!G104,"")</f>
        <v>0</v>
      </c>
    </row>
    <row r="98" spans="1:4">
      <c r="A98" t="str">
        <f>TEXT(IF('Change in Employment'!B105&lt;&gt;0,DATE(YEAR('Change in Employment'!B105), MONTH('Change in Employment'!B105), 1), ""), "mm/dd/yyyy")</f>
        <v>12/01/2016</v>
      </c>
      <c r="B98" s="8" t="str">
        <f>IF(ISNUMBER('Change in Employment'!I105), TEXT('Change in Employment'!I105, "0"), "")</f>
        <v>6000</v>
      </c>
      <c r="C98" s="8" t="str">
        <f>IF(ISNUMBER('Change in Employment'!J105),TEXT('Change in Employment'!J105, "0"),"")</f>
        <v>-1000</v>
      </c>
      <c r="D98" s="8">
        <f>IF(ISNUMBER('Change in Employment'!G105),'Change in Employment'!G105,"")</f>
        <v>0</v>
      </c>
    </row>
    <row r="99" spans="1:4">
      <c r="A99" t="str">
        <f>TEXT(IF('Change in Employment'!B106&lt;&gt;0,DATE(YEAR('Change in Employment'!B106), MONTH('Change in Employment'!B106), 1), ""), "mm/dd/yyyy")</f>
        <v>01/01/2017</v>
      </c>
      <c r="B99" s="8" t="str">
        <f>IF(ISNUMBER('Change in Employment'!I106), TEXT('Change in Employment'!I106, "0"), "")</f>
        <v>13000</v>
      </c>
      <c r="C99" s="8" t="str">
        <f>IF(ISNUMBER('Change in Employment'!J106),TEXT('Change in Employment'!J106, "0"),"")</f>
        <v>4000</v>
      </c>
      <c r="D99" s="8">
        <f>IF(ISNUMBER('Change in Employment'!G106),'Change in Employment'!G106,"")</f>
        <v>0</v>
      </c>
    </row>
    <row r="100" spans="1:4">
      <c r="A100" t="str">
        <f>TEXT(IF('Change in Employment'!B107&lt;&gt;0,DATE(YEAR('Change in Employment'!B107), MONTH('Change in Employment'!B107), 1), ""), "mm/dd/yyyy")</f>
        <v>02/01/2017</v>
      </c>
      <c r="B100" s="8" t="str">
        <f>IF(ISNUMBER('Change in Employment'!I107), TEXT('Change in Employment'!I107, "0"), "")</f>
        <v>8000</v>
      </c>
      <c r="C100" s="8" t="str">
        <f>IF(ISNUMBER('Change in Employment'!J107),TEXT('Change in Employment'!J107, "0"),"")</f>
        <v>9000</v>
      </c>
      <c r="D100" s="8">
        <f>IF(ISNUMBER('Change in Employment'!G107),'Change in Employment'!G107,"")</f>
        <v>0</v>
      </c>
    </row>
    <row r="101" spans="1:4">
      <c r="A101" t="str">
        <f>TEXT(IF('Change in Employment'!B108&lt;&gt;0,DATE(YEAR('Change in Employment'!B108), MONTH('Change in Employment'!B108), 1), ""), "mm/dd/yyyy")</f>
        <v>03/01/2017</v>
      </c>
      <c r="B101" s="8" t="str">
        <f>IF(ISNUMBER('Change in Employment'!I108), TEXT('Change in Employment'!I108, "0"), "")</f>
        <v>11000</v>
      </c>
      <c r="C101" s="8" t="str">
        <f>IF(ISNUMBER('Change in Employment'!J108),TEXT('Change in Employment'!J108, "0"),"")</f>
        <v>10667</v>
      </c>
      <c r="D101" s="8">
        <f>IF(ISNUMBER('Change in Employment'!G108),'Change in Employment'!G108,"")</f>
        <v>0</v>
      </c>
    </row>
    <row r="102" spans="1:4">
      <c r="A102" t="str">
        <f>TEXT(IF('Change in Employment'!B109&lt;&gt;0,DATE(YEAR('Change in Employment'!B109), MONTH('Change in Employment'!B109), 1), ""), "mm/dd/yyyy")</f>
        <v>04/01/2017</v>
      </c>
      <c r="B102" s="8" t="str">
        <f>IF(ISNUMBER('Change in Employment'!I109), TEXT('Change in Employment'!I109, "0"), "")</f>
        <v>13000</v>
      </c>
      <c r="C102" s="8" t="str">
        <f>IF(ISNUMBER('Change in Employment'!J109),TEXT('Change in Employment'!J109, "0"),"")</f>
        <v>10667</v>
      </c>
      <c r="D102" s="8">
        <f>IF(ISNUMBER('Change in Employment'!G109),'Change in Employment'!G109,"")</f>
        <v>0</v>
      </c>
    </row>
    <row r="103" spans="1:4">
      <c r="A103" t="str">
        <f>TEXT(IF('Change in Employment'!B110&lt;&gt;0,DATE(YEAR('Change in Employment'!B110), MONTH('Change in Employment'!B110), 1), ""), "mm/dd/yyyy")</f>
        <v>05/01/2017</v>
      </c>
      <c r="B103" s="8" t="str">
        <f>IF(ISNUMBER('Change in Employment'!I110), TEXT('Change in Employment'!I110, "0"), "")</f>
        <v>-9000</v>
      </c>
      <c r="C103" s="8" t="str">
        <f>IF(ISNUMBER('Change in Employment'!J110),TEXT('Change in Employment'!J110, "0"),"")</f>
        <v>5000</v>
      </c>
      <c r="D103" s="8">
        <f>IF(ISNUMBER('Change in Employment'!G110),'Change in Employment'!G110,"")</f>
        <v>0</v>
      </c>
    </row>
    <row r="104" spans="1:4">
      <c r="A104" t="str">
        <f>TEXT(IF('Change in Employment'!B111&lt;&gt;0,DATE(YEAR('Change in Employment'!B111), MONTH('Change in Employment'!B111), 1), ""), "mm/dd/yyyy")</f>
        <v>06/01/2017</v>
      </c>
      <c r="B104" s="8" t="str">
        <f>IF(ISNUMBER('Change in Employment'!I111), TEXT('Change in Employment'!I111, "0"), "")</f>
        <v>26000</v>
      </c>
      <c r="C104" s="8" t="str">
        <f>IF(ISNUMBER('Change in Employment'!J111),TEXT('Change in Employment'!J111, "0"),"")</f>
        <v>10000</v>
      </c>
      <c r="D104" s="8">
        <f>IF(ISNUMBER('Change in Employment'!G111),'Change in Employment'!G111,"")</f>
        <v>0</v>
      </c>
    </row>
    <row r="105" spans="1:4">
      <c r="A105" t="str">
        <f>TEXT(IF('Change in Employment'!B112&lt;&gt;0,DATE(YEAR('Change in Employment'!B112), MONTH('Change in Employment'!B112), 1), ""), "mm/dd/yyyy")</f>
        <v>07/01/2017</v>
      </c>
      <c r="B105" s="8" t="str">
        <f>IF(ISNUMBER('Change in Employment'!I112), TEXT('Change in Employment'!I112, "0"), "")</f>
        <v>12000</v>
      </c>
      <c r="C105" s="8" t="str">
        <f>IF(ISNUMBER('Change in Employment'!J112),TEXT('Change in Employment'!J112, "0"),"")</f>
        <v>9667</v>
      </c>
      <c r="D105" s="8">
        <f>IF(ISNUMBER('Change in Employment'!G112),'Change in Employment'!G112,"")</f>
        <v>0</v>
      </c>
    </row>
    <row r="106" spans="1:4">
      <c r="A106" t="str">
        <f>TEXT(IF('Change in Employment'!B113&lt;&gt;0,DATE(YEAR('Change in Employment'!B113), MONTH('Change in Employment'!B113), 1), ""), "mm/dd/yyyy")</f>
        <v>08/01/2017</v>
      </c>
      <c r="B106" s="8" t="str">
        <f>IF(ISNUMBER('Change in Employment'!I113), TEXT('Change in Employment'!I113, "0"), "")</f>
        <v>-2000</v>
      </c>
      <c r="C106" s="8" t="str">
        <f>IF(ISNUMBER('Change in Employment'!J113),TEXT('Change in Employment'!J113, "0"),"")</f>
        <v>12000</v>
      </c>
      <c r="D106" s="8">
        <f>IF(ISNUMBER('Change in Employment'!G113),'Change in Employment'!G113,"")</f>
        <v>0</v>
      </c>
    </row>
    <row r="107" spans="1:4">
      <c r="A107" t="str">
        <f>TEXT(IF('Change in Employment'!B114&lt;&gt;0,DATE(YEAR('Change in Employment'!B114), MONTH('Change in Employment'!B114), 1), ""), "mm/dd/yyyy")</f>
        <v>09/01/2017</v>
      </c>
      <c r="B107" s="8" t="str">
        <f>IF(ISNUMBER('Change in Employment'!I114), TEXT('Change in Employment'!I114, "0"), "")</f>
        <v>3000</v>
      </c>
      <c r="C107" s="8" t="str">
        <f>IF(ISNUMBER('Change in Employment'!J114),TEXT('Change in Employment'!J114, "0"),"")</f>
        <v>4333</v>
      </c>
      <c r="D107" s="8">
        <f>IF(ISNUMBER('Change in Employment'!G114),'Change in Employment'!G114,"")</f>
        <v>0</v>
      </c>
    </row>
    <row r="108" spans="1:4">
      <c r="A108" t="str">
        <f>TEXT(IF('Change in Employment'!B115&lt;&gt;0,DATE(YEAR('Change in Employment'!B115), MONTH('Change in Employment'!B115), 1), ""), "mm/dd/yyyy")</f>
        <v>10/01/2017</v>
      </c>
      <c r="B108" s="8" t="str">
        <f>IF(ISNUMBER('Change in Employment'!I115), TEXT('Change in Employment'!I115, "0"), "")</f>
        <v>8000</v>
      </c>
      <c r="C108" s="8" t="str">
        <f>IF(ISNUMBER('Change in Employment'!J115),TEXT('Change in Employment'!J115, "0"),"")</f>
        <v>3000</v>
      </c>
      <c r="D108" s="8">
        <f>IF(ISNUMBER('Change in Employment'!G115),'Change in Employment'!G115,"")</f>
        <v>0</v>
      </c>
    </row>
    <row r="109" spans="1:4">
      <c r="A109" t="str">
        <f>TEXT(IF('Change in Employment'!B116&lt;&gt;0,DATE(YEAR('Change in Employment'!B116), MONTH('Change in Employment'!B116), 1), ""), "mm/dd/yyyy")</f>
        <v>11/01/2017</v>
      </c>
      <c r="B109" s="8" t="str">
        <f>IF(ISNUMBER('Change in Employment'!I116), TEXT('Change in Employment'!I116, "0"), "")</f>
        <v>15000</v>
      </c>
      <c r="C109" s="8" t="str">
        <f>IF(ISNUMBER('Change in Employment'!J116),TEXT('Change in Employment'!J116, "0"),"")</f>
        <v>8667</v>
      </c>
      <c r="D109" s="8">
        <f>IF(ISNUMBER('Change in Employment'!G116),'Change in Employment'!G116,"")</f>
        <v>0</v>
      </c>
    </row>
    <row r="110" spans="1:4">
      <c r="A110" t="str">
        <f>TEXT(IF('Change in Employment'!B117&lt;&gt;0,DATE(YEAR('Change in Employment'!B117), MONTH('Change in Employment'!B117), 1), ""), "mm/dd/yyyy")</f>
        <v>12/01/2017</v>
      </c>
      <c r="B110" s="8" t="str">
        <f>IF(ISNUMBER('Change in Employment'!I117), TEXT('Change in Employment'!I117, "0"), "")</f>
        <v>9000</v>
      </c>
      <c r="C110" s="8" t="str">
        <f>IF(ISNUMBER('Change in Employment'!J117),TEXT('Change in Employment'!J117, "0"),"")</f>
        <v>10667</v>
      </c>
      <c r="D110" s="8">
        <f>IF(ISNUMBER('Change in Employment'!G117),'Change in Employment'!G117,"")</f>
        <v>0</v>
      </c>
    </row>
    <row r="111" spans="1:4">
      <c r="A111" t="str">
        <f>TEXT(IF('Change in Employment'!B118&lt;&gt;0,DATE(YEAR('Change in Employment'!B118), MONTH('Change in Employment'!B118), 1), ""), "mm/dd/yyyy")</f>
        <v>01/01/2018</v>
      </c>
      <c r="B111" s="8" t="str">
        <f>IF(ISNUMBER('Change in Employment'!I118), TEXT('Change in Employment'!I118, "0"), "")</f>
        <v>-15000</v>
      </c>
      <c r="C111" s="8" t="str">
        <f>IF(ISNUMBER('Change in Employment'!J118),TEXT('Change in Employment'!J118, "0"),"")</f>
        <v>3000</v>
      </c>
      <c r="D111" s="8">
        <f>IF(ISNUMBER('Change in Employment'!G118),'Change in Employment'!G118,"")</f>
        <v>0</v>
      </c>
    </row>
    <row r="112" spans="1:4">
      <c r="A112" t="str">
        <f>TEXT(IF('Change in Employment'!B119&lt;&gt;0,DATE(YEAR('Change in Employment'!B119), MONTH('Change in Employment'!B119), 1), ""), "mm/dd/yyyy")</f>
        <v>02/01/2018</v>
      </c>
      <c r="B112" s="8" t="str">
        <f>IF(ISNUMBER('Change in Employment'!I119), TEXT('Change in Employment'!I119, "0"), "")</f>
        <v>29000</v>
      </c>
      <c r="C112" s="8" t="str">
        <f>IF(ISNUMBER('Change in Employment'!J119),TEXT('Change in Employment'!J119, "0"),"")</f>
        <v>7667</v>
      </c>
      <c r="D112" s="8">
        <f>IF(ISNUMBER('Change in Employment'!G119),'Change in Employment'!G119,"")</f>
        <v>0</v>
      </c>
    </row>
    <row r="113" spans="1:4">
      <c r="A113" t="str">
        <f>TEXT(IF('Change in Employment'!B120&lt;&gt;0,DATE(YEAR('Change in Employment'!B120), MONTH('Change in Employment'!B120), 1), ""), "mm/dd/yyyy")</f>
        <v>03/01/2018</v>
      </c>
      <c r="B113" s="8" t="str">
        <f>IF(ISNUMBER('Change in Employment'!I120), TEXT('Change in Employment'!I120, "0"), "")</f>
        <v>9000</v>
      </c>
      <c r="C113" s="8" t="str">
        <f>IF(ISNUMBER('Change in Employment'!J120),TEXT('Change in Employment'!J120, "0"),"")</f>
        <v>7667</v>
      </c>
      <c r="D113" s="8">
        <f>IF(ISNUMBER('Change in Employment'!G120),'Change in Employment'!G120,"")</f>
        <v>0</v>
      </c>
    </row>
    <row r="114" spans="1:4">
      <c r="A114" t="str">
        <f>TEXT(IF('Change in Employment'!B121&lt;&gt;0,DATE(YEAR('Change in Employment'!B121), MONTH('Change in Employment'!B121), 1), ""), "mm/dd/yyyy")</f>
        <v>04/01/2018</v>
      </c>
      <c r="B114" s="8" t="str">
        <f>IF(ISNUMBER('Change in Employment'!I121), TEXT('Change in Employment'!I121, "0"), "")</f>
        <v>11000</v>
      </c>
      <c r="C114" s="8" t="str">
        <f>IF(ISNUMBER('Change in Employment'!J121),TEXT('Change in Employment'!J121, "0"),"")</f>
        <v>16333</v>
      </c>
      <c r="D114" s="8">
        <f>IF(ISNUMBER('Change in Employment'!G121),'Change in Employment'!G121,"")</f>
        <v>0</v>
      </c>
    </row>
    <row r="115" spans="1:4">
      <c r="A115" t="str">
        <f>TEXT(IF('Change in Employment'!B122&lt;&gt;0,DATE(YEAR('Change in Employment'!B122), MONTH('Change in Employment'!B122), 1), ""), "mm/dd/yyyy")</f>
        <v>05/01/2018</v>
      </c>
      <c r="B115" s="8" t="str">
        <f>IF(ISNUMBER('Change in Employment'!I122), TEXT('Change in Employment'!I122, "0"), "")</f>
        <v>6000</v>
      </c>
      <c r="C115" s="8" t="str">
        <f>IF(ISNUMBER('Change in Employment'!J122),TEXT('Change in Employment'!J122, "0"),"")</f>
        <v>8667</v>
      </c>
      <c r="D115" s="8">
        <f>IF(ISNUMBER('Change in Employment'!G122),'Change in Employment'!G122,"")</f>
        <v>0</v>
      </c>
    </row>
    <row r="116" spans="1:4">
      <c r="A116" t="str">
        <f>TEXT(IF('Change in Employment'!B123&lt;&gt;0,DATE(YEAR('Change in Employment'!B123), MONTH('Change in Employment'!B123), 1), ""), "mm/dd/yyyy")</f>
        <v>06/01/2018</v>
      </c>
      <c r="B116" s="8" t="str">
        <f>IF(ISNUMBER('Change in Employment'!I123), TEXT('Change in Employment'!I123, "0"), "")</f>
        <v>24000</v>
      </c>
      <c r="C116" s="8" t="str">
        <f>IF(ISNUMBER('Change in Employment'!J123),TEXT('Change in Employment'!J123, "0"),"")</f>
        <v>13667</v>
      </c>
      <c r="D116" s="8">
        <f>IF(ISNUMBER('Change in Employment'!G123),'Change in Employment'!G123,"")</f>
        <v>0</v>
      </c>
    </row>
    <row r="117" spans="1:4">
      <c r="A117" t="str">
        <f>TEXT(IF('Change in Employment'!B124&lt;&gt;0,DATE(YEAR('Change in Employment'!B124), MONTH('Change in Employment'!B124), 1), ""), "mm/dd/yyyy")</f>
        <v>07/01/2018</v>
      </c>
      <c r="B117" s="8" t="str">
        <f>IF(ISNUMBER('Change in Employment'!I124), TEXT('Change in Employment'!I124, "0"), "")</f>
        <v>4000</v>
      </c>
      <c r="C117" s="8" t="str">
        <f>IF(ISNUMBER('Change in Employment'!J124),TEXT('Change in Employment'!J124, "0"),"")</f>
        <v>11333</v>
      </c>
      <c r="D117" s="8">
        <f>IF(ISNUMBER('Change in Employment'!G124),'Change in Employment'!G124,"")</f>
        <v>0</v>
      </c>
    </row>
    <row r="118" spans="1:4">
      <c r="A118" t="str">
        <f>TEXT(IF('Change in Employment'!B125&lt;&gt;0,DATE(YEAR('Change in Employment'!B125), MONTH('Change in Employment'!B125), 1), ""), "mm/dd/yyyy")</f>
        <v>08/01/2018</v>
      </c>
      <c r="B118" s="8" t="str">
        <f>IF(ISNUMBER('Change in Employment'!I125), TEXT('Change in Employment'!I125, "0"), "")</f>
        <v>36000</v>
      </c>
      <c r="C118" s="8" t="str">
        <f>IF(ISNUMBER('Change in Employment'!J125),TEXT('Change in Employment'!J125, "0"),"")</f>
        <v>21333</v>
      </c>
      <c r="D118" s="8">
        <f>IF(ISNUMBER('Change in Employment'!G125),'Change in Employment'!G125,"")</f>
        <v>0</v>
      </c>
    </row>
    <row r="119" spans="1:4">
      <c r="A119" t="str">
        <f>TEXT(IF('Change in Employment'!B126&lt;&gt;0,DATE(YEAR('Change in Employment'!B126), MONTH('Change in Employment'!B126), 1), ""), "mm/dd/yyyy")</f>
        <v>09/01/2018</v>
      </c>
      <c r="B119" s="8" t="str">
        <f>IF(ISNUMBER('Change in Employment'!I126), TEXT('Change in Employment'!I126, "0"), "")</f>
        <v>-1000</v>
      </c>
      <c r="C119" s="8" t="str">
        <f>IF(ISNUMBER('Change in Employment'!J126),TEXT('Change in Employment'!J126, "0"),"")</f>
        <v>13000</v>
      </c>
      <c r="D119" s="8">
        <f>IF(ISNUMBER('Change in Employment'!G126),'Change in Employment'!G126,"")</f>
        <v>0</v>
      </c>
    </row>
    <row r="120" spans="1:4">
      <c r="A120" t="str">
        <f>TEXT(IF('Change in Employment'!B127&lt;&gt;0,DATE(YEAR('Change in Employment'!B127), MONTH('Change in Employment'!B127), 1), ""), "mm/dd/yyyy")</f>
        <v>10/01/2018</v>
      </c>
      <c r="B120" s="8" t="str">
        <f>IF(ISNUMBER('Change in Employment'!I127), TEXT('Change in Employment'!I127, "0"), "")</f>
        <v>-9000</v>
      </c>
      <c r="C120" s="8" t="str">
        <f>IF(ISNUMBER('Change in Employment'!J127),TEXT('Change in Employment'!J127, "0"),"")</f>
        <v>8667</v>
      </c>
      <c r="D120" s="8">
        <f>IF(ISNUMBER('Change in Employment'!G127),'Change in Employment'!G127,"")</f>
        <v>0</v>
      </c>
    </row>
    <row r="121" spans="1:4">
      <c r="A121" t="str">
        <f>TEXT(IF('Change in Employment'!B128&lt;&gt;0,DATE(YEAR('Change in Employment'!B128), MONTH('Change in Employment'!B128), 1), ""), "mm/dd/yyyy")</f>
        <v>11/01/2018</v>
      </c>
      <c r="B121" s="8" t="str">
        <f>IF(ISNUMBER('Change in Employment'!I128), TEXT('Change in Employment'!I128, "0"), "")</f>
        <v>-10000</v>
      </c>
      <c r="C121" s="8" t="str">
        <f>IF(ISNUMBER('Change in Employment'!J128),TEXT('Change in Employment'!J128, "0"),"")</f>
        <v>-6667</v>
      </c>
      <c r="D121" s="8">
        <f>IF(ISNUMBER('Change in Employment'!G128),'Change in Employment'!G128,"")</f>
        <v>0</v>
      </c>
    </row>
    <row r="122" spans="1:4">
      <c r="A122" t="str">
        <f>TEXT(IF('Change in Employment'!B129&lt;&gt;0,DATE(YEAR('Change in Employment'!B129), MONTH('Change in Employment'!B129), 1), ""), "mm/dd/yyyy")</f>
        <v>12/01/2018</v>
      </c>
      <c r="B122" s="8" t="str">
        <f>IF(ISNUMBER('Change in Employment'!I129), TEXT('Change in Employment'!I129, "0"), "")</f>
        <v>9000</v>
      </c>
      <c r="C122" s="8" t="str">
        <f>IF(ISNUMBER('Change in Employment'!J129),TEXT('Change in Employment'!J129, "0"),"")</f>
        <v>-3333</v>
      </c>
      <c r="D122" s="8">
        <f>IF(ISNUMBER('Change in Employment'!G129),'Change in Employment'!G129,"")</f>
        <v>0</v>
      </c>
    </row>
    <row r="123" spans="1:4">
      <c r="A123" t="str">
        <f>TEXT(IF('Change in Employment'!B130&lt;&gt;0,DATE(YEAR('Change in Employment'!B130), MONTH('Change in Employment'!B130), 1), ""), "mm/dd/yyyy")</f>
        <v>01/01/2019</v>
      </c>
      <c r="B123" s="8" t="str">
        <f>IF(ISNUMBER('Change in Employment'!I130), TEXT('Change in Employment'!I130, "0"), "")</f>
        <v>16000</v>
      </c>
      <c r="C123" s="8" t="str">
        <f>IF(ISNUMBER('Change in Employment'!J130),TEXT('Change in Employment'!J130, "0"),"")</f>
        <v>5000</v>
      </c>
      <c r="D123" s="8">
        <f>IF(ISNUMBER('Change in Employment'!G130),'Change in Employment'!G130,"")</f>
        <v>0</v>
      </c>
    </row>
    <row r="124" spans="1:4">
      <c r="A124" t="str">
        <f>TEXT(IF('Change in Employment'!B131&lt;&gt;0,DATE(YEAR('Change in Employment'!B131), MONTH('Change in Employment'!B131), 1), ""), "mm/dd/yyyy")</f>
        <v>02/01/2019</v>
      </c>
      <c r="B124" s="8" t="str">
        <f>IF(ISNUMBER('Change in Employment'!I131), TEXT('Change in Employment'!I131, "0"), "")</f>
        <v>4000</v>
      </c>
      <c r="C124" s="8" t="str">
        <f>IF(ISNUMBER('Change in Employment'!J131),TEXT('Change in Employment'!J131, "0"),"")</f>
        <v>9667</v>
      </c>
      <c r="D124" s="8">
        <f>IF(ISNUMBER('Change in Employment'!G131),'Change in Employment'!G131,"")</f>
        <v>0</v>
      </c>
    </row>
    <row r="125" spans="1:4">
      <c r="A125" t="str">
        <f>TEXT(IF('Change in Employment'!B132&lt;&gt;0,DATE(YEAR('Change in Employment'!B132), MONTH('Change in Employment'!B132), 1), ""), "mm/dd/yyyy")</f>
        <v>03/01/2019</v>
      </c>
      <c r="B125" s="8" t="str">
        <f>IF(ISNUMBER('Change in Employment'!I132), TEXT('Change in Employment'!I132, "0"), "")</f>
        <v>16000</v>
      </c>
      <c r="C125" s="8" t="str">
        <f>IF(ISNUMBER('Change in Employment'!J132),TEXT('Change in Employment'!J132, "0"),"")</f>
        <v>12000</v>
      </c>
      <c r="D125" s="8">
        <f>IF(ISNUMBER('Change in Employment'!G132),'Change in Employment'!G132,"")</f>
        <v>0</v>
      </c>
    </row>
    <row r="126" spans="1:4">
      <c r="A126" t="str">
        <f>TEXT(IF('Change in Employment'!B133&lt;&gt;0,DATE(YEAR('Change in Employment'!B133), MONTH('Change in Employment'!B133), 1), ""), "mm/dd/yyyy")</f>
        <v/>
      </c>
      <c r="B126" s="8" t="str">
        <f>IF(ISNUMBER('Change in Employment'!I133), TEXT('Change in Employment'!I133, "0"), "")</f>
        <v/>
      </c>
      <c r="C126" s="8" t="str">
        <f>IF(ISNUMBER('Change in Employment'!J133),TEXT('Change in Employment'!J133, "0"),"")</f>
        <v/>
      </c>
      <c r="D126" s="8" t="str">
        <f>IF(ISNUMBER('Change in Employment'!G133),'Change in Employment'!G133,"")</f>
        <v/>
      </c>
    </row>
    <row r="127" spans="1:4">
      <c r="A127" t="str">
        <f>TEXT(IF('Change in Employment'!B134&lt;&gt;0,DATE(YEAR('Change in Employment'!B134), MONTH('Change in Employment'!B134), 1), ""), "mm/dd/yyyy")</f>
        <v/>
      </c>
      <c r="B127" s="8" t="str">
        <f>IF(ISNUMBER('Change in Employment'!I134), TEXT('Change in Employment'!I134, "0"), "")</f>
        <v/>
      </c>
      <c r="C127" s="8" t="str">
        <f>IF(ISNUMBER('Change in Employment'!J134),TEXT('Change in Employment'!J134, "0"),"")</f>
        <v/>
      </c>
      <c r="D127" s="8" t="str">
        <f>IF(ISNUMBER('Change in Employment'!G134),'Change in Employment'!G134,"")</f>
        <v/>
      </c>
    </row>
    <row r="128" spans="1:4">
      <c r="A128" t="str">
        <f>TEXT(IF('Change in Employment'!B135&lt;&gt;0,DATE(YEAR('Change in Employment'!B135), MONTH('Change in Employment'!B135), 1), ""), "mm/dd/yyyy")</f>
        <v/>
      </c>
      <c r="B128" s="8" t="str">
        <f>IF(ISNUMBER('Change in Employment'!I135), TEXT('Change in Employment'!I135, "0"), "")</f>
        <v/>
      </c>
      <c r="C128" s="8" t="str">
        <f>IF(ISNUMBER('Change in Employment'!J135),TEXT('Change in Employment'!J135, "0"),"")</f>
        <v/>
      </c>
      <c r="D128" s="8" t="str">
        <f>IF(ISNUMBER('Change in Employment'!G135),'Change in Employment'!G135,"")</f>
        <v/>
      </c>
    </row>
    <row r="129" spans="1:4">
      <c r="A129" t="str">
        <f>TEXT(IF('Change in Employment'!B136&lt;&gt;0,DATE(YEAR('Change in Employment'!B136), MONTH('Change in Employment'!B136), 1), ""), "mm/dd/yyyy")</f>
        <v/>
      </c>
      <c r="B129" s="8" t="str">
        <f>IF(ISNUMBER('Change in Employment'!I136), TEXT('Change in Employment'!I136, "0"), "")</f>
        <v/>
      </c>
      <c r="C129" s="8" t="str">
        <f>IF(ISNUMBER('Change in Employment'!J136),TEXT('Change in Employment'!J136, "0"),"")</f>
        <v/>
      </c>
      <c r="D129" s="8" t="str">
        <f>IF(ISNUMBER('Change in Employment'!G136),'Change in Employment'!G136,"")</f>
        <v/>
      </c>
    </row>
    <row r="130" spans="1:4">
      <c r="A130" t="str">
        <f>TEXT(IF('Change in Employment'!B137&lt;&gt;0,DATE(YEAR('Change in Employment'!B137), MONTH('Change in Employment'!B137), 1), ""), "mm/dd/yyyy")</f>
        <v/>
      </c>
      <c r="B130" s="8" t="str">
        <f>IF(ISNUMBER('Change in Employment'!I137), TEXT('Change in Employment'!I137, "0"), "")</f>
        <v/>
      </c>
      <c r="C130" s="8" t="str">
        <f>IF(ISNUMBER('Change in Employment'!J137),TEXT('Change in Employment'!J137, "0"),"")</f>
        <v/>
      </c>
      <c r="D130" s="8" t="str">
        <f>IF(ISNUMBER('Change in Employment'!G137),'Change in Employment'!G137,"")</f>
        <v/>
      </c>
    </row>
    <row r="131" spans="1:4">
      <c r="A131" t="str">
        <f>TEXT(IF('Change in Employment'!B138&lt;&gt;0,DATE(YEAR('Change in Employment'!B138), MONTH('Change in Employment'!B138), 1), ""), "mm/dd/yyyy")</f>
        <v/>
      </c>
      <c r="B131" s="8" t="str">
        <f>IF(ISNUMBER('Change in Employment'!I138), TEXT('Change in Employment'!I138, "0"), "")</f>
        <v/>
      </c>
      <c r="C131" s="8" t="str">
        <f>IF(ISNUMBER('Change in Employment'!J138),TEXT('Change in Employment'!J138, "0"),"")</f>
        <v/>
      </c>
      <c r="D131" s="8" t="str">
        <f>IF(ISNUMBER('Change in Employment'!G138),'Change in Employment'!G138,"")</f>
        <v/>
      </c>
    </row>
    <row r="132" spans="1:4">
      <c r="A132" t="str">
        <f>TEXT(IF('Change in Employment'!B139&lt;&gt;0,DATE(YEAR('Change in Employment'!B139), MONTH('Change in Employment'!B139), 1), ""), "mm/dd/yyyy")</f>
        <v/>
      </c>
      <c r="B132" s="8" t="str">
        <f>IF(ISNUMBER('Change in Employment'!I139), TEXT('Change in Employment'!I139, "0"), "")</f>
        <v/>
      </c>
      <c r="C132" s="8" t="str">
        <f>IF(ISNUMBER('Change in Employment'!J139),TEXT('Change in Employment'!J139, "0"),"")</f>
        <v/>
      </c>
      <c r="D132" s="8" t="str">
        <f>IF(ISNUMBER('Change in Employment'!G139),'Change in Employment'!G139,"")</f>
        <v/>
      </c>
    </row>
    <row r="133" spans="1:4">
      <c r="A133" t="str">
        <f>TEXT(IF('Change in Employment'!B140&lt;&gt;0,DATE(YEAR('Change in Employment'!B140), MONTH('Change in Employment'!B140), 1), ""), "mm/dd/yyyy")</f>
        <v/>
      </c>
      <c r="B133" s="8" t="str">
        <f>IF(ISNUMBER('Change in Employment'!I140), TEXT('Change in Employment'!I140, "0"), "")</f>
        <v/>
      </c>
      <c r="C133" s="8" t="str">
        <f>IF(ISNUMBER('Change in Employment'!J140),TEXT('Change in Employment'!J140, "0"),"")</f>
        <v/>
      </c>
      <c r="D133" s="8" t="str">
        <f>IF(ISNUMBER('Change in Employment'!G140),'Change in Employment'!G140,"")</f>
        <v/>
      </c>
    </row>
    <row r="134" spans="1:4">
      <c r="A134" t="str">
        <f>TEXT(IF('Change in Employment'!B141&lt;&gt;0,DATE(YEAR('Change in Employment'!B141), MONTH('Change in Employment'!B141), 1), ""), "mm/dd/yyyy")</f>
        <v/>
      </c>
      <c r="B134" s="8" t="str">
        <f>IF(ISNUMBER('Change in Employment'!I141), TEXT('Change in Employment'!I141, "0"), "")</f>
        <v/>
      </c>
      <c r="C134" s="8" t="str">
        <f>IF(ISNUMBER('Change in Employment'!J141),TEXT('Change in Employment'!J141, "0"),"")</f>
        <v/>
      </c>
      <c r="D134" s="8" t="str">
        <f>IF(ISNUMBER('Change in Employment'!G141),'Change in Employment'!G141,"")</f>
        <v/>
      </c>
    </row>
    <row r="135" spans="1:4">
      <c r="A135" t="str">
        <f>TEXT(IF('Change in Employment'!B142&lt;&gt;0,DATE(YEAR('Change in Employment'!B142), MONTH('Change in Employment'!B142), 1), ""), "mm/dd/yyyy")</f>
        <v/>
      </c>
      <c r="B135" s="8" t="str">
        <f>IF(ISNUMBER('Change in Employment'!I142), TEXT('Change in Employment'!I142, "0"), "")</f>
        <v/>
      </c>
      <c r="C135" s="8" t="str">
        <f>IF(ISNUMBER('Change in Employment'!J142),TEXT('Change in Employment'!J142, "0"),"")</f>
        <v/>
      </c>
      <c r="D135" s="8" t="str">
        <f>IF(ISNUMBER('Change in Employment'!G142),'Change in Employment'!G142,"")</f>
        <v/>
      </c>
    </row>
    <row r="136" spans="1:4">
      <c r="A136" t="str">
        <f>TEXT(IF('Change in Employment'!B143&lt;&gt;0,DATE(YEAR('Change in Employment'!B143), MONTH('Change in Employment'!B143), 1), ""), "mm/dd/yyyy")</f>
        <v/>
      </c>
      <c r="B136" s="8" t="str">
        <f>IF(ISNUMBER('Change in Employment'!I143), TEXT('Change in Employment'!I143, "0"), "")</f>
        <v/>
      </c>
      <c r="C136" s="8" t="str">
        <f>IF(ISNUMBER('Change in Employment'!J143),TEXT('Change in Employment'!J143, "0"),"")</f>
        <v/>
      </c>
      <c r="D136" s="8" t="str">
        <f>IF(ISNUMBER('Change in Employment'!G143),'Change in Employment'!G143,"")</f>
        <v/>
      </c>
    </row>
    <row r="137" spans="1:4">
      <c r="A137" t="str">
        <f>TEXT(IF('Change in Employment'!B144&lt;&gt;0,DATE(YEAR('Change in Employment'!B144), MONTH('Change in Employment'!B144), 1), ""), "mm/dd/yyyy")</f>
        <v/>
      </c>
      <c r="B137" s="8" t="str">
        <f>IF(ISNUMBER('Change in Employment'!I144), TEXT('Change in Employment'!I144, "0"), "")</f>
        <v/>
      </c>
      <c r="C137" s="8" t="str">
        <f>IF(ISNUMBER('Change in Employment'!J144),TEXT('Change in Employment'!J144, "0"),"")</f>
        <v/>
      </c>
      <c r="D137" s="8" t="str">
        <f>IF(ISNUMBER('Change in Employment'!G144),'Change in Employment'!G144,"")</f>
        <v/>
      </c>
    </row>
    <row r="138" spans="1:4">
      <c r="A138" t="str">
        <f>TEXT(IF('Change in Employment'!B145&lt;&gt;0,DATE(YEAR('Change in Employment'!B145), MONTH('Change in Employment'!B145), 1), ""), "mm/dd/yyyy")</f>
        <v/>
      </c>
      <c r="B138" s="8" t="str">
        <f>IF(ISNUMBER('Change in Employment'!I145), TEXT('Change in Employment'!I145, "0"), "")</f>
        <v/>
      </c>
      <c r="C138" s="8" t="str">
        <f>IF(ISNUMBER('Change in Employment'!J145),TEXT('Change in Employment'!J145, "0"),"")</f>
        <v/>
      </c>
      <c r="D138" s="8" t="str">
        <f>IF(ISNUMBER('Change in Employment'!G145),'Change in Employment'!G145,"")</f>
        <v/>
      </c>
    </row>
    <row r="139" spans="1:4">
      <c r="A139" t="str">
        <f>TEXT(IF('Change in Employment'!B146&lt;&gt;0,DATE(YEAR('Change in Employment'!B146), MONTH('Change in Employment'!B146), 1), ""), "mm/dd/yyyy")</f>
        <v/>
      </c>
      <c r="B139" s="8" t="str">
        <f>IF(ISNUMBER('Change in Employment'!I146), TEXT('Change in Employment'!I146, "0"), "")</f>
        <v/>
      </c>
      <c r="C139" s="8" t="str">
        <f>IF(ISNUMBER('Change in Employment'!J146),TEXT('Change in Employment'!J146, "0"),"")</f>
        <v/>
      </c>
      <c r="D139" s="8" t="str">
        <f>IF(ISNUMBER('Change in Employment'!G146),'Change in Employment'!G146,"")</f>
        <v/>
      </c>
    </row>
    <row r="140" spans="1:4">
      <c r="A140" t="str">
        <f>TEXT(IF('Change in Employment'!B147&lt;&gt;0,DATE(YEAR('Change in Employment'!B147), MONTH('Change in Employment'!B147), 1), ""), "mm/dd/yyyy")</f>
        <v/>
      </c>
      <c r="B140" s="8" t="str">
        <f>IF(ISNUMBER('Change in Employment'!I147), TEXT('Change in Employment'!I147, "0"), "")</f>
        <v/>
      </c>
      <c r="C140" s="8" t="str">
        <f>IF(ISNUMBER('Change in Employment'!J147),TEXT('Change in Employment'!J147, "0"),"")</f>
        <v/>
      </c>
      <c r="D140" s="8" t="str">
        <f>IF(ISNUMBER('Change in Employment'!G147),'Change in Employment'!G147,"")</f>
        <v/>
      </c>
    </row>
    <row r="141" spans="1:4">
      <c r="A141" t="str">
        <f>TEXT(IF('Change in Employment'!B148&lt;&gt;0,DATE(YEAR('Change in Employment'!B148), MONTH('Change in Employment'!B148), 1), ""), "mm/dd/yyyy")</f>
        <v/>
      </c>
      <c r="B141" s="8" t="str">
        <f>IF(ISNUMBER('Change in Employment'!I148), TEXT('Change in Employment'!I148, "0"), "")</f>
        <v/>
      </c>
      <c r="C141" s="8" t="str">
        <f>IF(ISNUMBER('Change in Employment'!J148),TEXT('Change in Employment'!J148, "0"),"")</f>
        <v/>
      </c>
      <c r="D141" s="8" t="str">
        <f>IF(ISNUMBER('Change in Employment'!G148),'Change in Employment'!G148,"")</f>
        <v/>
      </c>
    </row>
    <row r="142" spans="1:4">
      <c r="A142" t="str">
        <f>TEXT(IF('Change in Employment'!B149&lt;&gt;0,DATE(YEAR('Change in Employment'!B149), MONTH('Change in Employment'!B149), 1), ""), "mm/dd/yyyy")</f>
        <v/>
      </c>
      <c r="B142" s="8" t="str">
        <f>IF(ISNUMBER('Change in Employment'!I149), TEXT('Change in Employment'!I149, "0"), "")</f>
        <v/>
      </c>
      <c r="C142" s="8" t="str">
        <f>IF(ISNUMBER('Change in Employment'!J149),TEXT('Change in Employment'!J149, "0"),"")</f>
        <v/>
      </c>
      <c r="D142" s="8" t="str">
        <f>IF(ISNUMBER('Change in Employment'!G149),'Change in Employment'!G149,"")</f>
        <v/>
      </c>
    </row>
    <row r="143" spans="1:4">
      <c r="A143" t="str">
        <f>TEXT(IF('Change in Employment'!B150&lt;&gt;0,DATE(YEAR('Change in Employment'!B150), MONTH('Change in Employment'!B150), 1), ""), "mm/dd/yyyy")</f>
        <v/>
      </c>
      <c r="B143" s="8" t="str">
        <f>IF(ISNUMBER('Change in Employment'!I150), TEXT('Change in Employment'!I150, "0"), "")</f>
        <v/>
      </c>
      <c r="C143" s="8" t="str">
        <f>IF(ISNUMBER('Change in Employment'!J150),TEXT('Change in Employment'!J150, "0"),"")</f>
        <v/>
      </c>
      <c r="D143" s="8" t="str">
        <f>IF(ISNUMBER('Change in Employment'!G150),'Change in Employment'!G150,"")</f>
        <v/>
      </c>
    </row>
    <row r="144" spans="1:4">
      <c r="A144" t="str">
        <f>TEXT(IF('Change in Employment'!B151&lt;&gt;0,DATE(YEAR('Change in Employment'!B151), MONTH('Change in Employment'!B151), 1), ""), "mm/dd/yyyy")</f>
        <v/>
      </c>
      <c r="B144" s="8" t="str">
        <f>IF(ISNUMBER('Change in Employment'!I151), TEXT('Change in Employment'!I151, "0"), "")</f>
        <v/>
      </c>
      <c r="C144" s="8" t="str">
        <f>IF(ISNUMBER('Change in Employment'!J151),TEXT('Change in Employment'!J151, "0"),"")</f>
        <v/>
      </c>
      <c r="D144" s="8" t="str">
        <f>IF(ISNUMBER('Change in Employment'!G151),'Change in Employment'!G151,"")</f>
        <v/>
      </c>
    </row>
    <row r="145" spans="1:4">
      <c r="A145" t="str">
        <f>TEXT(IF('Change in Employment'!B152&lt;&gt;0,DATE(YEAR('Change in Employment'!B152), MONTH('Change in Employment'!B152), 1), ""), "mm/dd/yyyy")</f>
        <v/>
      </c>
      <c r="B145" s="8" t="str">
        <f>IF(ISNUMBER('Change in Employment'!I152), TEXT('Change in Employment'!I152, "0"), "")</f>
        <v/>
      </c>
      <c r="C145" s="8" t="str">
        <f>IF(ISNUMBER('Change in Employment'!J152),TEXT('Change in Employment'!J152, "0"),"")</f>
        <v/>
      </c>
      <c r="D145" s="8" t="str">
        <f>IF(ISNUMBER('Change in Employment'!G152),'Change in Employment'!G152,"")</f>
        <v/>
      </c>
    </row>
    <row r="146" spans="1:4">
      <c r="A146" t="str">
        <f>TEXT(IF('Change in Employment'!B153&lt;&gt;0,DATE(YEAR('Change in Employment'!B153), MONTH('Change in Employment'!B153), 1), ""), "mm/dd/yyyy")</f>
        <v/>
      </c>
      <c r="B146" s="8" t="str">
        <f>IF(ISNUMBER('Change in Employment'!I153), TEXT('Change in Employment'!I153, "0"), "")</f>
        <v/>
      </c>
      <c r="C146" s="8" t="str">
        <f>IF(ISNUMBER('Change in Employment'!J153),TEXT('Change in Employment'!J153, "0"),"")</f>
        <v/>
      </c>
      <c r="D146" s="8" t="str">
        <f>IF(ISNUMBER('Change in Employment'!G153),'Change in Employment'!G153,"")</f>
        <v/>
      </c>
    </row>
    <row r="147" spans="1:4">
      <c r="A147" t="str">
        <f>TEXT(IF('Change in Employment'!B154&lt;&gt;0,DATE(YEAR('Change in Employment'!B154), MONTH('Change in Employment'!B154), 1), ""), "mm/dd/yyyy")</f>
        <v/>
      </c>
      <c r="B147" s="8" t="str">
        <f>IF(ISNUMBER('Change in Employment'!I154), TEXT('Change in Employment'!I154, "0"), "")</f>
        <v/>
      </c>
      <c r="C147" s="8" t="str">
        <f>IF(ISNUMBER('Change in Employment'!J154),TEXT('Change in Employment'!J154, "0"),"")</f>
        <v/>
      </c>
      <c r="D147" s="8" t="str">
        <f>IF(ISNUMBER('Change in Employment'!G154),'Change in Employment'!G154,"")</f>
        <v/>
      </c>
    </row>
    <row r="148" spans="1:4">
      <c r="A148" t="str">
        <f>TEXT(IF('Change in Employment'!B155&lt;&gt;0,DATE(YEAR('Change in Employment'!B155), MONTH('Change in Employment'!B155), 1), ""), "mm/dd/yyyy")</f>
        <v/>
      </c>
      <c r="B148" s="8" t="str">
        <f>IF(ISNUMBER('Change in Employment'!I155), TEXT('Change in Employment'!I155, "0"), "")</f>
        <v/>
      </c>
      <c r="C148" s="8" t="str">
        <f>IF(ISNUMBER('Change in Employment'!J155),TEXT('Change in Employment'!J155, "0"),"")</f>
        <v/>
      </c>
      <c r="D148" s="8" t="str">
        <f>IF(ISNUMBER('Change in Employment'!G155),'Change in Employment'!G155,"")</f>
        <v/>
      </c>
    </row>
    <row r="149" spans="1:4">
      <c r="A149" t="str">
        <f>TEXT(IF('Change in Employment'!B156&lt;&gt;0,DATE(YEAR('Change in Employment'!B156), MONTH('Change in Employment'!B156), 1), ""), "mm/dd/yyyy")</f>
        <v/>
      </c>
      <c r="B149" s="8" t="str">
        <f>IF(ISNUMBER('Change in Employment'!I156), TEXT('Change in Employment'!I156, "0"), "")</f>
        <v/>
      </c>
      <c r="C149" s="8" t="str">
        <f>IF(ISNUMBER('Change in Employment'!J156),TEXT('Change in Employment'!J156, "0"),"")</f>
        <v/>
      </c>
      <c r="D149" s="8" t="str">
        <f>IF(ISNUMBER('Change in Employment'!G156),'Change in Employment'!G156,"")</f>
        <v/>
      </c>
    </row>
    <row r="150" spans="1:4">
      <c r="A150" t="str">
        <f>TEXT(IF('Change in Employment'!B157&lt;&gt;0,DATE(YEAR('Change in Employment'!B157), MONTH('Change in Employment'!B157), 1), ""), "mm/dd/yyyy")</f>
        <v/>
      </c>
      <c r="B150" s="8" t="str">
        <f>IF(ISNUMBER('Change in Employment'!I157), TEXT('Change in Employment'!I157, "0"), "")</f>
        <v/>
      </c>
      <c r="C150" s="8" t="str">
        <f>IF(ISNUMBER('Change in Employment'!J157),TEXT('Change in Employment'!J157, "0"),"")</f>
        <v/>
      </c>
      <c r="D150" s="8" t="str">
        <f>IF(ISNUMBER('Change in Employment'!G157),'Change in Employment'!G157,"")</f>
        <v/>
      </c>
    </row>
    <row r="151" spans="1:4">
      <c r="A151" t="str">
        <f>TEXT(IF('Change in Employment'!B158&lt;&gt;0,DATE(YEAR('Change in Employment'!B158), MONTH('Change in Employment'!B158), 1), ""), "mm/dd/yyyy")</f>
        <v/>
      </c>
      <c r="B151" s="8" t="str">
        <f>IF(ISNUMBER('Change in Employment'!I158), TEXT('Change in Employment'!I158, "0"), "")</f>
        <v/>
      </c>
      <c r="C151" s="8" t="str">
        <f>IF(ISNUMBER('Change in Employment'!J158),TEXT('Change in Employment'!J158, "0"),"")</f>
        <v/>
      </c>
      <c r="D151" s="8" t="str">
        <f>IF(ISNUMBER('Change in Employment'!G158),'Change in Employment'!G158,"")</f>
        <v/>
      </c>
    </row>
    <row r="152" spans="1:4">
      <c r="A152" t="str">
        <f>TEXT(IF('Change in Employment'!B159&lt;&gt;0,DATE(YEAR('Change in Employment'!B159), MONTH('Change in Employment'!B159), 1), ""), "mm/dd/yyyy")</f>
        <v/>
      </c>
      <c r="B152" s="8" t="str">
        <f>IF(ISNUMBER('Change in Employment'!I159), TEXT('Change in Employment'!I159, "0"), "")</f>
        <v/>
      </c>
      <c r="C152" s="8" t="str">
        <f>IF(ISNUMBER('Change in Employment'!J159),TEXT('Change in Employment'!J159, "0"),"")</f>
        <v/>
      </c>
      <c r="D152" s="8" t="str">
        <f>IF(ISNUMBER('Change in Employment'!G159),'Change in Employment'!G159,"")</f>
        <v/>
      </c>
    </row>
    <row r="153" spans="1:4">
      <c r="A153" t="str">
        <f>TEXT(IF('Change in Employment'!B160&lt;&gt;0,DATE(YEAR('Change in Employment'!B160), MONTH('Change in Employment'!B160), 1), ""), "mm/dd/yyyy")</f>
        <v/>
      </c>
      <c r="B153" s="8" t="str">
        <f>IF(ISNUMBER('Change in Employment'!I160), TEXT('Change in Employment'!I160, "0"), "")</f>
        <v/>
      </c>
      <c r="C153" s="8" t="str">
        <f>IF(ISNUMBER('Change in Employment'!J160),TEXT('Change in Employment'!J160, "0"),"")</f>
        <v/>
      </c>
      <c r="D153" s="8" t="str">
        <f>IF(ISNUMBER('Change in Employment'!G160),'Change in Employment'!G160,"")</f>
        <v/>
      </c>
    </row>
    <row r="154" spans="1:4">
      <c r="A154" t="str">
        <f>TEXT(IF('Change in Employment'!B161&lt;&gt;0,DATE(YEAR('Change in Employment'!B161), MONTH('Change in Employment'!B161), 1), ""), "mm/dd/yyyy")</f>
        <v/>
      </c>
      <c r="B154" s="8" t="str">
        <f>IF(ISNUMBER('Change in Employment'!I161), TEXT('Change in Employment'!I161, "0"), "")</f>
        <v/>
      </c>
      <c r="C154" s="8" t="str">
        <f>IF(ISNUMBER('Change in Employment'!J161),TEXT('Change in Employment'!J161, "0"),"")</f>
        <v/>
      </c>
      <c r="D154" s="8" t="str">
        <f>IF(ISNUMBER('Change in Employment'!G161),'Change in Employment'!G161,"")</f>
        <v/>
      </c>
    </row>
    <row r="155" spans="1:4">
      <c r="A155" t="str">
        <f>TEXT(IF('Change in Employment'!B162&lt;&gt;0,DATE(YEAR('Change in Employment'!B162), MONTH('Change in Employment'!B162), 1), ""), "mm/dd/yyyy")</f>
        <v/>
      </c>
      <c r="B155" s="8" t="str">
        <f>IF(ISNUMBER('Change in Employment'!I162), TEXT('Change in Employment'!I162, "0"), "")</f>
        <v/>
      </c>
      <c r="C155" s="8" t="str">
        <f>IF(ISNUMBER('Change in Employment'!J162),TEXT('Change in Employment'!J162, "0"),"")</f>
        <v/>
      </c>
      <c r="D155" s="8" t="str">
        <f>IF(ISNUMBER('Change in Employment'!G162),'Change in Employment'!G162,"")</f>
        <v/>
      </c>
    </row>
    <row r="156" spans="1:4">
      <c r="A156" t="str">
        <f>TEXT(IF('Change in Employment'!B163&lt;&gt;0,DATE(YEAR('Change in Employment'!B163), MONTH('Change in Employment'!B163), 1), ""), "mm/dd/yyyy")</f>
        <v/>
      </c>
      <c r="B156" s="8" t="str">
        <f>IF(ISNUMBER('Change in Employment'!I163), TEXT('Change in Employment'!I163, "0"), "")</f>
        <v/>
      </c>
      <c r="C156" s="8" t="str">
        <f>IF(ISNUMBER('Change in Employment'!J163),TEXT('Change in Employment'!J163, "0"),"")</f>
        <v/>
      </c>
      <c r="D156" s="8" t="str">
        <f>IF(ISNUMBER('Change in Employment'!G163),'Change in Employment'!G163,"")</f>
        <v/>
      </c>
    </row>
    <row r="157" spans="1:4">
      <c r="A157" t="str">
        <f>TEXT(IF('Change in Employment'!B164&lt;&gt;0,DATE(YEAR('Change in Employment'!B164), MONTH('Change in Employment'!B164), 1), ""), "mm/dd/yyyy")</f>
        <v/>
      </c>
      <c r="B157" s="8" t="str">
        <f>IF(ISNUMBER('Change in Employment'!I164), TEXT('Change in Employment'!I164, "0"), "")</f>
        <v/>
      </c>
      <c r="C157" s="8" t="str">
        <f>IF(ISNUMBER('Change in Employment'!J164),TEXT('Change in Employment'!J164, "0"),"")</f>
        <v/>
      </c>
      <c r="D157" s="8" t="str">
        <f>IF(ISNUMBER('Change in Employment'!G164),'Change in Employment'!G164,"")</f>
        <v/>
      </c>
    </row>
    <row r="158" spans="1:4">
      <c r="A158" t="str">
        <f>TEXT(IF('Change in Employment'!B165&lt;&gt;0,DATE(YEAR('Change in Employment'!B165), MONTH('Change in Employment'!B165), 1), ""), "mm/dd/yyyy")</f>
        <v/>
      </c>
      <c r="B158" s="8" t="str">
        <f>IF(ISNUMBER('Change in Employment'!I165), TEXT('Change in Employment'!I165, "0"), "")</f>
        <v/>
      </c>
      <c r="C158" s="8" t="str">
        <f>IF(ISNUMBER('Change in Employment'!J165),TEXT('Change in Employment'!J165, "0"),"")</f>
        <v/>
      </c>
      <c r="D158" s="8" t="str">
        <f>IF(ISNUMBER('Change in Employment'!G165),'Change in Employment'!G165,"")</f>
        <v/>
      </c>
    </row>
    <row r="159" spans="1:4">
      <c r="A159" t="str">
        <f>TEXT(IF('Change in Employment'!B166&lt;&gt;0,DATE(YEAR('Change in Employment'!B166), MONTH('Change in Employment'!B166), 1), ""), "mm/dd/yyyy")</f>
        <v/>
      </c>
      <c r="B159" s="8" t="str">
        <f>IF(ISNUMBER('Change in Employment'!I166), TEXT('Change in Employment'!I166, "0"), "")</f>
        <v/>
      </c>
      <c r="C159" s="8" t="str">
        <f>IF(ISNUMBER('Change in Employment'!J166),TEXT('Change in Employment'!J166, "0"),"")</f>
        <v/>
      </c>
      <c r="D159" s="8" t="str">
        <f>IF(ISNUMBER('Change in Employment'!G166),'Change in Employment'!G166,"")</f>
        <v/>
      </c>
    </row>
    <row r="160" spans="1:4">
      <c r="A160" t="str">
        <f>TEXT(IF('Change in Employment'!B167&lt;&gt;0,DATE(YEAR('Change in Employment'!B167), MONTH('Change in Employment'!B167), 1), ""), "mm/dd/yyyy")</f>
        <v/>
      </c>
      <c r="B160" s="8" t="str">
        <f>IF(ISNUMBER('Change in Employment'!I167), TEXT('Change in Employment'!I167, "0"), "")</f>
        <v/>
      </c>
      <c r="C160" s="8" t="str">
        <f>IF(ISNUMBER('Change in Employment'!J167),TEXT('Change in Employment'!J167, "0"),"")</f>
        <v/>
      </c>
      <c r="D160" s="8" t="str">
        <f>IF(ISNUMBER('Change in Employment'!G167),'Change in Employment'!G167,"")</f>
        <v/>
      </c>
    </row>
    <row r="161" spans="1:4">
      <c r="A161" t="str">
        <f>TEXT(IF('Change in Employment'!B168&lt;&gt;0,DATE(YEAR('Change in Employment'!B168), MONTH('Change in Employment'!B168), 1), ""), "mm/dd/yyyy")</f>
        <v/>
      </c>
      <c r="B161" s="8" t="str">
        <f>IF(ISNUMBER('Change in Employment'!I168), TEXT('Change in Employment'!I168, "0"), "")</f>
        <v/>
      </c>
      <c r="C161" s="8" t="str">
        <f>IF(ISNUMBER('Change in Employment'!J168),TEXT('Change in Employment'!J168, "0"),"")</f>
        <v/>
      </c>
      <c r="D161" s="8" t="str">
        <f>IF(ISNUMBER('Change in Employment'!G168),'Change in Employment'!G168,"")</f>
        <v/>
      </c>
    </row>
    <row r="162" spans="1:4">
      <c r="A162" t="str">
        <f>TEXT(IF('Change in Employment'!B169&lt;&gt;0,DATE(YEAR('Change in Employment'!B169), MONTH('Change in Employment'!B169), 1), ""), "mm/dd/yyyy")</f>
        <v/>
      </c>
      <c r="B162" s="8" t="str">
        <f>IF(ISNUMBER('Change in Employment'!I169), TEXT('Change in Employment'!I169, "0"), "")</f>
        <v/>
      </c>
      <c r="C162" s="8" t="str">
        <f>IF(ISNUMBER('Change in Employment'!J169),TEXT('Change in Employment'!J169, "0"),"")</f>
        <v/>
      </c>
      <c r="D162" s="8" t="str">
        <f>IF(ISNUMBER('Change in Employment'!G169),'Change in Employment'!G169,"")</f>
        <v/>
      </c>
    </row>
    <row r="163" spans="1:4">
      <c r="A163" t="str">
        <f>TEXT(IF('Change in Employment'!B170&lt;&gt;0,DATE(YEAR('Change in Employment'!B170), MONTH('Change in Employment'!B170), 1), ""), "mm/dd/yyyy")</f>
        <v/>
      </c>
      <c r="B163" s="8" t="str">
        <f>IF(ISNUMBER('Change in Employment'!I170), TEXT('Change in Employment'!I170, "0"), "")</f>
        <v/>
      </c>
      <c r="C163" s="8" t="str">
        <f>IF(ISNUMBER('Change in Employment'!J170),TEXT('Change in Employment'!J170, "0"),"")</f>
        <v/>
      </c>
      <c r="D163" s="8" t="str">
        <f>IF(ISNUMBER('Change in Employment'!G170),'Change in Employment'!G170,"")</f>
        <v/>
      </c>
    </row>
    <row r="164" spans="1:4">
      <c r="A164" t="str">
        <f>TEXT(IF('Change in Employment'!B171&lt;&gt;0,DATE(YEAR('Change in Employment'!B171), MONTH('Change in Employment'!B171), 1), ""), "mm/dd/yyyy")</f>
        <v/>
      </c>
      <c r="B164" s="8" t="str">
        <f>IF(ISNUMBER('Change in Employment'!I171), TEXT('Change in Employment'!I171, "0"), "")</f>
        <v/>
      </c>
      <c r="C164" s="8" t="str">
        <f>IF(ISNUMBER('Change in Employment'!J171),TEXT('Change in Employment'!J171, "0"),"")</f>
        <v/>
      </c>
      <c r="D164" s="8" t="str">
        <f>IF(ISNUMBER('Change in Employment'!G171),'Change in Employment'!G171,"")</f>
        <v/>
      </c>
    </row>
    <row r="165" spans="1:4">
      <c r="A165" t="str">
        <f>TEXT(IF('Change in Employment'!B172&lt;&gt;0,DATE(YEAR('Change in Employment'!B172), MONTH('Change in Employment'!B172), 1), ""), "mm/dd/yyyy")</f>
        <v/>
      </c>
      <c r="B165" s="8" t="str">
        <f>IF(ISNUMBER('Change in Employment'!I172), TEXT('Change in Employment'!I172, "0"), "")</f>
        <v/>
      </c>
      <c r="C165" s="8" t="str">
        <f>IF(ISNUMBER('Change in Employment'!J172),TEXT('Change in Employment'!J172, "0"),"")</f>
        <v/>
      </c>
      <c r="D165" s="8" t="str">
        <f>IF(ISNUMBER('Change in Employment'!G172),'Change in Employment'!G172,"")</f>
        <v/>
      </c>
    </row>
    <row r="166" spans="1:4">
      <c r="A166" t="str">
        <f>TEXT(IF('Change in Employment'!B173&lt;&gt;0,DATE(YEAR('Change in Employment'!B173), MONTH('Change in Employment'!B173), 1), ""), "mm/dd/yyyy")</f>
        <v/>
      </c>
      <c r="B166" s="8" t="str">
        <f>IF(ISNUMBER('Change in Employment'!I173), TEXT('Change in Employment'!I173, "0"), "")</f>
        <v/>
      </c>
      <c r="C166" s="8" t="str">
        <f>IF(ISNUMBER('Change in Employment'!J173),TEXT('Change in Employment'!J173, "0"),"")</f>
        <v/>
      </c>
      <c r="D166" s="8" t="str">
        <f>IF(ISNUMBER('Change in Employment'!G173),'Change in Employment'!G173,"")</f>
        <v/>
      </c>
    </row>
    <row r="167" spans="1:4">
      <c r="A167" t="str">
        <f>TEXT(IF('Change in Employment'!B174&lt;&gt;0,DATE(YEAR('Change in Employment'!B174), MONTH('Change in Employment'!B174), 1), ""), "mm/dd/yyyy")</f>
        <v/>
      </c>
      <c r="B167" s="8" t="str">
        <f>IF(ISNUMBER('Change in Employment'!I174), TEXT('Change in Employment'!I174, "0"), "")</f>
        <v/>
      </c>
      <c r="C167" s="8" t="str">
        <f>IF(ISNUMBER('Change in Employment'!J174),TEXT('Change in Employment'!J174, "0"),"")</f>
        <v/>
      </c>
      <c r="D167" s="8" t="str">
        <f>IF(ISNUMBER('Change in Employment'!G174),'Change in Employment'!G174,"")</f>
        <v/>
      </c>
    </row>
    <row r="168" spans="1:4">
      <c r="A168" t="str">
        <f>TEXT(IF('Change in Employment'!B175&lt;&gt;0,DATE(YEAR('Change in Employment'!B175), MONTH('Change in Employment'!B175), 1), ""), "mm/dd/yyyy")</f>
        <v/>
      </c>
      <c r="B168" s="8" t="str">
        <f>IF(ISNUMBER('Change in Employment'!I175), TEXT('Change in Employment'!I175, "0"), "")</f>
        <v/>
      </c>
      <c r="C168" s="8" t="str">
        <f>IF(ISNUMBER('Change in Employment'!J175),TEXT('Change in Employment'!J175, "0"),"")</f>
        <v/>
      </c>
      <c r="D168" s="8" t="str">
        <f>IF(ISNUMBER('Change in Employment'!G175),'Change in Employment'!G175,"")</f>
        <v/>
      </c>
    </row>
    <row r="169" spans="1:4">
      <c r="A169" t="str">
        <f>TEXT(IF('Change in Employment'!B176&lt;&gt;0,DATE(YEAR('Change in Employment'!B176), MONTH('Change in Employment'!B176), 1), ""), "mm/dd/yyyy")</f>
        <v/>
      </c>
      <c r="B169" s="8" t="str">
        <f>IF(ISNUMBER('Change in Employment'!I176), TEXT('Change in Employment'!I176, "0"), "")</f>
        <v/>
      </c>
      <c r="C169" s="8" t="str">
        <f>IF(ISNUMBER('Change in Employment'!J176),TEXT('Change in Employment'!J176, "0"),"")</f>
        <v/>
      </c>
      <c r="D169" s="8" t="str">
        <f>IF(ISNUMBER('Change in Employment'!G176),'Change in Employment'!G176,"")</f>
        <v/>
      </c>
    </row>
    <row r="170" spans="1:4">
      <c r="A170" t="str">
        <f>TEXT(IF('Change in Employment'!B177&lt;&gt;0,DATE(YEAR('Change in Employment'!B177), MONTH('Change in Employment'!B177), 1), ""), "mm/dd/yyyy")</f>
        <v/>
      </c>
      <c r="B170" s="8" t="str">
        <f>IF(ISNUMBER('Change in Employment'!I177), TEXT('Change in Employment'!I177, "0"), "")</f>
        <v/>
      </c>
      <c r="C170" s="8" t="str">
        <f>IF(ISNUMBER('Change in Employment'!J177),TEXT('Change in Employment'!J177, "0"),"")</f>
        <v/>
      </c>
      <c r="D170" s="8" t="str">
        <f>IF(ISNUMBER('Change in Employment'!G177),'Change in Employment'!G177,"")</f>
        <v/>
      </c>
    </row>
    <row r="171" spans="1:4">
      <c r="A171" t="str">
        <f>TEXT(IF('Change in Employment'!B178&lt;&gt;0,DATE(YEAR('Change in Employment'!B178), MONTH('Change in Employment'!B178), 1), ""), "mm/dd/yyyy")</f>
        <v/>
      </c>
      <c r="B171" s="8" t="str">
        <f>IF(ISNUMBER('Change in Employment'!I178), TEXT('Change in Employment'!I178, "0"), "")</f>
        <v/>
      </c>
      <c r="C171" s="8" t="str">
        <f>IF(ISNUMBER('Change in Employment'!J178),TEXT('Change in Employment'!J178, "0"),"")</f>
        <v/>
      </c>
      <c r="D171" s="8" t="str">
        <f>IF(ISNUMBER('Change in Employment'!G178),'Change in Employment'!G178,"")</f>
        <v/>
      </c>
    </row>
    <row r="172" spans="1:4">
      <c r="A172" t="str">
        <f>TEXT(IF('Change in Employment'!B179&lt;&gt;0,DATE(YEAR('Change in Employment'!B179), MONTH('Change in Employment'!B179), 1), ""), "mm/dd/yyyy")</f>
        <v/>
      </c>
      <c r="B172" s="8" t="str">
        <f>IF(ISNUMBER('Change in Employment'!I179), TEXT('Change in Employment'!I179, "0"), "")</f>
        <v/>
      </c>
      <c r="C172" s="8" t="str">
        <f>IF(ISNUMBER('Change in Employment'!J179),TEXT('Change in Employment'!J179, "0"),"")</f>
        <v/>
      </c>
      <c r="D172" s="8" t="str">
        <f>IF(ISNUMBER('Change in Employment'!G179),'Change in Employment'!G179,"")</f>
        <v/>
      </c>
    </row>
    <row r="173" spans="1:4">
      <c r="A173" t="str">
        <f>TEXT(IF('Change in Employment'!B180&lt;&gt;0,DATE(YEAR('Change in Employment'!B180), MONTH('Change in Employment'!B180), 1), ""), "mm/dd/yyyy")</f>
        <v/>
      </c>
      <c r="B173" s="8" t="str">
        <f>IF(ISNUMBER('Change in Employment'!I180), TEXT('Change in Employment'!I180, "0"), "")</f>
        <v/>
      </c>
      <c r="C173" s="8" t="str">
        <f>IF(ISNUMBER('Change in Employment'!J180),TEXT('Change in Employment'!J180, "0"),"")</f>
        <v/>
      </c>
      <c r="D173" s="8" t="str">
        <f>IF(ISNUMBER('Change in Employment'!G180),'Change in Employment'!G180,"")</f>
        <v/>
      </c>
    </row>
    <row r="174" spans="1:4">
      <c r="A174" t="str">
        <f>TEXT(IF('Change in Employment'!B181&lt;&gt;0,DATE(YEAR('Change in Employment'!B181), MONTH('Change in Employment'!B181), 1), ""), "mm/dd/yyyy")</f>
        <v/>
      </c>
      <c r="B174" s="8" t="str">
        <f>IF(ISNUMBER('Change in Employment'!I181), TEXT('Change in Employment'!I181, "0"), "")</f>
        <v/>
      </c>
      <c r="C174" s="8" t="str">
        <f>IF(ISNUMBER('Change in Employment'!J181),TEXT('Change in Employment'!J181, "0"),"")</f>
        <v/>
      </c>
      <c r="D174" s="8" t="str">
        <f>IF(ISNUMBER('Change in Employment'!G181),'Change in Employment'!G181,"")</f>
        <v/>
      </c>
    </row>
    <row r="175" spans="1:4">
      <c r="A175" t="str">
        <f>TEXT(IF('Change in Employment'!B182&lt;&gt;0,DATE(YEAR('Change in Employment'!B182), MONTH('Change in Employment'!B182), 1), ""), "mm/dd/yyyy")</f>
        <v/>
      </c>
      <c r="B175" s="8" t="str">
        <f>IF(ISNUMBER('Change in Employment'!I182), TEXT('Change in Employment'!I182, "0"), "")</f>
        <v/>
      </c>
      <c r="C175" s="8" t="str">
        <f>IF(ISNUMBER('Change in Employment'!J182),TEXT('Change in Employment'!J182, "0"),"")</f>
        <v/>
      </c>
      <c r="D175" s="8" t="str">
        <f>IF(ISNUMBER('Change in Employment'!G182),'Change in Employment'!G182,"")</f>
        <v/>
      </c>
    </row>
    <row r="176" spans="1:4">
      <c r="A176" t="str">
        <f>TEXT(IF('Change in Employment'!B183&lt;&gt;0,DATE(YEAR('Change in Employment'!B183), MONTH('Change in Employment'!B183), 1), ""), "mm/dd/yyyy")</f>
        <v/>
      </c>
      <c r="B176" s="8" t="str">
        <f>IF(ISNUMBER('Change in Employment'!I183), TEXT('Change in Employment'!I183, "0"), "")</f>
        <v/>
      </c>
      <c r="C176" s="8" t="str">
        <f>IF(ISNUMBER('Change in Employment'!J183),TEXT('Change in Employment'!J183, "0"),"")</f>
        <v/>
      </c>
      <c r="D176" s="8" t="str">
        <f>IF(ISNUMBER('Change in Employment'!G183),'Change in Employment'!G183,"")</f>
        <v/>
      </c>
    </row>
    <row r="177" spans="1:4">
      <c r="A177" t="str">
        <f>TEXT(IF('Change in Employment'!B184&lt;&gt;0,DATE(YEAR('Change in Employment'!B184), MONTH('Change in Employment'!B184), 1), ""), "mm/dd/yyyy")</f>
        <v/>
      </c>
      <c r="B177" s="8" t="str">
        <f>IF(ISNUMBER('Change in Employment'!I184), TEXT('Change in Employment'!I184, "0"), "")</f>
        <v/>
      </c>
      <c r="C177" s="8" t="str">
        <f>IF(ISNUMBER('Change in Employment'!J184),TEXT('Change in Employment'!J184, "0"),"")</f>
        <v/>
      </c>
      <c r="D177" s="8" t="str">
        <f>IF(ISNUMBER('Change in Employment'!G184),'Change in Employment'!G184,"")</f>
        <v/>
      </c>
    </row>
    <row r="178" spans="1:4">
      <c r="A178" t="str">
        <f>TEXT(IF('Change in Employment'!B185&lt;&gt;0,DATE(YEAR('Change in Employment'!B185), MONTH('Change in Employment'!B185), 1), ""), "mm/dd/yyyy")</f>
        <v/>
      </c>
      <c r="B178" s="8" t="str">
        <f>IF(ISNUMBER('Change in Employment'!I185), TEXT('Change in Employment'!I185, "0"), "")</f>
        <v/>
      </c>
      <c r="C178" s="8" t="str">
        <f>IF(ISNUMBER('Change in Employment'!J185),TEXT('Change in Employment'!J185, "0"),"")</f>
        <v/>
      </c>
      <c r="D178" s="8" t="str">
        <f>IF(ISNUMBER('Change in Employment'!G185),'Change in Employment'!G185,"")</f>
        <v/>
      </c>
    </row>
    <row r="179" spans="1:4">
      <c r="A179" t="str">
        <f>TEXT(IF('Change in Employment'!B186&lt;&gt;0,DATE(YEAR('Change in Employment'!B186), MONTH('Change in Employment'!B186), 1), ""), "mm/dd/yyyy")</f>
        <v/>
      </c>
      <c r="B179" s="8" t="str">
        <f>IF(ISNUMBER('Change in Employment'!I186), TEXT('Change in Employment'!I186, "0"), "")</f>
        <v/>
      </c>
      <c r="C179" s="8" t="str">
        <f>IF(ISNUMBER('Change in Employment'!J186),TEXT('Change in Employment'!J186, "0"),"")</f>
        <v/>
      </c>
      <c r="D179" s="8" t="str">
        <f>IF(ISNUMBER('Change in Employment'!G186),'Change in Employment'!G186,"")</f>
        <v/>
      </c>
    </row>
    <row r="180" spans="1:4">
      <c r="A180" t="str">
        <f>TEXT(IF('Change in Employment'!B187&lt;&gt;0,DATE(YEAR('Change in Employment'!B187), MONTH('Change in Employment'!B187), 1), ""), "mm/dd/yyyy")</f>
        <v/>
      </c>
      <c r="B180" s="8" t="str">
        <f>IF(ISNUMBER('Change in Employment'!I187), TEXT('Change in Employment'!I187, "0"), "")</f>
        <v/>
      </c>
      <c r="C180" s="8" t="str">
        <f>IF(ISNUMBER('Change in Employment'!J187),TEXT('Change in Employment'!J187, "0"),"")</f>
        <v/>
      </c>
      <c r="D180" s="8" t="str">
        <f>IF(ISNUMBER('Change in Employment'!G187),'Change in Employment'!G187,"")</f>
        <v/>
      </c>
    </row>
    <row r="181" spans="1:4">
      <c r="A181" t="str">
        <f>TEXT(IF('Change in Employment'!B188&lt;&gt;0,DATE(YEAR('Change in Employment'!B188), MONTH('Change in Employment'!B188), 1), ""), "mm/dd/yyyy")</f>
        <v/>
      </c>
      <c r="B181" s="8" t="str">
        <f>IF(ISNUMBER('Change in Employment'!I188), TEXT('Change in Employment'!I188, "0"), "")</f>
        <v/>
      </c>
      <c r="C181" s="8" t="str">
        <f>IF(ISNUMBER('Change in Employment'!J188),TEXT('Change in Employment'!J188, "0"),"")</f>
        <v/>
      </c>
      <c r="D181" s="8" t="str">
        <f>IF(ISNUMBER('Change in Employment'!G188),'Change in Employment'!G188,"")</f>
        <v/>
      </c>
    </row>
    <row r="182" spans="1:4">
      <c r="A182" t="str">
        <f>TEXT(IF('Change in Employment'!B189&lt;&gt;0,DATE(YEAR('Change in Employment'!B189), MONTH('Change in Employment'!B189), 1), ""), "mm/dd/yyyy")</f>
        <v/>
      </c>
      <c r="B182" s="8" t="str">
        <f>IF(ISNUMBER('Change in Employment'!I189), TEXT('Change in Employment'!I189, "0"), "")</f>
        <v/>
      </c>
      <c r="C182" s="8" t="str">
        <f>IF(ISNUMBER('Change in Employment'!J189),TEXT('Change in Employment'!J189, "0"),"")</f>
        <v/>
      </c>
      <c r="D182" s="8" t="str">
        <f>IF(ISNUMBER('Change in Employment'!G189),'Change in Employment'!G189,"")</f>
        <v/>
      </c>
    </row>
    <row r="183" spans="1:4">
      <c r="A183" t="str">
        <f>TEXT(IF('Change in Employment'!B190&lt;&gt;0,DATE(YEAR('Change in Employment'!B190), MONTH('Change in Employment'!B190), 1), ""), "mm/dd/yyyy")</f>
        <v/>
      </c>
      <c r="B183" s="8" t="str">
        <f>IF(ISNUMBER('Change in Employment'!I190), TEXT('Change in Employment'!I190, "0"), "")</f>
        <v/>
      </c>
      <c r="C183" s="8" t="str">
        <f>IF(ISNUMBER('Change in Employment'!J190),TEXT('Change in Employment'!J190, "0"),"")</f>
        <v/>
      </c>
      <c r="D183" s="8" t="str">
        <f>IF(ISNUMBER('Change in Employment'!G190),'Change in Employment'!G190,"")</f>
        <v/>
      </c>
    </row>
    <row r="184" spans="1:4">
      <c r="A184" t="str">
        <f>TEXT(IF('Change in Employment'!B191&lt;&gt;0,DATE(YEAR('Change in Employment'!B191), MONTH('Change in Employment'!B191), 1), ""), "mm/dd/yyyy")</f>
        <v/>
      </c>
      <c r="B184" s="8" t="str">
        <f>IF(ISNUMBER('Change in Employment'!I191), TEXT('Change in Employment'!I191, "0"), "")</f>
        <v/>
      </c>
      <c r="C184" s="8" t="str">
        <f>IF(ISNUMBER('Change in Employment'!J191),TEXT('Change in Employment'!J191, "0"),"")</f>
        <v/>
      </c>
      <c r="D184" s="8" t="str">
        <f>IF(ISNUMBER('Change in Employment'!G191),'Change in Employment'!G191,"")</f>
        <v/>
      </c>
    </row>
    <row r="185" spans="1:4">
      <c r="A185" t="str">
        <f>TEXT(IF('Change in Employment'!B192&lt;&gt;0,DATE(YEAR('Change in Employment'!B192), MONTH('Change in Employment'!B192), 1), ""), "mm/dd/yyyy")</f>
        <v/>
      </c>
      <c r="B185" s="8" t="str">
        <f>IF(ISNUMBER('Change in Employment'!I192), TEXT('Change in Employment'!I192, "0"), "")</f>
        <v/>
      </c>
      <c r="C185" s="8" t="str">
        <f>IF(ISNUMBER('Change in Employment'!J192),TEXT('Change in Employment'!J192, "0"),"")</f>
        <v/>
      </c>
      <c r="D185" s="8" t="str">
        <f>IF(ISNUMBER('Change in Employment'!G192),'Change in Employment'!G192,"")</f>
        <v/>
      </c>
    </row>
    <row r="186" spans="1:4">
      <c r="A186" t="str">
        <f>TEXT(IF('Change in Employment'!B193&lt;&gt;0,DATE(YEAR('Change in Employment'!B193), MONTH('Change in Employment'!B193), 1), ""), "mm/dd/yyyy")</f>
        <v/>
      </c>
      <c r="B186" s="8" t="str">
        <f>IF(ISNUMBER('Change in Employment'!I193), TEXT('Change in Employment'!I193, "0"), "")</f>
        <v/>
      </c>
      <c r="C186" s="8" t="str">
        <f>IF(ISNUMBER('Change in Employment'!J193),TEXT('Change in Employment'!J193, "0"),"")</f>
        <v/>
      </c>
      <c r="D186" s="8" t="str">
        <f>IF(ISNUMBER('Change in Employment'!G193),'Change in Employment'!G193,"")</f>
        <v/>
      </c>
    </row>
    <row r="187" spans="1:4">
      <c r="A187" t="str">
        <f>TEXT(IF('Change in Employment'!B194&lt;&gt;0,DATE(YEAR('Change in Employment'!B194), MONTH('Change in Employment'!B194), 1), ""), "mm/dd/yyyy")</f>
        <v/>
      </c>
      <c r="B187" s="8" t="str">
        <f>IF(ISNUMBER('Change in Employment'!I194), TEXT('Change in Employment'!I194, "0"), "")</f>
        <v/>
      </c>
      <c r="C187" s="8" t="str">
        <f>IF(ISNUMBER('Change in Employment'!J194),TEXT('Change in Employment'!J194, "0"),"")</f>
        <v/>
      </c>
      <c r="D187" s="8" t="str">
        <f>IF(ISNUMBER('Change in Employment'!G194),'Change in Employment'!G194,"")</f>
        <v/>
      </c>
    </row>
    <row r="188" spans="1:4">
      <c r="A188" t="str">
        <f>TEXT(IF('Change in Employment'!B195&lt;&gt;0,DATE(YEAR('Change in Employment'!B195), MONTH('Change in Employment'!B195), 1), ""), "mm/dd/yyyy")</f>
        <v/>
      </c>
      <c r="B188" s="8" t="str">
        <f>IF(ISNUMBER('Change in Employment'!I195), TEXT('Change in Employment'!I195, "0"), "")</f>
        <v/>
      </c>
      <c r="C188" s="8" t="str">
        <f>IF(ISNUMBER('Change in Employment'!J195),TEXT('Change in Employment'!J195, "0"),"")</f>
        <v/>
      </c>
      <c r="D188" s="8" t="str">
        <f>IF(ISNUMBER('Change in Employment'!G195),'Change in Employment'!G195,"")</f>
        <v/>
      </c>
    </row>
    <row r="189" spans="1:4">
      <c r="A189" t="str">
        <f>TEXT(IF('Change in Employment'!B196&lt;&gt;0,DATE(YEAR('Change in Employment'!B196), MONTH('Change in Employment'!B196), 1), ""), "mm/dd/yyyy")</f>
        <v/>
      </c>
      <c r="B189" s="8" t="str">
        <f>IF(ISNUMBER('Change in Employment'!I196), TEXT('Change in Employment'!I196, "0"), "")</f>
        <v/>
      </c>
      <c r="C189" s="8" t="str">
        <f>IF(ISNUMBER('Change in Employment'!J196),TEXT('Change in Employment'!J196, "0"),"")</f>
        <v/>
      </c>
      <c r="D189" s="8" t="str">
        <f>IF(ISNUMBER('Change in Employment'!G196),'Change in Employment'!G196,"")</f>
        <v/>
      </c>
    </row>
    <row r="190" spans="1:4">
      <c r="A190" t="str">
        <f>TEXT(IF('Change in Employment'!B197&lt;&gt;0,DATE(YEAR('Change in Employment'!B197), MONTH('Change in Employment'!B197), 1), ""), "mm/dd/yyyy")</f>
        <v/>
      </c>
      <c r="B190" s="8" t="str">
        <f>IF(ISNUMBER('Change in Employment'!I197), TEXT('Change in Employment'!I197, "0"), "")</f>
        <v/>
      </c>
      <c r="C190" s="8" t="str">
        <f>IF(ISNUMBER('Change in Employment'!J197),TEXT('Change in Employment'!J197, "0"),"")</f>
        <v/>
      </c>
      <c r="D190" s="8" t="str">
        <f>IF(ISNUMBER('Change in Employment'!G197),'Change in Employment'!G197,"")</f>
        <v/>
      </c>
    </row>
    <row r="191" spans="1:4">
      <c r="A191" t="str">
        <f>TEXT(IF('Change in Employment'!B198&lt;&gt;0,DATE(YEAR('Change in Employment'!B198), MONTH('Change in Employment'!B198), 1), ""), "mm/dd/yyyy")</f>
        <v/>
      </c>
      <c r="B191" s="8" t="str">
        <f>IF(ISNUMBER('Change in Employment'!I198), TEXT('Change in Employment'!I198, "0"), "")</f>
        <v/>
      </c>
      <c r="C191" s="8" t="str">
        <f>IF(ISNUMBER('Change in Employment'!J198),TEXT('Change in Employment'!J198, "0"),"")</f>
        <v/>
      </c>
      <c r="D191" s="8" t="str">
        <f>IF(ISNUMBER('Change in Employment'!G198),'Change in Employment'!G198,"")</f>
        <v/>
      </c>
    </row>
    <row r="192" spans="1:4">
      <c r="A192" t="str">
        <f>TEXT(IF('Change in Employment'!B199&lt;&gt;0,DATE(YEAR('Change in Employment'!B199), MONTH('Change in Employment'!B199), 1), ""), "mm/dd/yyyy")</f>
        <v/>
      </c>
      <c r="B192" s="8" t="str">
        <f>IF(ISNUMBER('Change in Employment'!I199), TEXT('Change in Employment'!I199, "0"), "")</f>
        <v/>
      </c>
      <c r="C192" s="8" t="str">
        <f>IF(ISNUMBER('Change in Employment'!J199),TEXT('Change in Employment'!J199, "0"),"")</f>
        <v/>
      </c>
      <c r="D192" s="8" t="str">
        <f>IF(ISNUMBER('Change in Employment'!G199),'Change in Employment'!G199,"")</f>
        <v/>
      </c>
    </row>
    <row r="193" spans="1:4">
      <c r="A193" t="str">
        <f>TEXT(IF('Change in Employment'!B200&lt;&gt;0,DATE(YEAR('Change in Employment'!B200), MONTH('Change in Employment'!B200), 1), ""), "mm/dd/yyyy")</f>
        <v/>
      </c>
      <c r="B193" s="8" t="str">
        <f>IF(ISNUMBER('Change in Employment'!I200), TEXT('Change in Employment'!I200, "0"), "")</f>
        <v/>
      </c>
      <c r="C193" s="8" t="str">
        <f>IF(ISNUMBER('Change in Employment'!J200),TEXT('Change in Employment'!J200, "0"),"")</f>
        <v/>
      </c>
      <c r="D193" s="8" t="str">
        <f>IF(ISNUMBER('Change in Employment'!G200),'Change in Employment'!G200,"")</f>
        <v/>
      </c>
    </row>
    <row r="194" spans="1:4">
      <c r="A194" t="str">
        <f>TEXT(IF('Change in Employment'!B201&lt;&gt;0,DATE(YEAR('Change in Employment'!B201), MONTH('Change in Employment'!B201), 1), ""), "mm/dd/yyyy")</f>
        <v/>
      </c>
      <c r="B194" s="8" t="str">
        <f>IF(ISNUMBER('Change in Employment'!I201), TEXT('Change in Employment'!I201, "0"), "")</f>
        <v/>
      </c>
      <c r="C194" s="8" t="str">
        <f>IF(ISNUMBER('Change in Employment'!J201),TEXT('Change in Employment'!J201, "0"),"")</f>
        <v/>
      </c>
      <c r="D194" s="8" t="str">
        <f>IF(ISNUMBER('Change in Employment'!G201),'Change in Employment'!G201,"")</f>
        <v/>
      </c>
    </row>
    <row r="195" spans="1:4">
      <c r="A195" t="str">
        <f>TEXT(IF('Change in Employment'!B202&lt;&gt;0,DATE(YEAR('Change in Employment'!B202), MONTH('Change in Employment'!B202), 1), ""), "mm/dd/yyyy")</f>
        <v/>
      </c>
      <c r="B195" s="8" t="str">
        <f>IF(ISNUMBER('Change in Employment'!I202), TEXT('Change in Employment'!I202, "0"), "")</f>
        <v/>
      </c>
      <c r="C195" s="8" t="str">
        <f>IF(ISNUMBER('Change in Employment'!J202),TEXT('Change in Employment'!J202, "0"),"")</f>
        <v/>
      </c>
      <c r="D195" s="8" t="str">
        <f>IF(ISNUMBER('Change in Employment'!G202),'Change in Employment'!G202,"")</f>
        <v/>
      </c>
    </row>
    <row r="196" spans="1:4">
      <c r="A196" t="str">
        <f>TEXT(IF('Change in Employment'!B203&lt;&gt;0,DATE(YEAR('Change in Employment'!B203), MONTH('Change in Employment'!B203), 1), ""), "mm/dd/yyyy")</f>
        <v/>
      </c>
      <c r="B196" s="8" t="str">
        <f>IF(ISNUMBER('Change in Employment'!I203), TEXT('Change in Employment'!I203, "0"), "")</f>
        <v/>
      </c>
      <c r="C196" s="8" t="str">
        <f>IF(ISNUMBER('Change in Employment'!J203),TEXT('Change in Employment'!J203, "0"),"")</f>
        <v/>
      </c>
      <c r="D196" s="8" t="str">
        <f>IF(ISNUMBER('Change in Employment'!G203),'Change in Employment'!G203,"")</f>
        <v/>
      </c>
    </row>
    <row r="197" spans="1:4">
      <c r="A197" t="str">
        <f>TEXT(IF('Change in Employment'!B204&lt;&gt;0,DATE(YEAR('Change in Employment'!B204), MONTH('Change in Employment'!B204), 1), ""), "mm/dd/yyyy")</f>
        <v/>
      </c>
      <c r="B197" s="8" t="str">
        <f>IF(ISNUMBER('Change in Employment'!I204), TEXT('Change in Employment'!I204, "0"), "")</f>
        <v/>
      </c>
      <c r="C197" s="8" t="str">
        <f>IF(ISNUMBER('Change in Employment'!J204),TEXT('Change in Employment'!J204, "0"),"")</f>
        <v/>
      </c>
      <c r="D197" s="8" t="str">
        <f>IF(ISNUMBER('Change in Employment'!G204),'Change in Employment'!G204,"")</f>
        <v/>
      </c>
    </row>
    <row r="198" spans="1:4">
      <c r="A198" t="str">
        <f>TEXT(IF('Change in Employment'!B205&lt;&gt;0,DATE(YEAR('Change in Employment'!B205), MONTH('Change in Employment'!B205), 1), ""), "mm/dd/yyyy")</f>
        <v/>
      </c>
      <c r="B198" s="8" t="str">
        <f>IF(ISNUMBER('Change in Employment'!I205), TEXT('Change in Employment'!I205, "0"), "")</f>
        <v/>
      </c>
      <c r="C198" s="8" t="str">
        <f>IF(ISNUMBER('Change in Employment'!J205),TEXT('Change in Employment'!J205, "0"),"")</f>
        <v/>
      </c>
      <c r="D198" s="8" t="str">
        <f>IF(ISNUMBER('Change in Employment'!G205),'Change in Employment'!G205,"")</f>
        <v/>
      </c>
    </row>
    <row r="199" spans="1:4">
      <c r="A199" t="str">
        <f>TEXT(IF('Change in Employment'!B206&lt;&gt;0,DATE(YEAR('Change in Employment'!B206), MONTH('Change in Employment'!B206), 1), ""), "mm/dd/yyyy")</f>
        <v/>
      </c>
      <c r="B199" s="8" t="str">
        <f>IF(ISNUMBER('Change in Employment'!I206), TEXT('Change in Employment'!I206, "0"), "")</f>
        <v/>
      </c>
      <c r="C199" s="8" t="str">
        <f>IF(ISNUMBER('Change in Employment'!J206),TEXT('Change in Employment'!J206, "0"),"")</f>
        <v/>
      </c>
      <c r="D199" s="8" t="str">
        <f>IF(ISNUMBER('Change in Employment'!G206),'Change in Employment'!G206,"")</f>
        <v/>
      </c>
    </row>
    <row r="200" spans="1:4">
      <c r="A200" t="str">
        <f>TEXT(IF('Change in Employment'!B207&lt;&gt;0,DATE(YEAR('Change in Employment'!B207), MONTH('Change in Employment'!B207), 1), ""), "mm/dd/yyyy")</f>
        <v/>
      </c>
      <c r="B200" s="8" t="str">
        <f>IF(ISNUMBER('Change in Employment'!I207), TEXT('Change in Employment'!I207, "0"), "")</f>
        <v/>
      </c>
      <c r="C200" s="8" t="str">
        <f>IF(ISNUMBER('Change in Employment'!J207),TEXT('Change in Employment'!J207, "0"),"")</f>
        <v/>
      </c>
      <c r="D200" s="8" t="str">
        <f>IF(ISNUMBER('Change in Employment'!G207),'Change in Employment'!G207,"")</f>
        <v/>
      </c>
    </row>
    <row r="201" spans="1:4">
      <c r="A201" t="str">
        <f>TEXT(IF('Change in Employment'!B208&lt;&gt;0,DATE(YEAR('Change in Employment'!B208), MONTH('Change in Employment'!B208), 1), ""), "mm/dd/yyyy")</f>
        <v/>
      </c>
      <c r="B201" s="8" t="str">
        <f>IF(ISNUMBER('Change in Employment'!I208), TEXT('Change in Employment'!I208, "0"), "")</f>
        <v/>
      </c>
      <c r="C201" s="8" t="str">
        <f>IF(ISNUMBER('Change in Employment'!J208),TEXT('Change in Employment'!J208, "0"),"")</f>
        <v/>
      </c>
      <c r="D201" s="8" t="str">
        <f>IF(ISNUMBER('Change in Employment'!G208),'Change in Employment'!G208,"")</f>
        <v/>
      </c>
    </row>
    <row r="202" spans="1:4">
      <c r="A202" t="str">
        <f>TEXT(IF('Change in Employment'!B209&lt;&gt;0,DATE(YEAR('Change in Employment'!B209), MONTH('Change in Employment'!B209), 1), ""), "mm/dd/yyyy")</f>
        <v/>
      </c>
      <c r="B202" s="8" t="str">
        <f>IF(ISNUMBER('Change in Employment'!I209), TEXT('Change in Employment'!I209, "0"), "")</f>
        <v/>
      </c>
      <c r="C202" s="8" t="str">
        <f>IF(ISNUMBER('Change in Employment'!J209),TEXT('Change in Employment'!J209, "0"),"")</f>
        <v/>
      </c>
      <c r="D202" s="8" t="str">
        <f>IF(ISNUMBER('Change in Employment'!G209),'Change in Employment'!G209,"")</f>
        <v/>
      </c>
    </row>
    <row r="203" spans="1:4">
      <c r="A203" t="str">
        <f>TEXT(IF('Change in Employment'!B210&lt;&gt;0,DATE(YEAR('Change in Employment'!B210), MONTH('Change in Employment'!B210), 1), ""), "mm/dd/yyyy")</f>
        <v/>
      </c>
      <c r="B203" s="8" t="str">
        <f>IF(ISNUMBER('Change in Employment'!I210), TEXT('Change in Employment'!I210, "0"), "")</f>
        <v/>
      </c>
      <c r="C203" s="8" t="str">
        <f>IF(ISNUMBER('Change in Employment'!J210),TEXT('Change in Employment'!J210, "0"),"")</f>
        <v/>
      </c>
      <c r="D203" s="8" t="str">
        <f>IF(ISNUMBER('Change in Employment'!G210),'Change in Employment'!G210,"")</f>
        <v/>
      </c>
    </row>
    <row r="204" spans="1:4">
      <c r="A204" t="str">
        <f>TEXT(IF('Change in Employment'!B211&lt;&gt;0,DATE(YEAR('Change in Employment'!B211), MONTH('Change in Employment'!B211), 1), ""), "mm/dd/yyyy")</f>
        <v/>
      </c>
      <c r="B204" s="8" t="str">
        <f>IF(ISNUMBER('Change in Employment'!I211), TEXT('Change in Employment'!I211, "0"), "")</f>
        <v/>
      </c>
      <c r="C204" s="8" t="str">
        <f>IF(ISNUMBER('Change in Employment'!J211),TEXT('Change in Employment'!J211, "0"),"")</f>
        <v/>
      </c>
      <c r="D204" s="8" t="str">
        <f>IF(ISNUMBER('Change in Employment'!G211),'Change in Employment'!G211,"")</f>
        <v/>
      </c>
    </row>
    <row r="205" spans="1:4">
      <c r="A205" t="str">
        <f>TEXT(IF('Change in Employment'!B212&lt;&gt;0,DATE(YEAR('Change in Employment'!B212), MONTH('Change in Employment'!B212), 1), ""), "mm/dd/yyyy")</f>
        <v/>
      </c>
      <c r="B205" s="8" t="str">
        <f>IF(ISNUMBER('Change in Employment'!I212), TEXT('Change in Employment'!I212, "0"), "")</f>
        <v/>
      </c>
      <c r="C205" s="8" t="str">
        <f>IF(ISNUMBER('Change in Employment'!J212),TEXT('Change in Employment'!J212, "0"),"")</f>
        <v/>
      </c>
      <c r="D205" s="8" t="str">
        <f>IF(ISNUMBER('Change in Employment'!G212),'Change in Employment'!G212,"")</f>
        <v/>
      </c>
    </row>
    <row r="206" spans="1:4">
      <c r="A206" t="str">
        <f>TEXT(IF('Change in Employment'!B213&lt;&gt;0,DATE(YEAR('Change in Employment'!B213), MONTH('Change in Employment'!B213), 1), ""), "mm/dd/yyyy")</f>
        <v/>
      </c>
      <c r="B206" s="8" t="str">
        <f>IF(ISNUMBER('Change in Employment'!I213), TEXT('Change in Employment'!I213, "0"), "")</f>
        <v/>
      </c>
      <c r="C206" s="8" t="str">
        <f>IF(ISNUMBER('Change in Employment'!J213),TEXT('Change in Employment'!J213, "0"),"")</f>
        <v/>
      </c>
      <c r="D206" s="8" t="str">
        <f>IF(ISNUMBER('Change in Employment'!G213),'Change in Employment'!G213,"")</f>
        <v/>
      </c>
    </row>
    <row r="207" spans="1:4">
      <c r="A207" t="str">
        <f>TEXT(IF('Change in Employment'!B214&lt;&gt;0,DATE(YEAR('Change in Employment'!B214), MONTH('Change in Employment'!B214), 1), ""), "mm/dd/yyyy")</f>
        <v/>
      </c>
      <c r="B207" s="8" t="str">
        <f>IF(ISNUMBER('Change in Employment'!I214), TEXT('Change in Employment'!I214, "0"), "")</f>
        <v/>
      </c>
      <c r="C207" s="8" t="str">
        <f>IF(ISNUMBER('Change in Employment'!J214),TEXT('Change in Employment'!J214, "0"),"")</f>
        <v/>
      </c>
      <c r="D207" s="8" t="str">
        <f>IF(ISNUMBER('Change in Employment'!G214),'Change in Employment'!G214,"")</f>
        <v/>
      </c>
    </row>
    <row r="208" spans="1:4">
      <c r="A208" t="str">
        <f>TEXT(IF('Change in Employment'!B215&lt;&gt;0,DATE(YEAR('Change in Employment'!B215), MONTH('Change in Employment'!B215), 1), ""), "mm/dd/yyyy")</f>
        <v/>
      </c>
      <c r="B208" s="8" t="str">
        <f>IF(ISNUMBER('Change in Employment'!I215), TEXT('Change in Employment'!I215, "0"), "")</f>
        <v/>
      </c>
      <c r="C208" s="8" t="str">
        <f>IF(ISNUMBER('Change in Employment'!J215),TEXT('Change in Employment'!J215, "0"),"")</f>
        <v/>
      </c>
      <c r="D208" s="8" t="str">
        <f>IF(ISNUMBER('Change in Employment'!G215),'Change in Employment'!G215,"")</f>
        <v/>
      </c>
    </row>
    <row r="209" spans="1:4">
      <c r="A209" t="str">
        <f>TEXT(IF('Change in Employment'!B216&lt;&gt;0,DATE(YEAR('Change in Employment'!B216), MONTH('Change in Employment'!B216), 1), ""), "mm/dd/yyyy")</f>
        <v/>
      </c>
      <c r="B209" s="8" t="str">
        <f>IF(ISNUMBER('Change in Employment'!I216), TEXT('Change in Employment'!I216, "0"), "")</f>
        <v/>
      </c>
      <c r="C209" s="8" t="str">
        <f>IF(ISNUMBER('Change in Employment'!J216),TEXT('Change in Employment'!J216, "0"),"")</f>
        <v/>
      </c>
      <c r="D209" s="8" t="str">
        <f>IF(ISNUMBER('Change in Employment'!G216),'Change in Employment'!G216,"")</f>
        <v/>
      </c>
    </row>
    <row r="210" spans="1:4">
      <c r="A210" t="str">
        <f>TEXT(IF('Change in Employment'!B217&lt;&gt;0,DATE(YEAR('Change in Employment'!B217), MONTH('Change in Employment'!B217), 1), ""), "mm/dd/yyyy")</f>
        <v/>
      </c>
      <c r="B210" s="8" t="str">
        <f>IF(ISNUMBER('Change in Employment'!I217), TEXT('Change in Employment'!I217, "0"), "")</f>
        <v/>
      </c>
      <c r="C210" s="8" t="str">
        <f>IF(ISNUMBER('Change in Employment'!J217),TEXT('Change in Employment'!J217, "0"),"")</f>
        <v/>
      </c>
      <c r="D210" s="8" t="str">
        <f>IF(ISNUMBER('Change in Employment'!G217),'Change in Employment'!G217,"")</f>
        <v/>
      </c>
    </row>
    <row r="211" spans="1:4">
      <c r="A211" t="str">
        <f>TEXT(IF('Change in Employment'!B218&lt;&gt;0,DATE(YEAR('Change in Employment'!B218), MONTH('Change in Employment'!B218), 1), ""), "mm/dd/yyyy")</f>
        <v/>
      </c>
      <c r="B211" s="8" t="str">
        <f>IF(ISNUMBER('Change in Employment'!I218), TEXT('Change in Employment'!I218, "0"), "")</f>
        <v/>
      </c>
      <c r="C211" s="8" t="str">
        <f>IF(ISNUMBER('Change in Employment'!J218),TEXT('Change in Employment'!J218, "0"),"")</f>
        <v/>
      </c>
      <c r="D211" s="8" t="str">
        <f>IF(ISNUMBER('Change in Employment'!G218),'Change in Employment'!G218,"")</f>
        <v/>
      </c>
    </row>
    <row r="212" spans="1:4">
      <c r="A212" t="str">
        <f>TEXT(IF('Change in Employment'!B219&lt;&gt;0,DATE(YEAR('Change in Employment'!B219), MONTH('Change in Employment'!B219), 1), ""), "mm/dd/yyyy")</f>
        <v/>
      </c>
      <c r="B212" s="8" t="str">
        <f>IF(ISNUMBER('Change in Employment'!I219), TEXT('Change in Employment'!I219, "0"), "")</f>
        <v/>
      </c>
      <c r="C212" s="8" t="str">
        <f>IF(ISNUMBER('Change in Employment'!J219),TEXT('Change in Employment'!J219, "0"),"")</f>
        <v/>
      </c>
      <c r="D212" s="8" t="str">
        <f>IF(ISNUMBER('Change in Employment'!G219),'Change in Employment'!G219,"")</f>
        <v/>
      </c>
    </row>
    <row r="213" spans="1:4">
      <c r="A213" t="str">
        <f>TEXT(IF('Change in Employment'!B220&lt;&gt;0,DATE(YEAR('Change in Employment'!B220), MONTH('Change in Employment'!B220), 1), ""), "mm/dd/yyyy")</f>
        <v/>
      </c>
      <c r="B213" s="8" t="str">
        <f>IF(ISNUMBER('Change in Employment'!I220), TEXT('Change in Employment'!I220, "0"), "")</f>
        <v/>
      </c>
      <c r="C213" s="8" t="str">
        <f>IF(ISNUMBER('Change in Employment'!J220),TEXT('Change in Employment'!J220, "0"),"")</f>
        <v/>
      </c>
      <c r="D213" s="8" t="str">
        <f>IF(ISNUMBER('Change in Employment'!G220),'Change in Employment'!G220,"")</f>
        <v/>
      </c>
    </row>
    <row r="214" spans="1:4">
      <c r="A214" t="str">
        <f>TEXT(IF('Change in Employment'!B221&lt;&gt;0,DATE(YEAR('Change in Employment'!B221), MONTH('Change in Employment'!B221), 1), ""), "mm/dd/yyyy")</f>
        <v/>
      </c>
      <c r="B214" s="8" t="str">
        <f>IF(ISNUMBER('Change in Employment'!I221), TEXT('Change in Employment'!I221, "0"), "")</f>
        <v/>
      </c>
      <c r="C214" s="8" t="str">
        <f>IF(ISNUMBER('Change in Employment'!J221),TEXT('Change in Employment'!J221, "0"),"")</f>
        <v/>
      </c>
      <c r="D214" s="8" t="str">
        <f>IF(ISNUMBER('Change in Employment'!G221),'Change in Employment'!G221,"")</f>
        <v/>
      </c>
    </row>
    <row r="215" spans="1:4">
      <c r="A215" t="str">
        <f>TEXT(IF('Change in Employment'!B222&lt;&gt;0,DATE(YEAR('Change in Employment'!B222), MONTH('Change in Employment'!B222), 1), ""), "mm/dd/yyyy")</f>
        <v/>
      </c>
      <c r="B215" s="8" t="str">
        <f>IF(ISNUMBER('Change in Employment'!I222), TEXT('Change in Employment'!I222, "0"), "")</f>
        <v/>
      </c>
      <c r="C215" s="8" t="str">
        <f>IF(ISNUMBER('Change in Employment'!J222),TEXT('Change in Employment'!J222, "0"),"")</f>
        <v/>
      </c>
      <c r="D215" s="8" t="str">
        <f>IF(ISNUMBER('Change in Employment'!G222),'Change in Employment'!G222,"")</f>
        <v/>
      </c>
    </row>
    <row r="216" spans="1:4">
      <c r="A216" t="str">
        <f>TEXT(IF('Change in Employment'!B223&lt;&gt;0,DATE(YEAR('Change in Employment'!B223), MONTH('Change in Employment'!B223), 1), ""), "mm/dd/yyyy")</f>
        <v/>
      </c>
      <c r="B216" s="8" t="str">
        <f>IF(ISNUMBER('Change in Employment'!I223), TEXT('Change in Employment'!I223, "0"), "")</f>
        <v/>
      </c>
      <c r="C216" s="8" t="str">
        <f>IF(ISNUMBER('Change in Employment'!J223),TEXT('Change in Employment'!J223, "0"),"")</f>
        <v/>
      </c>
      <c r="D216" s="8" t="str">
        <f>IF(ISNUMBER('Change in Employment'!G223),'Change in Employment'!G223,"")</f>
        <v/>
      </c>
    </row>
    <row r="217" spans="1:4">
      <c r="A217" t="str">
        <f>TEXT(IF('Change in Employment'!B224&lt;&gt;0,DATE(YEAR('Change in Employment'!B224), MONTH('Change in Employment'!B224), 1), ""), "mm/dd/yyyy")</f>
        <v/>
      </c>
      <c r="B217" s="8" t="str">
        <f>IF(ISNUMBER('Change in Employment'!I224), TEXT('Change in Employment'!I224, "0"), "")</f>
        <v/>
      </c>
      <c r="C217" s="8" t="str">
        <f>IF(ISNUMBER('Change in Employment'!J224),TEXT('Change in Employment'!J224, "0"),"")</f>
        <v/>
      </c>
      <c r="D217" s="8" t="str">
        <f>IF(ISNUMBER('Change in Employment'!G224),'Change in Employment'!G224,"")</f>
        <v/>
      </c>
    </row>
    <row r="218" spans="1:4">
      <c r="A218" t="str">
        <f>TEXT(IF('Change in Employment'!B225&lt;&gt;0,DATE(YEAR('Change in Employment'!B225), MONTH('Change in Employment'!B225), 1), ""), "mm/dd/yyyy")</f>
        <v/>
      </c>
      <c r="B218" s="8" t="str">
        <f>IF(ISNUMBER('Change in Employment'!I225), TEXT('Change in Employment'!I225, "0"), "")</f>
        <v/>
      </c>
      <c r="C218" s="8" t="str">
        <f>IF(ISNUMBER('Change in Employment'!J225),TEXT('Change in Employment'!J225, "0"),"")</f>
        <v/>
      </c>
      <c r="D218" s="8" t="str">
        <f>IF(ISNUMBER('Change in Employment'!G225),'Change in Employment'!G225,"")</f>
        <v/>
      </c>
    </row>
    <row r="219" spans="1:4">
      <c r="A219" t="str">
        <f>TEXT(IF('Change in Employment'!B226&lt;&gt;0,DATE(YEAR('Change in Employment'!B226), MONTH('Change in Employment'!B226), 1), ""), "mm/dd/yyyy")</f>
        <v/>
      </c>
      <c r="B219" s="8" t="str">
        <f>IF(ISNUMBER('Change in Employment'!I226), TEXT('Change in Employment'!I226, "0"), "")</f>
        <v/>
      </c>
      <c r="C219" s="8" t="str">
        <f>IF(ISNUMBER('Change in Employment'!J226),TEXT('Change in Employment'!J226, "0"),"")</f>
        <v/>
      </c>
      <c r="D219" s="8" t="str">
        <f>IF(ISNUMBER('Change in Employment'!G226),'Change in Employment'!G226,"")</f>
        <v/>
      </c>
    </row>
    <row r="220" spans="1:4">
      <c r="A220" t="str">
        <f>TEXT(IF('Change in Employment'!B227&lt;&gt;0,DATE(YEAR('Change in Employment'!B227), MONTH('Change in Employment'!B227), 1), ""), "mm/dd/yyyy")</f>
        <v/>
      </c>
      <c r="B220" s="8" t="str">
        <f>IF(ISNUMBER('Change in Employment'!I227), TEXT('Change in Employment'!I227, "0"), "")</f>
        <v/>
      </c>
      <c r="C220" s="8" t="str">
        <f>IF(ISNUMBER('Change in Employment'!J227),TEXT('Change in Employment'!J227, "0"),"")</f>
        <v/>
      </c>
      <c r="D220" s="8" t="str">
        <f>IF(ISNUMBER('Change in Employment'!G227),'Change in Employment'!G227,"")</f>
        <v/>
      </c>
    </row>
    <row r="221" spans="1:4">
      <c r="A221" t="str">
        <f>TEXT(IF('Change in Employment'!B228&lt;&gt;0,DATE(YEAR('Change in Employment'!B228), MONTH('Change in Employment'!B228), 1), ""), "mm/dd/yyyy")</f>
        <v/>
      </c>
      <c r="B221" s="8" t="str">
        <f>IF(ISNUMBER('Change in Employment'!I228), TEXT('Change in Employment'!I228, "0"), "")</f>
        <v/>
      </c>
      <c r="C221" s="8" t="str">
        <f>IF(ISNUMBER('Change in Employment'!J228),TEXT('Change in Employment'!J228, "0"),"")</f>
        <v/>
      </c>
      <c r="D221" s="8" t="str">
        <f>IF(ISNUMBER('Change in Employment'!G228),'Change in Employment'!G228,"")</f>
        <v/>
      </c>
    </row>
    <row r="222" spans="1:4">
      <c r="A222" t="str">
        <f>TEXT(IF('Change in Employment'!B229&lt;&gt;0,DATE(YEAR('Change in Employment'!B229), MONTH('Change in Employment'!B229), 1), ""), "mm/dd/yyyy")</f>
        <v/>
      </c>
      <c r="B222" s="8" t="str">
        <f>IF(ISNUMBER('Change in Employment'!I229), TEXT('Change in Employment'!I229, "0"), "")</f>
        <v/>
      </c>
      <c r="C222" s="8" t="str">
        <f>IF(ISNUMBER('Change in Employment'!J229),TEXT('Change in Employment'!J229, "0"),"")</f>
        <v/>
      </c>
      <c r="D222" s="8" t="str">
        <f>IF(ISNUMBER('Change in Employment'!G229),'Change in Employment'!G229,"")</f>
        <v/>
      </c>
    </row>
    <row r="223" spans="1:4">
      <c r="A223" t="str">
        <f>TEXT(IF('Change in Employment'!B230&lt;&gt;0,DATE(YEAR('Change in Employment'!B230), MONTH('Change in Employment'!B230), 1), ""), "mm/dd/yyyy")</f>
        <v/>
      </c>
      <c r="B223" s="8" t="str">
        <f>IF(ISNUMBER('Change in Employment'!I230), TEXT('Change in Employment'!I230, "0"), "")</f>
        <v/>
      </c>
      <c r="C223" s="8" t="str">
        <f>IF(ISNUMBER('Change in Employment'!J230),TEXT('Change in Employment'!J230, "0"),"")</f>
        <v/>
      </c>
      <c r="D223" s="8" t="str">
        <f>IF(ISNUMBER('Change in Employment'!G230),'Change in Employment'!G230,"")</f>
        <v/>
      </c>
    </row>
    <row r="224" spans="1:4">
      <c r="A224" t="str">
        <f>TEXT(IF('Change in Employment'!B231&lt;&gt;0,DATE(YEAR('Change in Employment'!B231), MONTH('Change in Employment'!B231), 1), ""), "mm/dd/yyyy")</f>
        <v/>
      </c>
      <c r="B224" s="8" t="str">
        <f>IF(ISNUMBER('Change in Employment'!I231), TEXT('Change in Employment'!I231, "0"), "")</f>
        <v/>
      </c>
      <c r="C224" s="8" t="str">
        <f>IF(ISNUMBER('Change in Employment'!J231),TEXT('Change in Employment'!J231, "0"),"")</f>
        <v/>
      </c>
      <c r="D224" s="8" t="str">
        <f>IF(ISNUMBER('Change in Employment'!G231),'Change in Employment'!G231,"")</f>
        <v/>
      </c>
    </row>
    <row r="225" spans="1:4">
      <c r="A225" t="str">
        <f>TEXT(IF('Change in Employment'!B232&lt;&gt;0,DATE(YEAR('Change in Employment'!B232), MONTH('Change in Employment'!B232), 1), ""), "mm/dd/yyyy")</f>
        <v/>
      </c>
      <c r="B225" s="8" t="str">
        <f>IF(ISNUMBER('Change in Employment'!I232), TEXT('Change in Employment'!I232, "0"), "")</f>
        <v/>
      </c>
      <c r="C225" s="8" t="str">
        <f>IF(ISNUMBER('Change in Employment'!J232),TEXT('Change in Employment'!J232, "0"),"")</f>
        <v/>
      </c>
      <c r="D225" s="8" t="str">
        <f>IF(ISNUMBER('Change in Employment'!G232),'Change in Employment'!G232,"")</f>
        <v/>
      </c>
    </row>
    <row r="226" spans="1:4">
      <c r="A226" t="str">
        <f>TEXT(IF('Change in Employment'!B233&lt;&gt;0,DATE(YEAR('Change in Employment'!B233), MONTH('Change in Employment'!B233), 1), ""), "mm/dd/yyyy")</f>
        <v/>
      </c>
      <c r="B226" s="8" t="str">
        <f>IF(ISNUMBER('Change in Employment'!I233), TEXT('Change in Employment'!I233, "0"), "")</f>
        <v/>
      </c>
      <c r="C226" s="8" t="str">
        <f>IF(ISNUMBER('Change in Employment'!J233),TEXT('Change in Employment'!J233, "0"),"")</f>
        <v/>
      </c>
      <c r="D226" s="8" t="str">
        <f>IF(ISNUMBER('Change in Employment'!G233),'Change in Employment'!G233,"")</f>
        <v/>
      </c>
    </row>
    <row r="227" spans="1:4">
      <c r="A227" t="str">
        <f>TEXT(IF('Change in Employment'!B234&lt;&gt;0,DATE(YEAR('Change in Employment'!B234), MONTH('Change in Employment'!B234), 1), ""), "mm/dd/yyyy")</f>
        <v/>
      </c>
      <c r="B227" s="8" t="str">
        <f>IF(ISNUMBER('Change in Employment'!I234), TEXT('Change in Employment'!I234, "0"), "")</f>
        <v/>
      </c>
      <c r="C227" s="8" t="str">
        <f>IF(ISNUMBER('Change in Employment'!J234),TEXT('Change in Employment'!J234, "0"),"")</f>
        <v/>
      </c>
      <c r="D227" s="8" t="str">
        <f>IF(ISNUMBER('Change in Employment'!G234),'Change in Employment'!G234,"")</f>
        <v/>
      </c>
    </row>
    <row r="228" spans="1:4">
      <c r="A228" t="str">
        <f>TEXT(IF('Change in Employment'!B235&lt;&gt;0,DATE(YEAR('Change in Employment'!B235), MONTH('Change in Employment'!B235), 1), ""), "mm/dd/yyyy")</f>
        <v/>
      </c>
      <c r="B228" s="8" t="str">
        <f>IF(ISNUMBER('Change in Employment'!I235), TEXT('Change in Employment'!I235, "0"), "")</f>
        <v/>
      </c>
      <c r="C228" s="8" t="str">
        <f>IF(ISNUMBER('Change in Employment'!J235),TEXT('Change in Employment'!J235, "0"),"")</f>
        <v/>
      </c>
      <c r="D228" s="8" t="str">
        <f>IF(ISNUMBER('Change in Employment'!G235),'Change in Employment'!G235,"")</f>
        <v/>
      </c>
    </row>
    <row r="229" spans="1:4">
      <c r="A229" t="str">
        <f>TEXT(IF('Change in Employment'!B236&lt;&gt;0,DATE(YEAR('Change in Employment'!B236), MONTH('Change in Employment'!B236), 1), ""), "mm/dd/yyyy")</f>
        <v/>
      </c>
      <c r="B229" s="8" t="str">
        <f>IF(ISNUMBER('Change in Employment'!I236), TEXT('Change in Employment'!I236, "0"), "")</f>
        <v/>
      </c>
      <c r="C229" s="8" t="str">
        <f>IF(ISNUMBER('Change in Employment'!J236),TEXT('Change in Employment'!J236, "0"),"")</f>
        <v/>
      </c>
      <c r="D229" s="8" t="str">
        <f>IF(ISNUMBER('Change in Employment'!G236),'Change in Employment'!G236,"")</f>
        <v/>
      </c>
    </row>
    <row r="230" spans="1:4">
      <c r="A230" t="str">
        <f>TEXT(IF('Change in Employment'!B237&lt;&gt;0,DATE(YEAR('Change in Employment'!B237), MONTH('Change in Employment'!B237), 1), ""), "mm/dd/yyyy")</f>
        <v/>
      </c>
      <c r="B230" s="8" t="str">
        <f>IF(ISNUMBER('Change in Employment'!I237), TEXT('Change in Employment'!I237, "0"), "")</f>
        <v/>
      </c>
      <c r="C230" s="8" t="str">
        <f>IF(ISNUMBER('Change in Employment'!J237),TEXT('Change in Employment'!J237, "0"),"")</f>
        <v/>
      </c>
      <c r="D230" s="8" t="str">
        <f>IF(ISNUMBER('Change in Employment'!G237),'Change in Employment'!G237,"")</f>
        <v/>
      </c>
    </row>
    <row r="231" spans="1:4">
      <c r="A231" t="str">
        <f>TEXT(IF('Change in Employment'!B238&lt;&gt;0,DATE(YEAR('Change in Employment'!B238), MONTH('Change in Employment'!B238), 1), ""), "mm/dd/yyyy")</f>
        <v/>
      </c>
      <c r="B231" s="8" t="str">
        <f>IF(ISNUMBER('Change in Employment'!I238), TEXT('Change in Employment'!I238, "0"), "")</f>
        <v/>
      </c>
      <c r="C231" s="8" t="str">
        <f>IF(ISNUMBER('Change in Employment'!J238),TEXT('Change in Employment'!J238, "0"),"")</f>
        <v/>
      </c>
      <c r="D231" s="8" t="str">
        <f>IF(ISNUMBER('Change in Employment'!G238),'Change in Employment'!G238,"")</f>
        <v/>
      </c>
    </row>
    <row r="232" spans="1:4">
      <c r="A232" t="str">
        <f>TEXT(IF('Change in Employment'!B239&lt;&gt;0,DATE(YEAR('Change in Employment'!B239), MONTH('Change in Employment'!B239), 1), ""), "mm/dd/yyyy")</f>
        <v/>
      </c>
      <c r="B232" s="8" t="str">
        <f>IF(ISNUMBER('Change in Employment'!I239), TEXT('Change in Employment'!I239, "0"), "")</f>
        <v/>
      </c>
      <c r="C232" s="8" t="str">
        <f>IF(ISNUMBER('Change in Employment'!J239),TEXT('Change in Employment'!J239, "0"),"")</f>
        <v/>
      </c>
      <c r="D232" s="8" t="str">
        <f>IF(ISNUMBER('Change in Employment'!G239),'Change in Employment'!G239,"")</f>
        <v/>
      </c>
    </row>
    <row r="233" spans="1:4">
      <c r="A233" t="str">
        <f>TEXT(IF('Change in Employment'!B240&lt;&gt;0,DATE(YEAR('Change in Employment'!B240), MONTH('Change in Employment'!B240), 1), ""), "mm/dd/yyyy")</f>
        <v/>
      </c>
      <c r="B233" s="8" t="str">
        <f>IF(ISNUMBER('Change in Employment'!I240), TEXT('Change in Employment'!I240, "0"), "")</f>
        <v/>
      </c>
      <c r="C233" s="8" t="str">
        <f>IF(ISNUMBER('Change in Employment'!J240),TEXT('Change in Employment'!J240, "0"),"")</f>
        <v/>
      </c>
      <c r="D233" s="8" t="str">
        <f>IF(ISNUMBER('Change in Employment'!G240),'Change in Employment'!G240,"")</f>
        <v/>
      </c>
    </row>
    <row r="234" spans="1:4">
      <c r="A234" t="str">
        <f>TEXT(IF('Change in Employment'!B241&lt;&gt;0,DATE(YEAR('Change in Employment'!B241), MONTH('Change in Employment'!B241), 1), ""), "mm/dd/yyyy")</f>
        <v/>
      </c>
      <c r="B234" s="8" t="str">
        <f>IF(ISNUMBER('Change in Employment'!I241), TEXT('Change in Employment'!I241, "0"), "")</f>
        <v/>
      </c>
      <c r="C234" s="8" t="str">
        <f>IF(ISNUMBER('Change in Employment'!J241),TEXT('Change in Employment'!J241, "0"),"")</f>
        <v/>
      </c>
      <c r="D234" s="8" t="str">
        <f>IF(ISNUMBER('Change in Employment'!G241),'Change in Employment'!G241,"")</f>
        <v/>
      </c>
    </row>
    <row r="235" spans="1:4">
      <c r="A235" t="str">
        <f>TEXT(IF('Change in Employment'!B242&lt;&gt;0,DATE(YEAR('Change in Employment'!B242), MONTH('Change in Employment'!B242), 1), ""), "mm/dd/yyyy")</f>
        <v/>
      </c>
      <c r="B235" s="8" t="str">
        <f>IF(ISNUMBER('Change in Employment'!I242), TEXT('Change in Employment'!I242, "0"), "")</f>
        <v/>
      </c>
      <c r="C235" s="8" t="str">
        <f>IF(ISNUMBER('Change in Employment'!J242),TEXT('Change in Employment'!J242, "0"),"")</f>
        <v/>
      </c>
      <c r="D235" s="8" t="str">
        <f>IF(ISNUMBER('Change in Employment'!G242),'Change in Employment'!G242,"")</f>
        <v/>
      </c>
    </row>
    <row r="236" spans="1:4">
      <c r="A236" t="str">
        <f>TEXT(IF('Change in Employment'!B243&lt;&gt;0,DATE(YEAR('Change in Employment'!B243), MONTH('Change in Employment'!B243), 1), ""), "mm/dd/yyyy")</f>
        <v/>
      </c>
      <c r="B236" s="8" t="str">
        <f>IF(ISNUMBER('Change in Employment'!I243), TEXT('Change in Employment'!I243, "0"), "")</f>
        <v/>
      </c>
      <c r="C236" s="8" t="str">
        <f>IF(ISNUMBER('Change in Employment'!J243),TEXT('Change in Employment'!J243, "0"),"")</f>
        <v/>
      </c>
      <c r="D236" s="8" t="str">
        <f>IF(ISNUMBER('Change in Employment'!G243),'Change in Employment'!G243,"")</f>
        <v/>
      </c>
    </row>
    <row r="237" spans="1:4">
      <c r="A237" t="str">
        <f>TEXT(IF('Change in Employment'!B244&lt;&gt;0,DATE(YEAR('Change in Employment'!B244), MONTH('Change in Employment'!B244), 1), ""), "mm/dd/yyyy")</f>
        <v/>
      </c>
      <c r="B237" s="8" t="str">
        <f>IF(ISNUMBER('Change in Employment'!I244), TEXT('Change in Employment'!I244, "0"), "")</f>
        <v/>
      </c>
      <c r="C237" s="8" t="str">
        <f>IF(ISNUMBER('Change in Employment'!J244),TEXT('Change in Employment'!J244, "0"),"")</f>
        <v/>
      </c>
      <c r="D237" s="8" t="str">
        <f>IF(ISNUMBER('Change in Employment'!G244),'Change in Employment'!G244,"")</f>
        <v/>
      </c>
    </row>
    <row r="238" spans="1:4">
      <c r="A238" t="str">
        <f>TEXT(IF('Change in Employment'!B245&lt;&gt;0,DATE(YEAR('Change in Employment'!B245), MONTH('Change in Employment'!B245), 1), ""), "mm/dd/yyyy")</f>
        <v/>
      </c>
      <c r="B238" s="8" t="str">
        <f>IF(ISNUMBER('Change in Employment'!I245), TEXT('Change in Employment'!I245, "0"), "")</f>
        <v/>
      </c>
      <c r="C238" s="8" t="str">
        <f>IF(ISNUMBER('Change in Employment'!J245),TEXT('Change in Employment'!J245, "0"),"")</f>
        <v/>
      </c>
      <c r="D238" s="8" t="str">
        <f>IF(ISNUMBER('Change in Employment'!G245),'Change in Employment'!G245,"")</f>
        <v/>
      </c>
    </row>
    <row r="239" spans="1:4">
      <c r="A239" t="str">
        <f>TEXT(IF('Change in Employment'!B246&lt;&gt;0,DATE(YEAR('Change in Employment'!B246), MONTH('Change in Employment'!B246), 1), ""), "mm/dd/yyyy")</f>
        <v/>
      </c>
      <c r="B239" s="8" t="str">
        <f>IF(ISNUMBER('Change in Employment'!I246), TEXT('Change in Employment'!I246, "0"), "")</f>
        <v/>
      </c>
      <c r="C239" s="8" t="str">
        <f>IF(ISNUMBER('Change in Employment'!J246),TEXT('Change in Employment'!J246, "0"),"")</f>
        <v/>
      </c>
      <c r="D239" s="8" t="str">
        <f>IF(ISNUMBER('Change in Employment'!G246),'Change in Employment'!G246,"")</f>
        <v/>
      </c>
    </row>
    <row r="240" spans="1:4">
      <c r="A240" t="str">
        <f>TEXT(IF('Change in Employment'!B247&lt;&gt;0,DATE(YEAR('Change in Employment'!B247), MONTH('Change in Employment'!B247), 1), ""), "mm/dd/yyyy")</f>
        <v/>
      </c>
      <c r="B240" s="8" t="str">
        <f>IF(ISNUMBER('Change in Employment'!I247), TEXT('Change in Employment'!I247, "0"), "")</f>
        <v/>
      </c>
      <c r="C240" s="8" t="str">
        <f>IF(ISNUMBER('Change in Employment'!J247),TEXT('Change in Employment'!J247, "0"),"")</f>
        <v/>
      </c>
      <c r="D240" s="8" t="str">
        <f>IF(ISNUMBER('Change in Employment'!G247),'Change in Employment'!G247,"")</f>
        <v/>
      </c>
    </row>
    <row r="241" spans="1:4">
      <c r="A241" t="str">
        <f>TEXT(IF('Change in Employment'!B248&lt;&gt;0,DATE(YEAR('Change in Employment'!B248), MONTH('Change in Employment'!B248), 1), ""), "mm/dd/yyyy")</f>
        <v/>
      </c>
      <c r="B241" s="8" t="str">
        <f>IF(ISNUMBER('Change in Employment'!I248), TEXT('Change in Employment'!I248, "0"), "")</f>
        <v/>
      </c>
      <c r="C241" s="8" t="str">
        <f>IF(ISNUMBER('Change in Employment'!J248),TEXT('Change in Employment'!J248, "0"),"")</f>
        <v/>
      </c>
      <c r="D241" s="8" t="str">
        <f>IF(ISNUMBER('Change in Employment'!G248),'Change in Employment'!G248,"")</f>
        <v/>
      </c>
    </row>
    <row r="242" spans="1:4">
      <c r="A242" t="str">
        <f>TEXT(IF('Change in Employment'!B249&lt;&gt;0,DATE(YEAR('Change in Employment'!B249), MONTH('Change in Employment'!B249), 1), ""), "mm/dd/yyyy")</f>
        <v/>
      </c>
      <c r="B242" s="8" t="str">
        <f>IF(ISNUMBER('Change in Employment'!I249), TEXT('Change in Employment'!I249, "0"), "")</f>
        <v/>
      </c>
      <c r="C242" s="8" t="str">
        <f>IF(ISNUMBER('Change in Employment'!J249),TEXT('Change in Employment'!J249, "0"),"")</f>
        <v/>
      </c>
      <c r="D242" s="8" t="str">
        <f>IF(ISNUMBER('Change in Employment'!G249),'Change in Employment'!G249,"")</f>
        <v/>
      </c>
    </row>
    <row r="243" spans="1:4">
      <c r="A243" t="str">
        <f>TEXT(IF('Change in Employment'!B250&lt;&gt;0,DATE(YEAR('Change in Employment'!B250), MONTH('Change in Employment'!B250), 1), ""), "mm/dd/yyyy")</f>
        <v/>
      </c>
      <c r="B243" s="8" t="str">
        <f>IF(ISNUMBER('Change in Employment'!I250), TEXT('Change in Employment'!I250, "0"), "")</f>
        <v/>
      </c>
      <c r="C243" s="8" t="str">
        <f>IF(ISNUMBER('Change in Employment'!J250),TEXT('Change in Employment'!J250, "0"),"")</f>
        <v/>
      </c>
      <c r="D243" s="8" t="str">
        <f>IF(ISNUMBER('Change in Employment'!G250),'Change in Employment'!G250,"")</f>
        <v/>
      </c>
    </row>
    <row r="244" spans="1:4">
      <c r="A244" t="str">
        <f>TEXT(IF('Change in Employment'!B251&lt;&gt;0,DATE(YEAR('Change in Employment'!B251), MONTH('Change in Employment'!B251), 1), ""), "mm/dd/yyyy")</f>
        <v/>
      </c>
      <c r="B244" s="8" t="str">
        <f>IF(ISNUMBER('Change in Employment'!I251), TEXT('Change in Employment'!I251, "0"), "")</f>
        <v/>
      </c>
      <c r="C244" s="8" t="str">
        <f>IF(ISNUMBER('Change in Employment'!J251),TEXT('Change in Employment'!J251, "0"),"")</f>
        <v/>
      </c>
      <c r="D244" s="8" t="str">
        <f>IF(ISNUMBER('Change in Employment'!G251),'Change in Employment'!G251,"")</f>
        <v/>
      </c>
    </row>
    <row r="245" spans="1:4">
      <c r="A245" t="str">
        <f>TEXT(IF('Change in Employment'!B252&lt;&gt;0,DATE(YEAR('Change in Employment'!B252), MONTH('Change in Employment'!B252), 1), ""), "mm/dd/yyyy")</f>
        <v/>
      </c>
      <c r="B245" s="8" t="str">
        <f>IF(ISNUMBER('Change in Employment'!I252), TEXT('Change in Employment'!I252, "0"), "")</f>
        <v/>
      </c>
      <c r="C245" s="8" t="str">
        <f>IF(ISNUMBER('Change in Employment'!J252),TEXT('Change in Employment'!J252, "0"),"")</f>
        <v/>
      </c>
      <c r="D245" s="8" t="str">
        <f>IF(ISNUMBER('Change in Employment'!G252),'Change in Employment'!G252,"")</f>
        <v/>
      </c>
    </row>
    <row r="246" spans="1:4">
      <c r="A246" t="str">
        <f>TEXT(IF('Change in Employment'!B253&lt;&gt;0,DATE(YEAR('Change in Employment'!B253), MONTH('Change in Employment'!B253), 1), ""), "mm/dd/yyyy")</f>
        <v/>
      </c>
      <c r="B246" s="8" t="str">
        <f>IF(ISNUMBER('Change in Employment'!I253), TEXT('Change in Employment'!I253, "0"), "")</f>
        <v/>
      </c>
      <c r="C246" s="8" t="str">
        <f>IF(ISNUMBER('Change in Employment'!J253),TEXT('Change in Employment'!J253, "0"),"")</f>
        <v/>
      </c>
      <c r="D246" s="8" t="str">
        <f>IF(ISNUMBER('Change in Employment'!G253),'Change in Employment'!G253,"")</f>
        <v/>
      </c>
    </row>
    <row r="247" spans="1:4">
      <c r="A247" t="str">
        <f>TEXT(IF('Change in Employment'!B254&lt;&gt;0,DATE(YEAR('Change in Employment'!B254), MONTH('Change in Employment'!B254), 1), ""), "mm/dd/yyyy")</f>
        <v/>
      </c>
      <c r="B247" s="8" t="str">
        <f>IF(ISNUMBER('Change in Employment'!I254), TEXT('Change in Employment'!I254, "0"), "")</f>
        <v/>
      </c>
      <c r="C247" s="8" t="str">
        <f>IF(ISNUMBER('Change in Employment'!J254),TEXT('Change in Employment'!J254, "0"),"")</f>
        <v/>
      </c>
      <c r="D247" s="8" t="str">
        <f>IF(ISNUMBER('Change in Employment'!G254),'Change in Employment'!G254,"")</f>
        <v/>
      </c>
    </row>
    <row r="248" spans="1:4">
      <c r="A248" t="str">
        <f>TEXT(IF('Change in Employment'!B255&lt;&gt;0,DATE(YEAR('Change in Employment'!B255), MONTH('Change in Employment'!B255), 1), ""), "mm/dd/yyyy")</f>
        <v/>
      </c>
      <c r="B248" s="8" t="str">
        <f>IF(ISNUMBER('Change in Employment'!I255), TEXT('Change in Employment'!I255, "0"), "")</f>
        <v/>
      </c>
      <c r="C248" s="8" t="str">
        <f>IF(ISNUMBER('Change in Employment'!J255),TEXT('Change in Employment'!J255, "0"),"")</f>
        <v/>
      </c>
      <c r="D248" s="8" t="str">
        <f>IF(ISNUMBER('Change in Employment'!G255),'Change in Employment'!G255,"")</f>
        <v/>
      </c>
    </row>
    <row r="249" spans="1:4">
      <c r="A249" t="str">
        <f>TEXT(IF('Change in Employment'!B256&lt;&gt;0,DATE(YEAR('Change in Employment'!B256), MONTH('Change in Employment'!B256), 1), ""), "mm/dd/yyyy")</f>
        <v/>
      </c>
      <c r="B249" s="8" t="str">
        <f>IF(ISNUMBER('Change in Employment'!I256), TEXT('Change in Employment'!I256, "0"), "")</f>
        <v/>
      </c>
      <c r="C249" s="8" t="str">
        <f>IF(ISNUMBER('Change in Employment'!J256),TEXT('Change in Employment'!J256, "0"),"")</f>
        <v/>
      </c>
      <c r="D249" s="8" t="str">
        <f>IF(ISNUMBER('Change in Employment'!G256),'Change in Employment'!G256,"")</f>
        <v/>
      </c>
    </row>
    <row r="250" spans="1:4">
      <c r="A250" t="str">
        <f>TEXT(IF('Change in Employment'!B257&lt;&gt;0,DATE(YEAR('Change in Employment'!B257), MONTH('Change in Employment'!B257), 1), ""), "mm/dd/yyyy")</f>
        <v/>
      </c>
      <c r="B250" s="8" t="str">
        <f>IF(ISNUMBER('Change in Employment'!I257), TEXT('Change in Employment'!I257, "0"), "")</f>
        <v/>
      </c>
      <c r="C250" s="8" t="str">
        <f>IF(ISNUMBER('Change in Employment'!J257),TEXT('Change in Employment'!J257, "0"),"")</f>
        <v/>
      </c>
      <c r="D250" s="8" t="str">
        <f>IF(ISNUMBER('Change in Employment'!G257),'Change in Employment'!G257,"")</f>
        <v/>
      </c>
    </row>
    <row r="251" spans="1:4">
      <c r="A251" t="str">
        <f>TEXT(IF('Change in Employment'!B258&lt;&gt;0,DATE(YEAR('Change in Employment'!B258), MONTH('Change in Employment'!B258), 1), ""), "mm/dd/yyyy")</f>
        <v/>
      </c>
      <c r="B251" s="8" t="str">
        <f>IF(ISNUMBER('Change in Employment'!I258), TEXT('Change in Employment'!I258, "0"), "")</f>
        <v/>
      </c>
      <c r="C251" s="8" t="str">
        <f>IF(ISNUMBER('Change in Employment'!J258),TEXT('Change in Employment'!J258, "0"),"")</f>
        <v/>
      </c>
      <c r="D251" s="8" t="str">
        <f>IF(ISNUMBER('Change in Employment'!G258),'Change in Employment'!G258,"")</f>
        <v/>
      </c>
    </row>
    <row r="252" spans="1:4">
      <c r="A252" t="str">
        <f>TEXT(IF('Change in Employment'!B259&lt;&gt;0,DATE(YEAR('Change in Employment'!B259), MONTH('Change in Employment'!B259), 1), ""), "mm/dd/yyyy")</f>
        <v/>
      </c>
      <c r="B252" s="8" t="str">
        <f>IF(ISNUMBER('Change in Employment'!I259), TEXT('Change in Employment'!I259, "0"), "")</f>
        <v/>
      </c>
      <c r="C252" s="8" t="str">
        <f>IF(ISNUMBER('Change in Employment'!J259),TEXT('Change in Employment'!J259, "0"),"")</f>
        <v/>
      </c>
      <c r="D252" s="8" t="str">
        <f>IF(ISNUMBER('Change in Employment'!G259),'Change in Employment'!G259,"")</f>
        <v/>
      </c>
    </row>
    <row r="253" spans="1:4">
      <c r="A253" t="str">
        <f>TEXT(IF('Change in Employment'!B260&lt;&gt;0,DATE(YEAR('Change in Employment'!B260), MONTH('Change in Employment'!B260), 1), ""), "mm/dd/yyyy")</f>
        <v/>
      </c>
      <c r="B253" s="8" t="str">
        <f>IF(ISNUMBER('Change in Employment'!I260), TEXT('Change in Employment'!I260, "0"), "")</f>
        <v/>
      </c>
      <c r="C253" s="8" t="str">
        <f>IF(ISNUMBER('Change in Employment'!J260),TEXT('Change in Employment'!J260, "0"),"")</f>
        <v/>
      </c>
      <c r="D253" s="8" t="str">
        <f>IF(ISNUMBER('Change in Employment'!G260),'Change in Employment'!G260,"")</f>
        <v/>
      </c>
    </row>
    <row r="254" spans="1:4">
      <c r="A254" t="str">
        <f>TEXT(IF('Change in Employment'!B261&lt;&gt;0,DATE(YEAR('Change in Employment'!B261), MONTH('Change in Employment'!B261), 1), ""), "mm/dd/yyyy")</f>
        <v/>
      </c>
      <c r="B254" s="8" t="str">
        <f>IF(ISNUMBER('Change in Employment'!I261), TEXT('Change in Employment'!I261, "0"), "")</f>
        <v/>
      </c>
      <c r="C254" s="8" t="str">
        <f>IF(ISNUMBER('Change in Employment'!J261),TEXT('Change in Employment'!J261, "0"),"")</f>
        <v/>
      </c>
      <c r="D254" s="8" t="str">
        <f>IF(ISNUMBER('Change in Employment'!G261),'Change in Employment'!G261,"")</f>
        <v/>
      </c>
    </row>
    <row r="255" spans="1:4">
      <c r="A255" t="str">
        <f>TEXT(IF('Change in Employment'!B262&lt;&gt;0,DATE(YEAR('Change in Employment'!B262), MONTH('Change in Employment'!B262), 1), ""), "mm/dd/yyyy")</f>
        <v/>
      </c>
      <c r="B255" s="8" t="str">
        <f>IF(ISNUMBER('Change in Employment'!I262), TEXT('Change in Employment'!I262, "0"), "")</f>
        <v/>
      </c>
      <c r="C255" s="8" t="str">
        <f>IF(ISNUMBER('Change in Employment'!J262),TEXT('Change in Employment'!J262, "0"),"")</f>
        <v/>
      </c>
      <c r="D255" s="8" t="str">
        <f>IF(ISNUMBER('Change in Employment'!G262),'Change in Employment'!G262,"")</f>
        <v/>
      </c>
    </row>
    <row r="256" spans="1:4">
      <c r="A256" t="str">
        <f>TEXT(IF('Change in Employment'!B263&lt;&gt;0,DATE(YEAR('Change in Employment'!B263), MONTH('Change in Employment'!B263), 1), ""), "mm/dd/yyyy")</f>
        <v/>
      </c>
      <c r="B256" s="8" t="str">
        <f>IF(ISNUMBER('Change in Employment'!I263), TEXT('Change in Employment'!I263, "0"), "")</f>
        <v/>
      </c>
      <c r="C256" s="8" t="str">
        <f>IF(ISNUMBER('Change in Employment'!J263),TEXT('Change in Employment'!J263, "0"),"")</f>
        <v/>
      </c>
      <c r="D256" s="8" t="str">
        <f>IF(ISNUMBER('Change in Employment'!G263),'Change in Employment'!G263,"")</f>
        <v/>
      </c>
    </row>
    <row r="257" spans="1:4">
      <c r="A257" t="str">
        <f>TEXT(IF('Change in Employment'!B264&lt;&gt;0,DATE(YEAR('Change in Employment'!B264), MONTH('Change in Employment'!B264), 1), ""), "mm/dd/yyyy")</f>
        <v/>
      </c>
      <c r="B257" s="8" t="str">
        <f>IF(ISNUMBER('Change in Employment'!I264), TEXT('Change in Employment'!I264, "0"), "")</f>
        <v/>
      </c>
      <c r="C257" s="8" t="str">
        <f>IF(ISNUMBER('Change in Employment'!J264),TEXT('Change in Employment'!J264, "0"),"")</f>
        <v/>
      </c>
      <c r="D257" s="8" t="str">
        <f>IF(ISNUMBER('Change in Employment'!G264),'Change in Employment'!G264,"")</f>
        <v/>
      </c>
    </row>
    <row r="258" spans="1:4">
      <c r="A258" t="str">
        <f>TEXT(IF('Change in Employment'!B265&lt;&gt;0,DATE(YEAR('Change in Employment'!B265), MONTH('Change in Employment'!B265), 1), ""), "mm/dd/yyyy")</f>
        <v/>
      </c>
      <c r="B258" s="8" t="str">
        <f>IF(ISNUMBER('Change in Employment'!I265), TEXT('Change in Employment'!I265, "0"), "")</f>
        <v/>
      </c>
      <c r="C258" s="8" t="str">
        <f>IF(ISNUMBER('Change in Employment'!J265),TEXT('Change in Employment'!J265, "0"),"")</f>
        <v/>
      </c>
      <c r="D258" s="8" t="str">
        <f>IF(ISNUMBER('Change in Employment'!G265),'Change in Employment'!G265,"")</f>
        <v/>
      </c>
    </row>
    <row r="259" spans="1:4">
      <c r="A259" t="str">
        <f>TEXT(IF('Change in Employment'!B266&lt;&gt;0,DATE(YEAR('Change in Employment'!B266), MONTH('Change in Employment'!B266), 1), ""), "mm/dd/yyyy")</f>
        <v/>
      </c>
      <c r="B259" s="8" t="str">
        <f>IF(ISNUMBER('Change in Employment'!I266), TEXT('Change in Employment'!I266, "0"), "")</f>
        <v/>
      </c>
      <c r="C259" s="8" t="str">
        <f>IF(ISNUMBER('Change in Employment'!J266),TEXT('Change in Employment'!J266, "0"),"")</f>
        <v/>
      </c>
      <c r="D259" s="8" t="str">
        <f>IF(ISNUMBER('Change in Employment'!G266),'Change in Employment'!G266,"")</f>
        <v/>
      </c>
    </row>
    <row r="260" spans="1:4">
      <c r="A260" t="str">
        <f>TEXT(IF('Change in Employment'!B267&lt;&gt;0,DATE(YEAR('Change in Employment'!B267), MONTH('Change in Employment'!B267), 1), ""), "mm/dd/yyyy")</f>
        <v/>
      </c>
      <c r="B260" s="8" t="str">
        <f>IF(ISNUMBER('Change in Employment'!I267), TEXT('Change in Employment'!I267, "0"), "")</f>
        <v/>
      </c>
      <c r="C260" s="8" t="str">
        <f>IF(ISNUMBER('Change in Employment'!J267),TEXT('Change in Employment'!J267, "0"),"")</f>
        <v/>
      </c>
      <c r="D260" s="8" t="str">
        <f>IF(ISNUMBER('Change in Employment'!G267),'Change in Employment'!G267,"")</f>
        <v/>
      </c>
    </row>
    <row r="261" spans="1:4">
      <c r="A261" t="str">
        <f>TEXT(IF('Change in Employment'!B268&lt;&gt;0,DATE(YEAR('Change in Employment'!B268), MONTH('Change in Employment'!B268), 1), ""), "mm/dd/yyyy")</f>
        <v/>
      </c>
      <c r="B261" s="8" t="str">
        <f>IF(ISNUMBER('Change in Employment'!I268), TEXT('Change in Employment'!I268, "0"), "")</f>
        <v/>
      </c>
      <c r="C261" s="8" t="str">
        <f>IF(ISNUMBER('Change in Employment'!J268),TEXT('Change in Employment'!J268, "0"),"")</f>
        <v/>
      </c>
      <c r="D261" s="8" t="str">
        <f>IF(ISNUMBER('Change in Employment'!G268),'Change in Employment'!G268,"")</f>
        <v/>
      </c>
    </row>
    <row r="262" spans="1:4">
      <c r="A262" t="str">
        <f>TEXT(IF('Change in Employment'!B269&lt;&gt;0,DATE(YEAR('Change in Employment'!B269), MONTH('Change in Employment'!B269), 1), ""), "mm/dd/yyyy")</f>
        <v/>
      </c>
      <c r="B262" s="8" t="str">
        <f>IF(ISNUMBER('Change in Employment'!I269), TEXT('Change in Employment'!I269, "0"), "")</f>
        <v/>
      </c>
      <c r="C262" s="8" t="str">
        <f>IF(ISNUMBER('Change in Employment'!J269),TEXT('Change in Employment'!J269, "0"),"")</f>
        <v/>
      </c>
      <c r="D262" s="8" t="str">
        <f>IF(ISNUMBER('Change in Employment'!G269),'Change in Employment'!G269,"")</f>
        <v/>
      </c>
    </row>
    <row r="263" spans="1:4">
      <c r="A263" t="str">
        <f>TEXT(IF('Change in Employment'!B270&lt;&gt;0,DATE(YEAR('Change in Employment'!B270), MONTH('Change in Employment'!B270), 1), ""), "mm/dd/yyyy")</f>
        <v/>
      </c>
      <c r="B263" s="8" t="str">
        <f>IF(ISNUMBER('Change in Employment'!I270), TEXT('Change in Employment'!I270, "0"), "")</f>
        <v/>
      </c>
      <c r="C263" s="8" t="str">
        <f>IF(ISNUMBER('Change in Employment'!J270),TEXT('Change in Employment'!J270, "0"),"")</f>
        <v/>
      </c>
      <c r="D263" s="8" t="str">
        <f>IF(ISNUMBER('Change in Employment'!G270),'Change in Employment'!G270,"")</f>
        <v/>
      </c>
    </row>
    <row r="264" spans="1:4">
      <c r="A264" t="str">
        <f>TEXT(IF('Change in Employment'!B271&lt;&gt;0,DATE(YEAR('Change in Employment'!B271), MONTH('Change in Employment'!B271), 1), ""), "mm/dd/yyyy")</f>
        <v/>
      </c>
      <c r="B264" s="8" t="str">
        <f>IF(ISNUMBER('Change in Employment'!I271), TEXT('Change in Employment'!I271, "0"), "")</f>
        <v/>
      </c>
      <c r="C264" s="8" t="str">
        <f>IF(ISNUMBER('Change in Employment'!J271),TEXT('Change in Employment'!J271, "0"),"")</f>
        <v/>
      </c>
      <c r="D264" s="8" t="str">
        <f>IF(ISNUMBER('Change in Employment'!G271),'Change in Employment'!G271,"")</f>
        <v/>
      </c>
    </row>
    <row r="265" spans="1:4">
      <c r="A265" t="str">
        <f>TEXT(IF('Change in Employment'!B272&lt;&gt;0,DATE(YEAR('Change in Employment'!B272), MONTH('Change in Employment'!B272), 1), ""), "mm/dd/yyyy")</f>
        <v/>
      </c>
      <c r="B265" s="8" t="str">
        <f>IF(ISNUMBER('Change in Employment'!I272), TEXT('Change in Employment'!I272, "0"), "")</f>
        <v/>
      </c>
      <c r="C265" s="8" t="str">
        <f>IF(ISNUMBER('Change in Employment'!J272),TEXT('Change in Employment'!J272, "0"),"")</f>
        <v/>
      </c>
      <c r="D265" s="8" t="str">
        <f>IF(ISNUMBER('Change in Employment'!G272),'Change in Employment'!G272,"")</f>
        <v/>
      </c>
    </row>
    <row r="266" spans="1:4">
      <c r="A266" t="str">
        <f>TEXT(IF('Change in Employment'!B273&lt;&gt;0,DATE(YEAR('Change in Employment'!B273), MONTH('Change in Employment'!B273), 1), ""), "mm/dd/yyyy")</f>
        <v/>
      </c>
      <c r="B266" s="8" t="str">
        <f>IF(ISNUMBER('Change in Employment'!I273), TEXT('Change in Employment'!I273, "0"), "")</f>
        <v/>
      </c>
      <c r="C266" s="8" t="str">
        <f>IF(ISNUMBER('Change in Employment'!J273),TEXT('Change in Employment'!J273, "0"),"")</f>
        <v/>
      </c>
      <c r="D266" s="8" t="str">
        <f>IF(ISNUMBER('Change in Employment'!G273),'Change in Employment'!G273,"")</f>
        <v/>
      </c>
    </row>
    <row r="267" spans="1:4">
      <c r="A267" t="str">
        <f>TEXT(IF('Change in Employment'!B274&lt;&gt;0,DATE(YEAR('Change in Employment'!B274), MONTH('Change in Employment'!B274), 1), ""), "mm/dd/yyyy")</f>
        <v/>
      </c>
      <c r="B267" s="8" t="str">
        <f>IF(ISNUMBER('Change in Employment'!I274), TEXT('Change in Employment'!I274, "0"), "")</f>
        <v/>
      </c>
      <c r="C267" s="8" t="str">
        <f>IF(ISNUMBER('Change in Employment'!J274),TEXT('Change in Employment'!J274, "0"),"")</f>
        <v/>
      </c>
      <c r="D267" s="8" t="str">
        <f>IF(ISNUMBER('Change in Employment'!G274),'Change in Employment'!G274,"")</f>
        <v/>
      </c>
    </row>
    <row r="268" spans="1:4">
      <c r="A268" t="str">
        <f>TEXT(IF('Change in Employment'!B275&lt;&gt;0,DATE(YEAR('Change in Employment'!B275), MONTH('Change in Employment'!B275), 1), ""), "mm/dd/yyyy")</f>
        <v/>
      </c>
      <c r="B268" s="8" t="str">
        <f>IF(ISNUMBER('Change in Employment'!I275), TEXT('Change in Employment'!I275, "0"), "")</f>
        <v/>
      </c>
      <c r="C268" s="8" t="str">
        <f>IF(ISNUMBER('Change in Employment'!J275),TEXT('Change in Employment'!J275, "0"),"")</f>
        <v/>
      </c>
      <c r="D268" s="8" t="str">
        <f>IF(ISNUMBER('Change in Employment'!G275),'Change in Employment'!G275,"")</f>
        <v/>
      </c>
    </row>
    <row r="269" spans="1:4">
      <c r="A269" t="str">
        <f>TEXT(IF('Change in Employment'!B276&lt;&gt;0,DATE(YEAR('Change in Employment'!B276), MONTH('Change in Employment'!B276), 1), ""), "mm/dd/yyyy")</f>
        <v/>
      </c>
      <c r="B269" s="8" t="str">
        <f>IF(ISNUMBER('Change in Employment'!I276), TEXT('Change in Employment'!I276, "0"), "")</f>
        <v/>
      </c>
      <c r="C269" s="8" t="str">
        <f>IF(ISNUMBER('Change in Employment'!J276),TEXT('Change in Employment'!J276, "0"),"")</f>
        <v/>
      </c>
      <c r="D269" s="8" t="str">
        <f>IF(ISNUMBER('Change in Employment'!G276),'Change in Employment'!G276,"")</f>
        <v/>
      </c>
    </row>
    <row r="270" spans="1:4">
      <c r="A270" t="str">
        <f>TEXT(IF('Change in Employment'!B277&lt;&gt;0,DATE(YEAR('Change in Employment'!B277), MONTH('Change in Employment'!B277), 1), ""), "mm/dd/yyyy")</f>
        <v/>
      </c>
      <c r="B270" s="8" t="str">
        <f>IF(ISNUMBER('Change in Employment'!I277), TEXT('Change in Employment'!I277, "0"), "")</f>
        <v/>
      </c>
      <c r="C270" s="8" t="str">
        <f>IF(ISNUMBER('Change in Employment'!J277),TEXT('Change in Employment'!J277, "0"),"")</f>
        <v/>
      </c>
      <c r="D270" s="8" t="str">
        <f>IF(ISNUMBER('Change in Employment'!G277),'Change in Employment'!G277,"")</f>
        <v/>
      </c>
    </row>
    <row r="271" spans="1:4">
      <c r="A271" t="str">
        <f>TEXT(IF('Change in Employment'!B278&lt;&gt;0,DATE(YEAR('Change in Employment'!B278), MONTH('Change in Employment'!B278), 1), ""), "mm/dd/yyyy")</f>
        <v/>
      </c>
      <c r="B271" s="8" t="str">
        <f>IF(ISNUMBER('Change in Employment'!I278), TEXT('Change in Employment'!I278, "0"), "")</f>
        <v/>
      </c>
      <c r="C271" s="8" t="str">
        <f>IF(ISNUMBER('Change in Employment'!J278),TEXT('Change in Employment'!J278, "0"),"")</f>
        <v/>
      </c>
      <c r="D271" s="8" t="str">
        <f>IF(ISNUMBER('Change in Employment'!G278),'Change in Employment'!G278,"")</f>
        <v/>
      </c>
    </row>
    <row r="272" spans="1:4">
      <c r="A272" t="str">
        <f>TEXT(IF('Change in Employment'!B279&lt;&gt;0,DATE(YEAR('Change in Employment'!B279), MONTH('Change in Employment'!B279), 1), ""), "mm/dd/yyyy")</f>
        <v/>
      </c>
      <c r="B272" s="8" t="str">
        <f>IF(ISNUMBER('Change in Employment'!I279), TEXT('Change in Employment'!I279, "0"), "")</f>
        <v/>
      </c>
      <c r="C272" s="8" t="str">
        <f>IF(ISNUMBER('Change in Employment'!J279),TEXT('Change in Employment'!J279, "0"),"")</f>
        <v/>
      </c>
      <c r="D272" s="8" t="str">
        <f>IF(ISNUMBER('Change in Employment'!G279),'Change in Employment'!G279,"")</f>
        <v/>
      </c>
    </row>
    <row r="273" spans="1:4">
      <c r="A273" t="str">
        <f>TEXT(IF('Change in Employment'!B280&lt;&gt;0,DATE(YEAR('Change in Employment'!B280), MONTH('Change in Employment'!B280), 1), ""), "mm/dd/yyyy")</f>
        <v/>
      </c>
      <c r="B273" s="8" t="str">
        <f>IF(ISNUMBER('Change in Employment'!I280), TEXT('Change in Employment'!I280, "0"), "")</f>
        <v/>
      </c>
      <c r="C273" s="8" t="str">
        <f>IF(ISNUMBER('Change in Employment'!J280),TEXT('Change in Employment'!J280, "0"),"")</f>
        <v/>
      </c>
      <c r="D273" s="8" t="str">
        <f>IF(ISNUMBER('Change in Employment'!G280),'Change in Employment'!G280,"")</f>
        <v/>
      </c>
    </row>
    <row r="274" spans="1:4">
      <c r="A274" t="str">
        <f>TEXT(IF('Change in Employment'!B281&lt;&gt;0,DATE(YEAR('Change in Employment'!B281), MONTH('Change in Employment'!B281), 1), ""), "mm/dd/yyyy")</f>
        <v/>
      </c>
      <c r="B274" s="8" t="str">
        <f>IF(ISNUMBER('Change in Employment'!I281), TEXT('Change in Employment'!I281, "0"), "")</f>
        <v/>
      </c>
      <c r="C274" s="8" t="str">
        <f>IF(ISNUMBER('Change in Employment'!J281),TEXT('Change in Employment'!J281, "0"),"")</f>
        <v/>
      </c>
      <c r="D274" s="8" t="str">
        <f>IF(ISNUMBER('Change in Employment'!G281),'Change in Employment'!G281,"")</f>
        <v/>
      </c>
    </row>
    <row r="275" spans="1:4">
      <c r="A275" t="str">
        <f>TEXT(IF('Change in Employment'!B282&lt;&gt;0,DATE(YEAR('Change in Employment'!B282), MONTH('Change in Employment'!B282), 1), ""), "mm/dd/yyyy")</f>
        <v/>
      </c>
      <c r="B275" s="8" t="str">
        <f>IF(ISNUMBER('Change in Employment'!I282), TEXT('Change in Employment'!I282, "0"), "")</f>
        <v/>
      </c>
      <c r="C275" s="8" t="str">
        <f>IF(ISNUMBER('Change in Employment'!J282),TEXT('Change in Employment'!J282, "0"),"")</f>
        <v/>
      </c>
      <c r="D275" s="8" t="str">
        <f>IF(ISNUMBER('Change in Employment'!G282),'Change in Employment'!G282,"")</f>
        <v/>
      </c>
    </row>
    <row r="276" spans="1:4">
      <c r="A276" t="str">
        <f>TEXT(IF('Change in Employment'!B283&lt;&gt;0,DATE(YEAR('Change in Employment'!B283), MONTH('Change in Employment'!B283), 1), ""), "mm/dd/yyyy")</f>
        <v/>
      </c>
      <c r="B276" s="8" t="str">
        <f>IF(ISNUMBER('Change in Employment'!I283), TEXT('Change in Employment'!I283, "0"), "")</f>
        <v/>
      </c>
      <c r="C276" s="8" t="str">
        <f>IF(ISNUMBER('Change in Employment'!J283),TEXT('Change in Employment'!J283, "0"),"")</f>
        <v/>
      </c>
      <c r="D276" s="8" t="str">
        <f>IF(ISNUMBER('Change in Employment'!G283),'Change in Employment'!G283,"")</f>
        <v/>
      </c>
    </row>
    <row r="277" spans="1:4">
      <c r="A277" t="str">
        <f>TEXT(IF('Change in Employment'!B284&lt;&gt;0,DATE(YEAR('Change in Employment'!B284), MONTH('Change in Employment'!B284), 1), ""), "mm/dd/yyyy")</f>
        <v/>
      </c>
      <c r="B277" s="8" t="str">
        <f>IF(ISNUMBER('Change in Employment'!I284), TEXT('Change in Employment'!I284, "0"), "")</f>
        <v/>
      </c>
      <c r="C277" s="8" t="str">
        <f>IF(ISNUMBER('Change in Employment'!J284),TEXT('Change in Employment'!J284, "0"),"")</f>
        <v/>
      </c>
      <c r="D277" s="8" t="str">
        <f>IF(ISNUMBER('Change in Employment'!G284),'Change in Employment'!G284,"")</f>
        <v/>
      </c>
    </row>
    <row r="278" spans="1:4">
      <c r="A278" t="str">
        <f>TEXT(IF('Change in Employment'!B285&lt;&gt;0,DATE(YEAR('Change in Employment'!B285), MONTH('Change in Employment'!B285), 1), ""), "mm/dd/yyyy")</f>
        <v/>
      </c>
      <c r="B278" s="8" t="str">
        <f>IF(ISNUMBER('Change in Employment'!I285), TEXT('Change in Employment'!I285, "0"), "")</f>
        <v/>
      </c>
      <c r="C278" s="8" t="str">
        <f>IF(ISNUMBER('Change in Employment'!J285),TEXT('Change in Employment'!J285, "0"),"")</f>
        <v/>
      </c>
      <c r="D278" s="8" t="str">
        <f>IF(ISNUMBER('Change in Employment'!G285),'Change in Employment'!G285,"")</f>
        <v/>
      </c>
    </row>
    <row r="279" spans="1:4">
      <c r="A279" t="str">
        <f>TEXT(IF('Change in Employment'!B286&lt;&gt;0,DATE(YEAR('Change in Employment'!B286), MONTH('Change in Employment'!B286), 1), ""), "mm/dd/yyyy")</f>
        <v/>
      </c>
      <c r="B279" s="8" t="str">
        <f>IF(ISNUMBER('Change in Employment'!I286), TEXT('Change in Employment'!I286, "0"), "")</f>
        <v/>
      </c>
      <c r="C279" s="8" t="str">
        <f>IF(ISNUMBER('Change in Employment'!J286),TEXT('Change in Employment'!J286, "0"),"")</f>
        <v/>
      </c>
      <c r="D279" s="8" t="str">
        <f>IF(ISNUMBER('Change in Employment'!G286),'Change in Employment'!G286,"")</f>
        <v/>
      </c>
    </row>
    <row r="280" spans="1:4">
      <c r="A280" t="str">
        <f>TEXT(IF('Change in Employment'!B287&lt;&gt;0,DATE(YEAR('Change in Employment'!B287), MONTH('Change in Employment'!B287), 1), ""), "mm/dd/yyyy")</f>
        <v/>
      </c>
      <c r="B280" s="8" t="str">
        <f>IF(ISNUMBER('Change in Employment'!I287), TEXT('Change in Employment'!I287, "0"), "")</f>
        <v/>
      </c>
      <c r="C280" s="8" t="str">
        <f>IF(ISNUMBER('Change in Employment'!J287),TEXT('Change in Employment'!J287, "0"),"")</f>
        <v/>
      </c>
      <c r="D280" s="8" t="str">
        <f>IF(ISNUMBER('Change in Employment'!G287),'Change in Employment'!G287,"")</f>
        <v/>
      </c>
    </row>
    <row r="281" spans="1:4">
      <c r="A281" t="str">
        <f>TEXT(IF('Change in Employment'!B288&lt;&gt;0,DATE(YEAR('Change in Employment'!B288), MONTH('Change in Employment'!B288), 1), ""), "mm/dd/yyyy")</f>
        <v/>
      </c>
      <c r="B281" s="8" t="str">
        <f>IF(ISNUMBER('Change in Employment'!I288), TEXT('Change in Employment'!I288, "0"), "")</f>
        <v/>
      </c>
      <c r="C281" s="8" t="str">
        <f>IF(ISNUMBER('Change in Employment'!J288),TEXT('Change in Employment'!J288, "0"),"")</f>
        <v/>
      </c>
      <c r="D281" s="8" t="str">
        <f>IF(ISNUMBER('Change in Employment'!G288),'Change in Employment'!G288,"")</f>
        <v/>
      </c>
    </row>
    <row r="282" spans="1:4">
      <c r="A282" t="str">
        <f>TEXT(IF('Change in Employment'!B289&lt;&gt;0,DATE(YEAR('Change in Employment'!B289), MONTH('Change in Employment'!B289), 1), ""), "mm/dd/yyyy")</f>
        <v/>
      </c>
      <c r="B282" s="8" t="str">
        <f>IF(ISNUMBER('Change in Employment'!I289), TEXT('Change in Employment'!I289, "0"), "")</f>
        <v/>
      </c>
      <c r="C282" s="8" t="str">
        <f>IF(ISNUMBER('Change in Employment'!J289),TEXT('Change in Employment'!J289, "0"),"")</f>
        <v/>
      </c>
      <c r="D282" s="8" t="str">
        <f>IF(ISNUMBER('Change in Employment'!G289),'Change in Employment'!G289,"")</f>
        <v/>
      </c>
    </row>
    <row r="283" spans="1:4">
      <c r="A283" t="str">
        <f>TEXT(IF('Change in Employment'!B290&lt;&gt;0,DATE(YEAR('Change in Employment'!B290), MONTH('Change in Employment'!B290), 1), ""), "mm/dd/yyyy")</f>
        <v/>
      </c>
      <c r="B283" s="8" t="str">
        <f>IF(ISNUMBER('Change in Employment'!I290), TEXT('Change in Employment'!I290, "0"), "")</f>
        <v/>
      </c>
      <c r="C283" s="8" t="str">
        <f>IF(ISNUMBER('Change in Employment'!J290),TEXT('Change in Employment'!J290, "0"),"")</f>
        <v/>
      </c>
      <c r="D283" s="8" t="str">
        <f>IF(ISNUMBER('Change in Employment'!G290),'Change in Employment'!G290,"")</f>
        <v/>
      </c>
    </row>
    <row r="284" spans="1:4">
      <c r="A284" t="str">
        <f>TEXT(IF('Change in Employment'!B291&lt;&gt;0,DATE(YEAR('Change in Employment'!B291), MONTH('Change in Employment'!B291), 1), ""), "mm/dd/yyyy")</f>
        <v/>
      </c>
      <c r="B284" s="8" t="str">
        <f>IF(ISNUMBER('Change in Employment'!I291), TEXT('Change in Employment'!I291, "0"), "")</f>
        <v/>
      </c>
      <c r="C284" s="8" t="str">
        <f>IF(ISNUMBER('Change in Employment'!J291),TEXT('Change in Employment'!J291, "0"),"")</f>
        <v/>
      </c>
      <c r="D284" s="8" t="str">
        <f>IF(ISNUMBER('Change in Employment'!G291),'Change in Employment'!G291,"")</f>
        <v/>
      </c>
    </row>
    <row r="285" spans="1:4">
      <c r="A285" t="str">
        <f>TEXT(IF('Change in Employment'!B292&lt;&gt;0,DATE(YEAR('Change in Employment'!B292), MONTH('Change in Employment'!B292), 1), ""), "mm/dd/yyyy")</f>
        <v/>
      </c>
      <c r="B285" s="8" t="str">
        <f>IF(ISNUMBER('Change in Employment'!I292), TEXT('Change in Employment'!I292, "0"), "")</f>
        <v/>
      </c>
      <c r="C285" s="8" t="str">
        <f>IF(ISNUMBER('Change in Employment'!J292),TEXT('Change in Employment'!J292, "0"),"")</f>
        <v/>
      </c>
      <c r="D285" s="8" t="str">
        <f>IF(ISNUMBER('Change in Employment'!G292),'Change in Employment'!G292,"")</f>
        <v/>
      </c>
    </row>
    <row r="286" spans="1:4">
      <c r="A286" t="str">
        <f>TEXT(IF('Change in Employment'!B293&lt;&gt;0,DATE(YEAR('Change in Employment'!B293), MONTH('Change in Employment'!B293), 1), ""), "mm/dd/yyyy")</f>
        <v/>
      </c>
      <c r="B286" s="8" t="str">
        <f>IF(ISNUMBER('Change in Employment'!I293), TEXT('Change in Employment'!I293, "0"), "")</f>
        <v/>
      </c>
      <c r="C286" s="8" t="str">
        <f>IF(ISNUMBER('Change in Employment'!J293),TEXT('Change in Employment'!J293, "0"),"")</f>
        <v/>
      </c>
      <c r="D286" s="8" t="str">
        <f>IF(ISNUMBER('Change in Employment'!G293),'Change in Employment'!G293,"")</f>
        <v/>
      </c>
    </row>
    <row r="287" spans="1:4">
      <c r="A287" t="str">
        <f>TEXT(IF('Change in Employment'!B294&lt;&gt;0,DATE(YEAR('Change in Employment'!B294), MONTH('Change in Employment'!B294), 1), ""), "mm/dd/yyyy")</f>
        <v/>
      </c>
      <c r="B287" s="8" t="str">
        <f>IF(ISNUMBER('Change in Employment'!I294), TEXT('Change in Employment'!I294, "0"), "")</f>
        <v/>
      </c>
      <c r="C287" s="8" t="str">
        <f>IF(ISNUMBER('Change in Employment'!J294),TEXT('Change in Employment'!J294, "0"),"")</f>
        <v/>
      </c>
      <c r="D287" s="8" t="str">
        <f>IF(ISNUMBER('Change in Employment'!G294),'Change in Employment'!G294,"")</f>
        <v/>
      </c>
    </row>
    <row r="288" spans="1:4">
      <c r="A288" t="str">
        <f>TEXT(IF('Change in Employment'!B295&lt;&gt;0,DATE(YEAR('Change in Employment'!B295), MONTH('Change in Employment'!B295), 1), ""), "mm/dd/yyyy")</f>
        <v/>
      </c>
      <c r="B288" s="8" t="str">
        <f>IF(ISNUMBER('Change in Employment'!I295), TEXT('Change in Employment'!I295, "0"), "")</f>
        <v/>
      </c>
      <c r="C288" s="8" t="str">
        <f>IF(ISNUMBER('Change in Employment'!J295),TEXT('Change in Employment'!J295, "0"),"")</f>
        <v/>
      </c>
      <c r="D288" s="8" t="str">
        <f>IF(ISNUMBER('Change in Employment'!G295),'Change in Employment'!G295,"")</f>
        <v/>
      </c>
    </row>
    <row r="289" spans="1:4">
      <c r="A289" t="str">
        <f>TEXT(IF('Change in Employment'!B296&lt;&gt;0,DATE(YEAR('Change in Employment'!B296), MONTH('Change in Employment'!B296), 1), ""), "mm/dd/yyyy")</f>
        <v/>
      </c>
      <c r="B289" s="8" t="str">
        <f>IF(ISNUMBER('Change in Employment'!I296), TEXT('Change in Employment'!I296, "0"), "")</f>
        <v/>
      </c>
      <c r="C289" s="8" t="str">
        <f>IF(ISNUMBER('Change in Employment'!J296),TEXT('Change in Employment'!J296, "0"),"")</f>
        <v/>
      </c>
      <c r="D289" s="8" t="str">
        <f>IF(ISNUMBER('Change in Employment'!G296),'Change in Employment'!G296,"")</f>
        <v/>
      </c>
    </row>
    <row r="290" spans="1:4">
      <c r="A290" t="str">
        <f>TEXT(IF('Change in Employment'!B297&lt;&gt;0,DATE(YEAR('Change in Employment'!B297), MONTH('Change in Employment'!B297), 1), ""), "mm/dd/yyyy")</f>
        <v/>
      </c>
      <c r="B290" s="8" t="str">
        <f>IF(ISNUMBER('Change in Employment'!I297), TEXT('Change in Employment'!I297, "0"), "")</f>
        <v/>
      </c>
      <c r="C290" s="8" t="str">
        <f>IF(ISNUMBER('Change in Employment'!J297),TEXT('Change in Employment'!J297, "0"),"")</f>
        <v/>
      </c>
      <c r="D290" s="8" t="str">
        <f>IF(ISNUMBER('Change in Employment'!G297),'Change in Employment'!G297,"")</f>
        <v/>
      </c>
    </row>
    <row r="291" spans="1:4">
      <c r="A291" t="str">
        <f>TEXT(IF('Change in Employment'!B298&lt;&gt;0,DATE(YEAR('Change in Employment'!B298), MONTH('Change in Employment'!B298), 1), ""), "mm/dd/yyyy")</f>
        <v/>
      </c>
      <c r="B291" s="8" t="str">
        <f>IF(ISNUMBER('Change in Employment'!I298), TEXT('Change in Employment'!I298, "0"), "")</f>
        <v/>
      </c>
      <c r="C291" s="8" t="str">
        <f>IF(ISNUMBER('Change in Employment'!J298),TEXT('Change in Employment'!J298, "0"),"")</f>
        <v/>
      </c>
      <c r="D291" s="8" t="str">
        <f>IF(ISNUMBER('Change in Employment'!G298),'Change in Employment'!G298,"")</f>
        <v/>
      </c>
    </row>
    <row r="292" spans="1:4">
      <c r="A292" t="str">
        <f>TEXT(IF('Change in Employment'!B299&lt;&gt;0,DATE(YEAR('Change in Employment'!B299), MONTH('Change in Employment'!B299), 1), ""), "mm/dd/yyyy")</f>
        <v/>
      </c>
      <c r="B292" s="8" t="str">
        <f>IF(ISNUMBER('Change in Employment'!I299), TEXT('Change in Employment'!I299, "0"), "")</f>
        <v/>
      </c>
      <c r="C292" s="8" t="str">
        <f>IF(ISNUMBER('Change in Employment'!J299),TEXT('Change in Employment'!J299, "0"),"")</f>
        <v/>
      </c>
      <c r="D292" s="8" t="str">
        <f>IF(ISNUMBER('Change in Employment'!G299),'Change in Employment'!G299,"")</f>
        <v/>
      </c>
    </row>
    <row r="293" spans="1:4">
      <c r="A293" t="str">
        <f>TEXT(IF('Change in Employment'!B300&lt;&gt;0,DATE(YEAR('Change in Employment'!B300), MONTH('Change in Employment'!B300), 1), ""), "mm/dd/yyyy")</f>
        <v/>
      </c>
      <c r="B293" s="8" t="str">
        <f>IF(ISNUMBER('Change in Employment'!I300), TEXT('Change in Employment'!I300, "0"), "")</f>
        <v/>
      </c>
      <c r="C293" s="8" t="str">
        <f>IF(ISNUMBER('Change in Employment'!J300),TEXT('Change in Employment'!J300, "0"),"")</f>
        <v/>
      </c>
      <c r="D293" s="8" t="str">
        <f>IF(ISNUMBER('Change in Employment'!G300),'Change in Employment'!G300,"")</f>
        <v/>
      </c>
    </row>
    <row r="294" spans="1:4">
      <c r="A294" t="str">
        <f>TEXT(IF('Change in Employment'!B301&lt;&gt;0,DATE(YEAR('Change in Employment'!B301), MONTH('Change in Employment'!B301), 1), ""), "mm/dd/yyyy")</f>
        <v/>
      </c>
      <c r="B294" s="8" t="str">
        <f>IF(ISNUMBER('Change in Employment'!I301), TEXT('Change in Employment'!I301, "0"), "")</f>
        <v/>
      </c>
      <c r="C294" s="8" t="str">
        <f>IF(ISNUMBER('Change in Employment'!J301),TEXT('Change in Employment'!J301, "0"),"")</f>
        <v/>
      </c>
      <c r="D294" s="8" t="str">
        <f>IF(ISNUMBER('Change in Employment'!G301),'Change in Employment'!G301,"")</f>
        <v/>
      </c>
    </row>
    <row r="295" spans="1:4">
      <c r="A295" t="str">
        <f>TEXT(IF('Change in Employment'!B302&lt;&gt;0,DATE(YEAR('Change in Employment'!B302), MONTH('Change in Employment'!B302), 1), ""), "mm/dd/yyyy")</f>
        <v/>
      </c>
      <c r="B295" s="8" t="str">
        <f>IF(ISNUMBER('Change in Employment'!I302), TEXT('Change in Employment'!I302, "0"), "")</f>
        <v/>
      </c>
      <c r="C295" s="8" t="str">
        <f>IF(ISNUMBER('Change in Employment'!J302),TEXT('Change in Employment'!J302, "0"),"")</f>
        <v/>
      </c>
      <c r="D295" s="8" t="str">
        <f>IF(ISNUMBER('Change in Employment'!G302),'Change in Employment'!G302,"")</f>
        <v/>
      </c>
    </row>
    <row r="296" spans="1:4">
      <c r="A296" t="str">
        <f>TEXT(IF('Change in Employment'!B303&lt;&gt;0,DATE(YEAR('Change in Employment'!B303), MONTH('Change in Employment'!B303), 1), ""), "mm/dd/yyyy")</f>
        <v/>
      </c>
      <c r="B296" s="8" t="str">
        <f>IF(ISNUMBER('Change in Employment'!I303), TEXT('Change in Employment'!I303, "0"), "")</f>
        <v/>
      </c>
      <c r="C296" s="8" t="str">
        <f>IF(ISNUMBER('Change in Employment'!J303),TEXT('Change in Employment'!J303, "0"),"")</f>
        <v/>
      </c>
      <c r="D296" s="8" t="str">
        <f>IF(ISNUMBER('Change in Employment'!G303),'Change in Employment'!G303,"")</f>
        <v/>
      </c>
    </row>
    <row r="297" spans="1:4">
      <c r="A297" t="str">
        <f>TEXT(IF('Change in Employment'!B304&lt;&gt;0,DATE(YEAR('Change in Employment'!B304), MONTH('Change in Employment'!B304), 1), ""), "mm/dd/yyyy")</f>
        <v/>
      </c>
      <c r="B297" s="8" t="str">
        <f>IF(ISNUMBER('Change in Employment'!I304), TEXT('Change in Employment'!I304, "0"), "")</f>
        <v/>
      </c>
      <c r="C297" s="8" t="str">
        <f>IF(ISNUMBER('Change in Employment'!J304),TEXT('Change in Employment'!J304, "0"),"")</f>
        <v/>
      </c>
      <c r="D297" s="8" t="str">
        <f>IF(ISNUMBER('Change in Employment'!G304),'Change in Employment'!G304,"")</f>
        <v/>
      </c>
    </row>
    <row r="298" spans="1:4">
      <c r="A298" t="str">
        <f>TEXT(IF('Change in Employment'!B305&lt;&gt;0,DATE(YEAR('Change in Employment'!B305), MONTH('Change in Employment'!B305), 1), ""), "mm/dd/yyyy")</f>
        <v/>
      </c>
      <c r="B298" s="8" t="str">
        <f>IF(ISNUMBER('Change in Employment'!I305), TEXT('Change in Employment'!I305, "0"), "")</f>
        <v/>
      </c>
      <c r="C298" s="8" t="str">
        <f>IF(ISNUMBER('Change in Employment'!J305),TEXT('Change in Employment'!J305, "0"),"")</f>
        <v/>
      </c>
      <c r="D298" s="8" t="str">
        <f>IF(ISNUMBER('Change in Employment'!G305),'Change in Employment'!G305,"")</f>
        <v/>
      </c>
    </row>
    <row r="299" spans="1:4">
      <c r="A299" t="str">
        <f>TEXT(IF('Change in Employment'!B306&lt;&gt;0,DATE(YEAR('Change in Employment'!B306), MONTH('Change in Employment'!B306), 1), ""), "mm/dd/yyyy")</f>
        <v/>
      </c>
      <c r="B299" s="8" t="str">
        <f>IF(ISNUMBER('Change in Employment'!I306), TEXT('Change in Employment'!I306, "0"), "")</f>
        <v/>
      </c>
      <c r="C299" s="8" t="str">
        <f>IF(ISNUMBER('Change in Employment'!J306),TEXT('Change in Employment'!J306, "0"),"")</f>
        <v/>
      </c>
      <c r="D299" s="8" t="str">
        <f>IF(ISNUMBER('Change in Employment'!G306),'Change in Employment'!G306,"")</f>
        <v/>
      </c>
    </row>
    <row r="300" spans="1:4">
      <c r="A300" t="str">
        <f>TEXT(IF('Change in Employment'!B307&lt;&gt;0,DATE(YEAR('Change in Employment'!B307), MONTH('Change in Employment'!B307), 1), ""), "mm/dd/yyyy")</f>
        <v/>
      </c>
      <c r="B300" s="8" t="str">
        <f>IF(ISNUMBER('Change in Employment'!I307), TEXT('Change in Employment'!I307, "0"), "")</f>
        <v/>
      </c>
      <c r="C300" s="8" t="str">
        <f>IF(ISNUMBER('Change in Employment'!J307),TEXT('Change in Employment'!J307, "0"),"")</f>
        <v/>
      </c>
      <c r="D300" s="8" t="str">
        <f>IF(ISNUMBER('Change in Employment'!G307),'Change in Employment'!G307,"")</f>
        <v/>
      </c>
    </row>
    <row r="301" spans="1:4">
      <c r="A301" t="str">
        <f>TEXT(IF('Change in Employment'!B308&lt;&gt;0,DATE(YEAR('Change in Employment'!B308), MONTH('Change in Employment'!B308), 1), ""), "mm/dd/yyyy")</f>
        <v/>
      </c>
      <c r="B301" s="8" t="str">
        <f>IF(ISNUMBER('Change in Employment'!I308), TEXT('Change in Employment'!I308, "0"), "")</f>
        <v/>
      </c>
      <c r="C301" s="8" t="str">
        <f>IF(ISNUMBER('Change in Employment'!J308),TEXT('Change in Employment'!J308, "0"),"")</f>
        <v/>
      </c>
      <c r="D301" s="8" t="str">
        <f>IF(ISNUMBER('Change in Employment'!G308),'Change in Employment'!G308,"")</f>
        <v/>
      </c>
    </row>
    <row r="302" spans="1:4">
      <c r="A302" t="str">
        <f>TEXT(IF('Change in Employment'!B309&lt;&gt;0,DATE(YEAR('Change in Employment'!B309), MONTH('Change in Employment'!B309), 1), ""), "mm/dd/yyyy")</f>
        <v/>
      </c>
      <c r="B302" s="8" t="str">
        <f>IF(ISNUMBER('Change in Employment'!I309), TEXT('Change in Employment'!I309, "0"), "")</f>
        <v/>
      </c>
      <c r="C302" s="8" t="str">
        <f>IF(ISNUMBER('Change in Employment'!J309),TEXT('Change in Employment'!J309, "0"),"")</f>
        <v/>
      </c>
      <c r="D302" s="8" t="str">
        <f>IF(ISNUMBER('Change in Employment'!G309),'Change in Employment'!G309,"")</f>
        <v/>
      </c>
    </row>
    <row r="303" spans="1:4">
      <c r="A303" t="str">
        <f>TEXT(IF('Change in Employment'!B310&lt;&gt;0,DATE(YEAR('Change in Employment'!B310), MONTH('Change in Employment'!B310), 1), ""), "mm/dd/yyyy")</f>
        <v/>
      </c>
      <c r="B303" s="8" t="str">
        <f>IF(ISNUMBER('Change in Employment'!I310), TEXT('Change in Employment'!I310, "0"), "")</f>
        <v/>
      </c>
      <c r="C303" s="8" t="str">
        <f>IF(ISNUMBER('Change in Employment'!J310),TEXT('Change in Employment'!J310, "0"),"")</f>
        <v/>
      </c>
      <c r="D303" s="8" t="str">
        <f>IF(ISNUMBER('Change in Employment'!G310),'Change in Employment'!G310,"")</f>
        <v/>
      </c>
    </row>
    <row r="304" spans="1:4">
      <c r="A304" t="str">
        <f>TEXT(IF('Change in Employment'!B311&lt;&gt;0,DATE(YEAR('Change in Employment'!B311), MONTH('Change in Employment'!B311), 1), ""), "mm/dd/yyyy")</f>
        <v/>
      </c>
      <c r="B304" s="8" t="str">
        <f>IF(ISNUMBER('Change in Employment'!I311), TEXT('Change in Employment'!I311, "0"), "")</f>
        <v/>
      </c>
      <c r="C304" s="8" t="str">
        <f>IF(ISNUMBER('Change in Employment'!J311),TEXT('Change in Employment'!J311, "0"),"")</f>
        <v/>
      </c>
      <c r="D304" s="8" t="str">
        <f>IF(ISNUMBER('Change in Employment'!G311),'Change in Employment'!G311,"")</f>
        <v/>
      </c>
    </row>
    <row r="305" spans="1:4">
      <c r="A305" t="str">
        <f>TEXT(IF('Change in Employment'!B312&lt;&gt;0,DATE(YEAR('Change in Employment'!B312), MONTH('Change in Employment'!B312), 1), ""), "mm/dd/yyyy")</f>
        <v/>
      </c>
      <c r="B305" s="8" t="str">
        <f>IF(ISNUMBER('Change in Employment'!I312), TEXT('Change in Employment'!I312, "0"), "")</f>
        <v/>
      </c>
      <c r="C305" s="8" t="str">
        <f>IF(ISNUMBER('Change in Employment'!J312),TEXT('Change in Employment'!J312, "0"),"")</f>
        <v/>
      </c>
      <c r="D305" s="8" t="str">
        <f>IF(ISNUMBER('Change in Employment'!G312),'Change in Employment'!G312,"")</f>
        <v/>
      </c>
    </row>
    <row r="306" spans="1:4">
      <c r="A306" t="str">
        <f>TEXT(IF('Change in Employment'!B313&lt;&gt;0,DATE(YEAR('Change in Employment'!B313), MONTH('Change in Employment'!B313), 1), ""), "mm/dd/yyyy")</f>
        <v/>
      </c>
      <c r="B306" s="8" t="str">
        <f>IF(ISNUMBER('Change in Employment'!I313), TEXT('Change in Employment'!I313, "0"), "")</f>
        <v/>
      </c>
      <c r="C306" s="8" t="str">
        <f>IF(ISNUMBER('Change in Employment'!J313),TEXT('Change in Employment'!J313, "0"),"")</f>
        <v/>
      </c>
      <c r="D306" s="8" t="str">
        <f>IF(ISNUMBER('Change in Employment'!G313),'Change in Employment'!G313,"")</f>
        <v/>
      </c>
    </row>
    <row r="307" spans="1:4">
      <c r="A307" t="str">
        <f>TEXT(IF('Change in Employment'!B314&lt;&gt;0,DATE(YEAR('Change in Employment'!B314), MONTH('Change in Employment'!B314), 1), ""), "mm/dd/yyyy")</f>
        <v/>
      </c>
      <c r="B307" s="8" t="str">
        <f>IF(ISNUMBER('Change in Employment'!I314), TEXT('Change in Employment'!I314, "0"), "")</f>
        <v/>
      </c>
      <c r="C307" s="8" t="str">
        <f>IF(ISNUMBER('Change in Employment'!J314),TEXT('Change in Employment'!J314, "0"),"")</f>
        <v/>
      </c>
      <c r="D307" s="8" t="str">
        <f>IF(ISNUMBER('Change in Employment'!G314),'Change in Employment'!G314,"")</f>
        <v/>
      </c>
    </row>
    <row r="308" spans="1:4">
      <c r="A308" t="str">
        <f>TEXT(IF('Change in Employment'!B315&lt;&gt;0,DATE(YEAR('Change in Employment'!B315), MONTH('Change in Employment'!B315), 1), ""), "mm/dd/yyyy")</f>
        <v/>
      </c>
      <c r="B308" s="8" t="str">
        <f>IF(ISNUMBER('Change in Employment'!I315), TEXT('Change in Employment'!I315, "0"), "")</f>
        <v/>
      </c>
      <c r="C308" s="8" t="str">
        <f>IF(ISNUMBER('Change in Employment'!J315),TEXT('Change in Employment'!J315, "0"),"")</f>
        <v/>
      </c>
      <c r="D308" s="8" t="str">
        <f>IF(ISNUMBER('Change in Employment'!G315),'Change in Employment'!G315,"")</f>
        <v/>
      </c>
    </row>
    <row r="309" spans="1:4">
      <c r="A309" t="str">
        <f>TEXT(IF('Change in Employment'!B316&lt;&gt;0,DATE(YEAR('Change in Employment'!B316), MONTH('Change in Employment'!B316), 1), ""), "mm/dd/yyyy")</f>
        <v/>
      </c>
      <c r="B309" s="8" t="str">
        <f>IF(ISNUMBER('Change in Employment'!I316), TEXT('Change in Employment'!I316, "0"), "")</f>
        <v/>
      </c>
      <c r="C309" s="8" t="str">
        <f>IF(ISNUMBER('Change in Employment'!J316),TEXT('Change in Employment'!J316, "0"),"")</f>
        <v/>
      </c>
      <c r="D309" s="8" t="str">
        <f>IF(ISNUMBER('Change in Employment'!G316),'Change in Employment'!G316,"")</f>
        <v/>
      </c>
    </row>
    <row r="310" spans="1:4">
      <c r="A310" t="str">
        <f>TEXT(IF('Change in Employment'!B317&lt;&gt;0,DATE(YEAR('Change in Employment'!B317), MONTH('Change in Employment'!B317), 1), ""), "mm/dd/yyyy")</f>
        <v/>
      </c>
      <c r="B310" s="8" t="str">
        <f>IF(ISNUMBER('Change in Employment'!I317), TEXT('Change in Employment'!I317, "0"), "")</f>
        <v/>
      </c>
      <c r="C310" s="8" t="str">
        <f>IF(ISNUMBER('Change in Employment'!J317),TEXT('Change in Employment'!J317, "0"),"")</f>
        <v/>
      </c>
      <c r="D310" s="8" t="str">
        <f>IF(ISNUMBER('Change in Employment'!G317),'Change in Employment'!G317,"")</f>
        <v/>
      </c>
    </row>
    <row r="311" spans="1:4">
      <c r="A311" t="str">
        <f>TEXT(IF('Change in Employment'!B318&lt;&gt;0,DATE(YEAR('Change in Employment'!B318), MONTH('Change in Employment'!B318), 1), ""), "mm/dd/yyyy")</f>
        <v/>
      </c>
      <c r="B311" s="8" t="str">
        <f>IF(ISNUMBER('Change in Employment'!I318), TEXT('Change in Employment'!I318, "0"), "")</f>
        <v/>
      </c>
      <c r="C311" s="8" t="str">
        <f>IF(ISNUMBER('Change in Employment'!J318),TEXT('Change in Employment'!J318, "0"),"")</f>
        <v/>
      </c>
      <c r="D311" s="8" t="str">
        <f>IF(ISNUMBER('Change in Employment'!G318),'Change in Employment'!G318,"")</f>
        <v/>
      </c>
    </row>
    <row r="312" spans="1:4">
      <c r="A312" t="str">
        <f>TEXT(IF('Change in Employment'!B319&lt;&gt;0,DATE(YEAR('Change in Employment'!B319), MONTH('Change in Employment'!B319), 1), ""), "mm/dd/yyyy")</f>
        <v/>
      </c>
      <c r="B312" s="8" t="str">
        <f>IF(ISNUMBER('Change in Employment'!I319), TEXT('Change in Employment'!I319, "0"), "")</f>
        <v/>
      </c>
      <c r="C312" s="8" t="str">
        <f>IF(ISNUMBER('Change in Employment'!J319),TEXT('Change in Employment'!J319, "0"),"")</f>
        <v/>
      </c>
      <c r="D312" s="8" t="str">
        <f>IF(ISNUMBER('Change in Employment'!G319),'Change in Employment'!G319,"")</f>
        <v/>
      </c>
    </row>
    <row r="313" spans="1:4">
      <c r="A313" t="str">
        <f>TEXT(IF('Change in Employment'!B320&lt;&gt;0,DATE(YEAR('Change in Employment'!B320), MONTH('Change in Employment'!B320), 1), ""), "mm/dd/yyyy")</f>
        <v/>
      </c>
      <c r="B313" s="8" t="str">
        <f>IF(ISNUMBER('Change in Employment'!I320), TEXT('Change in Employment'!I320, "0"), "")</f>
        <v/>
      </c>
      <c r="C313" s="8" t="str">
        <f>IF(ISNUMBER('Change in Employment'!J320),TEXT('Change in Employment'!J320, "0"),"")</f>
        <v/>
      </c>
      <c r="D313" s="8" t="str">
        <f>IF(ISNUMBER('Change in Employment'!G320),'Change in Employment'!G320,"")</f>
        <v/>
      </c>
    </row>
    <row r="314" spans="1:4">
      <c r="A314" t="str">
        <f>TEXT(IF('Change in Employment'!B321&lt;&gt;0,DATE(YEAR('Change in Employment'!B321), MONTH('Change in Employment'!B321), 1), ""), "mm/dd/yyyy")</f>
        <v/>
      </c>
      <c r="B314" s="8" t="str">
        <f>IF(ISNUMBER('Change in Employment'!I321), TEXT('Change in Employment'!I321, "0"), "")</f>
        <v/>
      </c>
      <c r="C314" s="8" t="str">
        <f>IF(ISNUMBER('Change in Employment'!J321),TEXT('Change in Employment'!J321, "0"),"")</f>
        <v/>
      </c>
      <c r="D314" s="8" t="str">
        <f>IF(ISNUMBER('Change in Employment'!G321),'Change in Employment'!G321,"")</f>
        <v/>
      </c>
    </row>
    <row r="315" spans="1:4">
      <c r="A315" t="str">
        <f>TEXT(IF('Change in Employment'!B322&lt;&gt;0,DATE(YEAR('Change in Employment'!B322), MONTH('Change in Employment'!B322), 1), ""), "mm/dd/yyyy")</f>
        <v/>
      </c>
      <c r="B315" s="8" t="str">
        <f>IF(ISNUMBER('Change in Employment'!I322), TEXT('Change in Employment'!I322, "0"), "")</f>
        <v/>
      </c>
      <c r="C315" s="8" t="str">
        <f>IF(ISNUMBER('Change in Employment'!J322),TEXT('Change in Employment'!J322, "0"),"")</f>
        <v/>
      </c>
      <c r="D315" s="8" t="str">
        <f>IF(ISNUMBER('Change in Employment'!G322),'Change in Employment'!G322,"")</f>
        <v/>
      </c>
    </row>
    <row r="316" spans="1:4">
      <c r="A316" t="str">
        <f>TEXT(IF('Change in Employment'!B323&lt;&gt;0,DATE(YEAR('Change in Employment'!B323), MONTH('Change in Employment'!B323), 1), ""), "mm/dd/yyyy")</f>
        <v/>
      </c>
      <c r="B316" s="8" t="str">
        <f>IF(ISNUMBER('Change in Employment'!I323), TEXT('Change in Employment'!I323, "0"), "")</f>
        <v/>
      </c>
      <c r="C316" s="8" t="str">
        <f>IF(ISNUMBER('Change in Employment'!J323),TEXT('Change in Employment'!J323, "0"),"")</f>
        <v/>
      </c>
      <c r="D316" s="8" t="str">
        <f>IF(ISNUMBER('Change in Employment'!G323),'Change in Employment'!G323,"")</f>
        <v/>
      </c>
    </row>
    <row r="317" spans="1:4">
      <c r="A317" t="str">
        <f>TEXT(IF('Change in Employment'!B324&lt;&gt;0,DATE(YEAR('Change in Employment'!B324), MONTH('Change in Employment'!B324), 1), ""), "mm/dd/yyyy")</f>
        <v/>
      </c>
      <c r="B317" s="8" t="str">
        <f>IF(ISNUMBER('Change in Employment'!I324), TEXT('Change in Employment'!I324, "0"), "")</f>
        <v/>
      </c>
      <c r="C317" s="8" t="str">
        <f>IF(ISNUMBER('Change in Employment'!J324),TEXT('Change in Employment'!J324, "0"),"")</f>
        <v/>
      </c>
      <c r="D317" s="8" t="str">
        <f>IF(ISNUMBER('Change in Employment'!G324),'Change in Employment'!G324,"")</f>
        <v/>
      </c>
    </row>
    <row r="318" spans="1:4">
      <c r="A318" t="str">
        <f>TEXT(IF('Change in Employment'!B325&lt;&gt;0,DATE(YEAR('Change in Employment'!B325), MONTH('Change in Employment'!B325), 1), ""), "mm/dd/yyyy")</f>
        <v/>
      </c>
      <c r="B318" s="8" t="str">
        <f>IF(ISNUMBER('Change in Employment'!I325), TEXT('Change in Employment'!I325, "0"), "")</f>
        <v/>
      </c>
      <c r="C318" s="8" t="str">
        <f>IF(ISNUMBER('Change in Employment'!J325),TEXT('Change in Employment'!J325, "0"),"")</f>
        <v/>
      </c>
      <c r="D318" s="8" t="str">
        <f>IF(ISNUMBER('Change in Employment'!G325),'Change in Employment'!G325,"")</f>
        <v/>
      </c>
    </row>
    <row r="319" spans="1:4">
      <c r="A319" t="str">
        <f>TEXT(IF('Change in Employment'!B326&lt;&gt;0,DATE(YEAR('Change in Employment'!B326), MONTH('Change in Employment'!B326), 1), ""), "mm/dd/yyyy")</f>
        <v/>
      </c>
      <c r="B319" s="8" t="str">
        <f>IF(ISNUMBER('Change in Employment'!I326), TEXT('Change in Employment'!I326, "0"), "")</f>
        <v/>
      </c>
      <c r="C319" s="8" t="str">
        <f>IF(ISNUMBER('Change in Employment'!J326),TEXT('Change in Employment'!J326, "0"),"")</f>
        <v/>
      </c>
      <c r="D319" s="8" t="str">
        <f>IF(ISNUMBER('Change in Employment'!G326),'Change in Employment'!G326,"")</f>
        <v/>
      </c>
    </row>
    <row r="320" spans="1:4">
      <c r="A320" t="str">
        <f>TEXT(IF('Change in Employment'!B327&lt;&gt;0,DATE(YEAR('Change in Employment'!B327), MONTH('Change in Employment'!B327), 1), ""), "mm/dd/yyyy")</f>
        <v/>
      </c>
      <c r="B320" s="8" t="str">
        <f>IF(ISNUMBER('Change in Employment'!I327), TEXT('Change in Employment'!I327, "0"), "")</f>
        <v/>
      </c>
      <c r="C320" s="8" t="str">
        <f>IF(ISNUMBER('Change in Employment'!J327),TEXT('Change in Employment'!J327, "0"),"")</f>
        <v/>
      </c>
      <c r="D320" s="8" t="str">
        <f>IF(ISNUMBER('Change in Employment'!G327),'Change in Employment'!G327,"")</f>
        <v/>
      </c>
    </row>
    <row r="321" spans="1:4">
      <c r="A321" t="str">
        <f>TEXT(IF('Change in Employment'!B328&lt;&gt;0,DATE(YEAR('Change in Employment'!B328), MONTH('Change in Employment'!B328), 1), ""), "mm/dd/yyyy")</f>
        <v/>
      </c>
      <c r="B321" s="8" t="str">
        <f>IF(ISNUMBER('Change in Employment'!I328), TEXT('Change in Employment'!I328, "0"), "")</f>
        <v/>
      </c>
      <c r="C321" s="8" t="str">
        <f>IF(ISNUMBER('Change in Employment'!J328),TEXT('Change in Employment'!J328, "0"),"")</f>
        <v/>
      </c>
      <c r="D321" s="8" t="str">
        <f>IF(ISNUMBER('Change in Employment'!G328),'Change in Employment'!G328,"")</f>
        <v/>
      </c>
    </row>
    <row r="322" spans="1:4">
      <c r="A322" t="str">
        <f>TEXT(IF('Change in Employment'!B329&lt;&gt;0,DATE(YEAR('Change in Employment'!B329), MONTH('Change in Employment'!B329), 1), ""), "mm/dd/yyyy")</f>
        <v/>
      </c>
      <c r="B322" s="8" t="str">
        <f>IF(ISNUMBER('Change in Employment'!I329), TEXT('Change in Employment'!I329, "0"), "")</f>
        <v/>
      </c>
      <c r="C322" s="8" t="str">
        <f>IF(ISNUMBER('Change in Employment'!J329),TEXT('Change in Employment'!J329, "0"),"")</f>
        <v/>
      </c>
      <c r="D322" s="8" t="str">
        <f>IF(ISNUMBER('Change in Employment'!G329),'Change in Employment'!G329,"")</f>
        <v/>
      </c>
    </row>
    <row r="323" spans="1:4">
      <c r="A323" t="str">
        <f>TEXT(IF('Change in Employment'!B330&lt;&gt;0,DATE(YEAR('Change in Employment'!B330), MONTH('Change in Employment'!B330), 1), ""), "mm/dd/yyyy")</f>
        <v/>
      </c>
      <c r="B323" s="8" t="str">
        <f>IF(ISNUMBER('Change in Employment'!I330), TEXT('Change in Employment'!I330, "0"), "")</f>
        <v/>
      </c>
      <c r="C323" s="8" t="str">
        <f>IF(ISNUMBER('Change in Employment'!J330),TEXT('Change in Employment'!J330, "0"),"")</f>
        <v/>
      </c>
      <c r="D323" s="8" t="str">
        <f>IF(ISNUMBER('Change in Employment'!G330),'Change in Employment'!G330,"")</f>
        <v/>
      </c>
    </row>
    <row r="324" spans="1:4">
      <c r="A324" t="str">
        <f>TEXT(IF('Change in Employment'!B331&lt;&gt;0,DATE(YEAR('Change in Employment'!B331), MONTH('Change in Employment'!B331), 1), ""), "mm/dd/yyyy")</f>
        <v/>
      </c>
      <c r="B324" s="8" t="str">
        <f>IF(ISNUMBER('Change in Employment'!I331), TEXT('Change in Employment'!I331, "0"), "")</f>
        <v/>
      </c>
      <c r="C324" s="8" t="str">
        <f>IF(ISNUMBER('Change in Employment'!J331),TEXT('Change in Employment'!J331, "0"),"")</f>
        <v/>
      </c>
      <c r="D324" s="8" t="str">
        <f>IF(ISNUMBER('Change in Employment'!G331),'Change in Employment'!G331,"")</f>
        <v/>
      </c>
    </row>
    <row r="325" spans="1:4">
      <c r="A325" t="str">
        <f>TEXT(IF('Change in Employment'!B332&lt;&gt;0,DATE(YEAR('Change in Employment'!B332), MONTH('Change in Employment'!B332), 1), ""), "mm/dd/yyyy")</f>
        <v/>
      </c>
      <c r="B325" s="8" t="str">
        <f>IF(ISNUMBER('Change in Employment'!I332), TEXT('Change in Employment'!I332, "0"), "")</f>
        <v/>
      </c>
      <c r="C325" s="8" t="str">
        <f>IF(ISNUMBER('Change in Employment'!J332),TEXT('Change in Employment'!J332, "0"),"")</f>
        <v/>
      </c>
      <c r="D325" s="8" t="str">
        <f>IF(ISNUMBER('Change in Employment'!G332),'Change in Employment'!G332,"")</f>
        <v/>
      </c>
    </row>
    <row r="326" spans="1:4">
      <c r="A326" t="str">
        <f>TEXT(IF('Change in Employment'!B333&lt;&gt;0,DATE(YEAR('Change in Employment'!B333), MONTH('Change in Employment'!B333), 1), ""), "mm/dd/yyyy")</f>
        <v/>
      </c>
      <c r="B326" s="8" t="str">
        <f>IF(ISNUMBER('Change in Employment'!I333), TEXT('Change in Employment'!I333, "0"), "")</f>
        <v/>
      </c>
      <c r="C326" s="8" t="str">
        <f>IF(ISNUMBER('Change in Employment'!J333),TEXT('Change in Employment'!J333, "0"),"")</f>
        <v/>
      </c>
      <c r="D326" s="8" t="str">
        <f>IF(ISNUMBER('Change in Employment'!G333),'Change in Employment'!G333,"")</f>
        <v/>
      </c>
    </row>
    <row r="327" spans="1:4">
      <c r="A327" t="str">
        <f>TEXT(IF('Change in Employment'!B334&lt;&gt;0,DATE(YEAR('Change in Employment'!B334), MONTH('Change in Employment'!B334), 1), ""), "mm/dd/yyyy")</f>
        <v/>
      </c>
      <c r="B327" s="8" t="str">
        <f>IF(ISNUMBER('Change in Employment'!I334), TEXT('Change in Employment'!I334, "0"), "")</f>
        <v/>
      </c>
      <c r="C327" s="8" t="str">
        <f>IF(ISNUMBER('Change in Employment'!J334),TEXT('Change in Employment'!J334, "0"),"")</f>
        <v/>
      </c>
      <c r="D327" s="8" t="str">
        <f>IF(ISNUMBER('Change in Employment'!G334),'Change in Employment'!G334,"")</f>
        <v/>
      </c>
    </row>
    <row r="328" spans="1:4">
      <c r="A328" t="str">
        <f>TEXT(IF('Change in Employment'!B335&lt;&gt;0,DATE(YEAR('Change in Employment'!B335), MONTH('Change in Employment'!B335), 1), ""), "mm/dd/yyyy")</f>
        <v/>
      </c>
      <c r="B328" s="8" t="str">
        <f>IF(ISNUMBER('Change in Employment'!I335), TEXT('Change in Employment'!I335, "0"), "")</f>
        <v/>
      </c>
      <c r="C328" s="8" t="str">
        <f>IF(ISNUMBER('Change in Employment'!J335),TEXT('Change in Employment'!J335, "0"),"")</f>
        <v/>
      </c>
      <c r="D328" s="8" t="str">
        <f>IF(ISNUMBER('Change in Employment'!G335),'Change in Employment'!G335,"")</f>
        <v/>
      </c>
    </row>
    <row r="329" spans="1:4">
      <c r="A329" t="str">
        <f>TEXT(IF('Change in Employment'!B336&lt;&gt;0,DATE(YEAR('Change in Employment'!B336), MONTH('Change in Employment'!B336), 1), ""), "mm/dd/yyyy")</f>
        <v/>
      </c>
      <c r="B329" s="8" t="str">
        <f>IF(ISNUMBER('Change in Employment'!I336), TEXT('Change in Employment'!I336, "0"), "")</f>
        <v/>
      </c>
      <c r="C329" s="8" t="str">
        <f>IF(ISNUMBER('Change in Employment'!J336),TEXT('Change in Employment'!J336, "0"),"")</f>
        <v/>
      </c>
      <c r="D329" s="8" t="str">
        <f>IF(ISNUMBER('Change in Employment'!G336),'Change in Employment'!G336,"")</f>
        <v/>
      </c>
    </row>
    <row r="330" spans="1:4">
      <c r="A330" t="str">
        <f>TEXT(IF('Change in Employment'!B337&lt;&gt;0,DATE(YEAR('Change in Employment'!B337), MONTH('Change in Employment'!B337), 1), ""), "mm/dd/yyyy")</f>
        <v/>
      </c>
      <c r="B330" s="8" t="str">
        <f>IF(ISNUMBER('Change in Employment'!I337), TEXT('Change in Employment'!I337, "0"), "")</f>
        <v/>
      </c>
      <c r="C330" s="8" t="str">
        <f>IF(ISNUMBER('Change in Employment'!J337),TEXT('Change in Employment'!J337, "0"),"")</f>
        <v/>
      </c>
      <c r="D330" s="8" t="str">
        <f>IF(ISNUMBER('Change in Employment'!G337),'Change in Employment'!G337,"")</f>
        <v/>
      </c>
    </row>
    <row r="331" spans="1:4">
      <c r="A331" t="str">
        <f>TEXT(IF('Change in Employment'!B338&lt;&gt;0,DATE(YEAR('Change in Employment'!B338), MONTH('Change in Employment'!B338), 1), ""), "mm/dd/yyyy")</f>
        <v/>
      </c>
      <c r="B331" s="8" t="str">
        <f>IF(ISNUMBER('Change in Employment'!I338), TEXT('Change in Employment'!I338, "0"), "")</f>
        <v/>
      </c>
      <c r="C331" s="8" t="str">
        <f>IF(ISNUMBER('Change in Employment'!J338),TEXT('Change in Employment'!J338, "0"),"")</f>
        <v/>
      </c>
      <c r="D331" s="8" t="str">
        <f>IF(ISNUMBER('Change in Employment'!G338),'Change in Employment'!G338,"")</f>
        <v/>
      </c>
    </row>
    <row r="332" spans="1:4">
      <c r="A332" t="str">
        <f>TEXT(IF('Change in Employment'!B339&lt;&gt;0,DATE(YEAR('Change in Employment'!B339), MONTH('Change in Employment'!B339), 1), ""), "mm/dd/yyyy")</f>
        <v/>
      </c>
      <c r="B332" s="8" t="str">
        <f>IF(ISNUMBER('Change in Employment'!I339), TEXT('Change in Employment'!I339, "0"), "")</f>
        <v/>
      </c>
      <c r="C332" s="8" t="str">
        <f>IF(ISNUMBER('Change in Employment'!J339),TEXT('Change in Employment'!J339, "0"),"")</f>
        <v/>
      </c>
      <c r="D332" s="8" t="str">
        <f>IF(ISNUMBER('Change in Employment'!G339),'Change in Employment'!G339,"")</f>
        <v/>
      </c>
    </row>
    <row r="333" spans="1:4">
      <c r="A333" t="str">
        <f>TEXT(IF('Change in Employment'!B340&lt;&gt;0,DATE(YEAR('Change in Employment'!B340), MONTH('Change in Employment'!B340), 1), ""), "mm/dd/yyyy")</f>
        <v/>
      </c>
      <c r="B333" s="8" t="str">
        <f>IF(ISNUMBER('Change in Employment'!I340), TEXT('Change in Employment'!I340, "0"), "")</f>
        <v/>
      </c>
      <c r="C333" s="8" t="str">
        <f>IF(ISNUMBER('Change in Employment'!J340),TEXT('Change in Employment'!J340, "0"),"")</f>
        <v/>
      </c>
      <c r="D333" s="8" t="str">
        <f>IF(ISNUMBER('Change in Employment'!G340),'Change in Employment'!G340,"")</f>
        <v/>
      </c>
    </row>
    <row r="334" spans="1:4">
      <c r="A334" t="str">
        <f>TEXT(IF('Change in Employment'!B341&lt;&gt;0,DATE(YEAR('Change in Employment'!B341), MONTH('Change in Employment'!B341), 1), ""), "mm/dd/yyyy")</f>
        <v/>
      </c>
      <c r="B334" s="8" t="str">
        <f>IF(ISNUMBER('Change in Employment'!I341), TEXT('Change in Employment'!I341, "0"), "")</f>
        <v/>
      </c>
      <c r="C334" s="8" t="str">
        <f>IF(ISNUMBER('Change in Employment'!J341),TEXT('Change in Employment'!J341, "0"),"")</f>
        <v/>
      </c>
      <c r="D334" s="8" t="str">
        <f>IF(ISNUMBER('Change in Employment'!G341),'Change in Employment'!G341,"")</f>
        <v/>
      </c>
    </row>
    <row r="335" spans="1:4">
      <c r="A335" t="str">
        <f>TEXT(IF('Change in Employment'!B342&lt;&gt;0,DATE(YEAR('Change in Employment'!B342), MONTH('Change in Employment'!B342), 1), ""), "mm/dd/yyyy")</f>
        <v/>
      </c>
      <c r="B335" s="8" t="str">
        <f>IF(ISNUMBER('Change in Employment'!I342), TEXT('Change in Employment'!I342, "0"), "")</f>
        <v/>
      </c>
      <c r="C335" s="8" t="str">
        <f>IF(ISNUMBER('Change in Employment'!J342),TEXT('Change in Employment'!J342, "0"),"")</f>
        <v/>
      </c>
      <c r="D335" s="8" t="str">
        <f>IF(ISNUMBER('Change in Employment'!G342),'Change in Employment'!G342,"")</f>
        <v/>
      </c>
    </row>
    <row r="336" spans="1:4">
      <c r="A336" t="str">
        <f>TEXT(IF('Change in Employment'!B343&lt;&gt;0,DATE(YEAR('Change in Employment'!B343), MONTH('Change in Employment'!B343), 1), ""), "mm/dd/yyyy")</f>
        <v/>
      </c>
      <c r="B336" s="8" t="str">
        <f>IF(ISNUMBER('Change in Employment'!I343), TEXT('Change in Employment'!I343, "0"), "")</f>
        <v/>
      </c>
      <c r="C336" s="8" t="str">
        <f>IF(ISNUMBER('Change in Employment'!J343),TEXT('Change in Employment'!J343, "0"),"")</f>
        <v/>
      </c>
      <c r="D336" s="8" t="str">
        <f>IF(ISNUMBER('Change in Employment'!G343),'Change in Employment'!G343,"")</f>
        <v/>
      </c>
    </row>
    <row r="337" spans="1:4">
      <c r="A337" t="str">
        <f>TEXT(IF('Change in Employment'!B344&lt;&gt;0,DATE(YEAR('Change in Employment'!B344), MONTH('Change in Employment'!B344), 1), ""), "mm/dd/yyyy")</f>
        <v/>
      </c>
      <c r="B337" s="8" t="str">
        <f>IF(ISNUMBER('Change in Employment'!I344), TEXT('Change in Employment'!I344, "0"), "")</f>
        <v/>
      </c>
      <c r="C337" s="8" t="str">
        <f>IF(ISNUMBER('Change in Employment'!J344),TEXT('Change in Employment'!J344, "0"),"")</f>
        <v/>
      </c>
      <c r="D337" s="8" t="str">
        <f>IF(ISNUMBER('Change in Employment'!G344),'Change in Employment'!G344,"")</f>
        <v/>
      </c>
    </row>
    <row r="338" spans="1:4">
      <c r="A338" t="str">
        <f>TEXT(IF('Change in Employment'!B345&lt;&gt;0,DATE(YEAR('Change in Employment'!B345), MONTH('Change in Employment'!B345), 1), ""), "mm/dd/yyyy")</f>
        <v/>
      </c>
      <c r="B338" s="8" t="str">
        <f>IF(ISNUMBER('Change in Employment'!I345), TEXT('Change in Employment'!I345, "0"), "")</f>
        <v/>
      </c>
      <c r="C338" s="8" t="str">
        <f>IF(ISNUMBER('Change in Employment'!J345),TEXT('Change in Employment'!J345, "0"),"")</f>
        <v/>
      </c>
      <c r="D338" s="8" t="str">
        <f>IF(ISNUMBER('Change in Employment'!G345),'Change in Employment'!G345,"")</f>
        <v/>
      </c>
    </row>
    <row r="339" spans="1:4">
      <c r="A339" t="str">
        <f>TEXT(IF('Change in Employment'!B346&lt;&gt;0,DATE(YEAR('Change in Employment'!B346), MONTH('Change in Employment'!B346), 1), ""), "mm/dd/yyyy")</f>
        <v/>
      </c>
      <c r="B339" s="8" t="str">
        <f>IF(ISNUMBER('Change in Employment'!I346), TEXT('Change in Employment'!I346, "0"), "")</f>
        <v/>
      </c>
      <c r="C339" s="8" t="str">
        <f>IF(ISNUMBER('Change in Employment'!J346),TEXT('Change in Employment'!J346, "0"),"")</f>
        <v/>
      </c>
      <c r="D339" s="8" t="str">
        <f>IF(ISNUMBER('Change in Employment'!G346),'Change in Employment'!G346,"")</f>
        <v/>
      </c>
    </row>
    <row r="340" spans="1:4">
      <c r="A340" t="str">
        <f>TEXT(IF('Change in Employment'!B347&lt;&gt;0,DATE(YEAR('Change in Employment'!B347), MONTH('Change in Employment'!B347), 1), ""), "mm/dd/yyyy")</f>
        <v/>
      </c>
      <c r="B340" s="8" t="str">
        <f>IF(ISNUMBER('Change in Employment'!I347), TEXT('Change in Employment'!I347, "0"), "")</f>
        <v/>
      </c>
      <c r="C340" s="8" t="str">
        <f>IF(ISNUMBER('Change in Employment'!J347),TEXT('Change in Employment'!J347, "0"),"")</f>
        <v/>
      </c>
      <c r="D340" s="8" t="str">
        <f>IF(ISNUMBER('Change in Employment'!G347),'Change in Employment'!G347,"")</f>
        <v/>
      </c>
    </row>
    <row r="341" spans="1:4">
      <c r="A341" t="str">
        <f>TEXT(IF('Change in Employment'!B348&lt;&gt;0,DATE(YEAR('Change in Employment'!B348), MONTH('Change in Employment'!B348), 1), ""), "mm/dd/yyyy")</f>
        <v/>
      </c>
      <c r="B341" s="8" t="str">
        <f>IF(ISNUMBER('Change in Employment'!I348), TEXT('Change in Employment'!I348, "0"), "")</f>
        <v/>
      </c>
      <c r="C341" s="8" t="str">
        <f>IF(ISNUMBER('Change in Employment'!J348),TEXT('Change in Employment'!J348, "0"),"")</f>
        <v/>
      </c>
      <c r="D341" s="8" t="str">
        <f>IF(ISNUMBER('Change in Employment'!G348),'Change in Employment'!G348,"")</f>
        <v/>
      </c>
    </row>
    <row r="342" spans="1:4">
      <c r="A342" t="str">
        <f>TEXT(IF('Change in Employment'!B349&lt;&gt;0,DATE(YEAR('Change in Employment'!B349), MONTH('Change in Employment'!B349), 1), ""), "mm/dd/yyyy")</f>
        <v/>
      </c>
      <c r="B342" s="8" t="str">
        <f>IF(ISNUMBER('Change in Employment'!I349), TEXT('Change in Employment'!I349, "0"), "")</f>
        <v/>
      </c>
      <c r="C342" s="8" t="str">
        <f>IF(ISNUMBER('Change in Employment'!J349),TEXT('Change in Employment'!J349, "0"),"")</f>
        <v/>
      </c>
      <c r="D342" s="8" t="str">
        <f>IF(ISNUMBER('Change in Employment'!G349),'Change in Employment'!G349,"")</f>
        <v/>
      </c>
    </row>
    <row r="343" spans="1:4">
      <c r="A343" t="str">
        <f>TEXT(IF('Change in Employment'!B350&lt;&gt;0,DATE(YEAR('Change in Employment'!B350), MONTH('Change in Employment'!B350), 1), ""), "mm/dd/yyyy")</f>
        <v/>
      </c>
      <c r="B343" s="8" t="str">
        <f>IF(ISNUMBER('Change in Employment'!I350), TEXT('Change in Employment'!I350, "0"), "")</f>
        <v/>
      </c>
      <c r="C343" s="8" t="str">
        <f>IF(ISNUMBER('Change in Employment'!J350),TEXT('Change in Employment'!J350, "0"),"")</f>
        <v/>
      </c>
      <c r="D343" s="8" t="str">
        <f>IF(ISNUMBER('Change in Employment'!G350),'Change in Employment'!G350,"")</f>
        <v/>
      </c>
    </row>
    <row r="344" spans="1:4">
      <c r="A344" t="str">
        <f>TEXT(IF('Change in Employment'!B351&lt;&gt;0,DATE(YEAR('Change in Employment'!B351), MONTH('Change in Employment'!B351), 1), ""), "mm/dd/yyyy")</f>
        <v/>
      </c>
      <c r="B344" s="8" t="str">
        <f>IF(ISNUMBER('Change in Employment'!I351), TEXT('Change in Employment'!I351, "0"), "")</f>
        <v/>
      </c>
      <c r="C344" s="8" t="str">
        <f>IF(ISNUMBER('Change in Employment'!J351),TEXT('Change in Employment'!J351, "0"),"")</f>
        <v/>
      </c>
      <c r="D344" s="8" t="str">
        <f>IF(ISNUMBER('Change in Employment'!G351),'Change in Employment'!G351,"")</f>
        <v/>
      </c>
    </row>
    <row r="345" spans="1:4">
      <c r="A345" t="str">
        <f>TEXT(IF('Change in Employment'!B352&lt;&gt;0,DATE(YEAR('Change in Employment'!B352), MONTH('Change in Employment'!B352), 1), ""), "mm/dd/yyyy")</f>
        <v/>
      </c>
      <c r="B345" s="8" t="str">
        <f>IF(ISNUMBER('Change in Employment'!I352), TEXT('Change in Employment'!I352, "0"), "")</f>
        <v/>
      </c>
      <c r="C345" s="8" t="str">
        <f>IF(ISNUMBER('Change in Employment'!J352),TEXT('Change in Employment'!J352, "0"),"")</f>
        <v/>
      </c>
      <c r="D345" s="8" t="str">
        <f>IF(ISNUMBER('Change in Employment'!G352),'Change in Employment'!G352,"")</f>
        <v/>
      </c>
    </row>
    <row r="346" spans="1:4">
      <c r="A346" t="str">
        <f>TEXT(IF('Change in Employment'!B353&lt;&gt;0,DATE(YEAR('Change in Employment'!B353), MONTH('Change in Employment'!B353), 1), ""), "mm/dd/yyyy")</f>
        <v/>
      </c>
      <c r="B346" s="8" t="str">
        <f>IF(ISNUMBER('Change in Employment'!I353), TEXT('Change in Employment'!I353, "0"), "")</f>
        <v/>
      </c>
      <c r="C346" s="8" t="str">
        <f>IF(ISNUMBER('Change in Employment'!J353),TEXT('Change in Employment'!J353, "0"),"")</f>
        <v/>
      </c>
      <c r="D346" s="8" t="str">
        <f>IF(ISNUMBER('Change in Employment'!G353),'Change in Employment'!G353,"")</f>
        <v/>
      </c>
    </row>
    <row r="347" spans="1:4">
      <c r="A347" t="str">
        <f>TEXT(IF('Change in Employment'!B354&lt;&gt;0,DATE(YEAR('Change in Employment'!B354), MONTH('Change in Employment'!B354), 1), ""), "mm/dd/yyyy")</f>
        <v/>
      </c>
      <c r="B347" s="8" t="str">
        <f>IF(ISNUMBER('Change in Employment'!I354), TEXT('Change in Employment'!I354, "0"), "")</f>
        <v/>
      </c>
      <c r="C347" s="8" t="str">
        <f>IF(ISNUMBER('Change in Employment'!J354),TEXT('Change in Employment'!J354, "0"),"")</f>
        <v/>
      </c>
      <c r="D347" s="8" t="str">
        <f>IF(ISNUMBER('Change in Employment'!G354),'Change in Employment'!G354,"")</f>
        <v/>
      </c>
    </row>
    <row r="348" spans="1:4">
      <c r="A348" t="str">
        <f>TEXT(IF('Change in Employment'!B355&lt;&gt;0,DATE(YEAR('Change in Employment'!B355), MONTH('Change in Employment'!B355), 1), ""), "mm/dd/yyyy")</f>
        <v/>
      </c>
      <c r="B348" s="8" t="str">
        <f>IF(ISNUMBER('Change in Employment'!I355), TEXT('Change in Employment'!I355, "0"), "")</f>
        <v/>
      </c>
      <c r="C348" s="8" t="str">
        <f>IF(ISNUMBER('Change in Employment'!J355),TEXT('Change in Employment'!J355, "0"),"")</f>
        <v/>
      </c>
      <c r="D348" s="8" t="str">
        <f>IF(ISNUMBER('Change in Employment'!G355),'Change in Employment'!G355,"")</f>
        <v/>
      </c>
    </row>
    <row r="349" spans="1:4">
      <c r="A349" t="str">
        <f>TEXT(IF('Change in Employment'!B356&lt;&gt;0,DATE(YEAR('Change in Employment'!B356), MONTH('Change in Employment'!B356), 1), ""), "mm/dd/yyyy")</f>
        <v/>
      </c>
      <c r="B349" s="8" t="str">
        <f>IF(ISNUMBER('Change in Employment'!I356), TEXT('Change in Employment'!I356, "0"), "")</f>
        <v/>
      </c>
      <c r="C349" s="8" t="str">
        <f>IF(ISNUMBER('Change in Employment'!J356),TEXT('Change in Employment'!J356, "0"),"")</f>
        <v/>
      </c>
      <c r="D349" s="8" t="str">
        <f>IF(ISNUMBER('Change in Employment'!G356),'Change in Employment'!G356,"")</f>
        <v/>
      </c>
    </row>
    <row r="350" spans="1:4">
      <c r="A350" t="str">
        <f>TEXT(IF('Change in Employment'!B357&lt;&gt;0,DATE(YEAR('Change in Employment'!B357), MONTH('Change in Employment'!B357), 1), ""), "mm/dd/yyyy")</f>
        <v/>
      </c>
      <c r="B350" s="8" t="str">
        <f>IF(ISNUMBER('Change in Employment'!I357), TEXT('Change in Employment'!I357, "0"), "")</f>
        <v/>
      </c>
      <c r="C350" s="8" t="str">
        <f>IF(ISNUMBER('Change in Employment'!J357),TEXT('Change in Employment'!J357, "0"),"")</f>
        <v/>
      </c>
      <c r="D350" s="8" t="str">
        <f>IF(ISNUMBER('Change in Employment'!G357),'Change in Employment'!G357,"")</f>
        <v/>
      </c>
    </row>
    <row r="351" spans="1:4">
      <c r="A351" t="str">
        <f>TEXT(IF('Change in Employment'!B358&lt;&gt;0,DATE(YEAR('Change in Employment'!B358), MONTH('Change in Employment'!B358), 1), ""), "mm/dd/yyyy")</f>
        <v/>
      </c>
      <c r="B351" s="8" t="str">
        <f>IF(ISNUMBER('Change in Employment'!I358), TEXT('Change in Employment'!I358, "0"), "")</f>
        <v/>
      </c>
      <c r="C351" s="8" t="str">
        <f>IF(ISNUMBER('Change in Employment'!J358),TEXT('Change in Employment'!J358, "0"),"")</f>
        <v/>
      </c>
      <c r="D351" s="8" t="str">
        <f>IF(ISNUMBER('Change in Employment'!G358),'Change in Employment'!G358,"")</f>
        <v/>
      </c>
    </row>
    <row r="352" spans="1:4">
      <c r="A352" t="str">
        <f>TEXT(IF('Change in Employment'!B359&lt;&gt;0,DATE(YEAR('Change in Employment'!B359), MONTH('Change in Employment'!B359), 1), ""), "mm/dd/yyyy")</f>
        <v/>
      </c>
      <c r="B352" s="8" t="str">
        <f>IF(ISNUMBER('Change in Employment'!I359), TEXT('Change in Employment'!I359, "0"), "")</f>
        <v/>
      </c>
      <c r="C352" s="8" t="str">
        <f>IF(ISNUMBER('Change in Employment'!J359),TEXT('Change in Employment'!J359, "0"),"")</f>
        <v/>
      </c>
      <c r="D352" s="8" t="str">
        <f>IF(ISNUMBER('Change in Employment'!G359),'Change in Employment'!G359,"")</f>
        <v/>
      </c>
    </row>
    <row r="353" spans="1:4">
      <c r="A353" t="str">
        <f>TEXT(IF('Change in Employment'!B360&lt;&gt;0,DATE(YEAR('Change in Employment'!B360), MONTH('Change in Employment'!B360), 1), ""), "mm/dd/yyyy")</f>
        <v/>
      </c>
      <c r="B353" s="8" t="str">
        <f>IF(ISNUMBER('Change in Employment'!I360), TEXT('Change in Employment'!I360, "0"), "")</f>
        <v/>
      </c>
      <c r="C353" s="8" t="str">
        <f>IF(ISNUMBER('Change in Employment'!J360),TEXT('Change in Employment'!J360, "0"),"")</f>
        <v/>
      </c>
      <c r="D353" s="8" t="str">
        <f>IF(ISNUMBER('Change in Employment'!G360),'Change in Employment'!G360,"")</f>
        <v/>
      </c>
    </row>
    <row r="354" spans="1:4">
      <c r="A354" t="str">
        <f>TEXT(IF('Change in Employment'!B361&lt;&gt;0,DATE(YEAR('Change in Employment'!B361), MONTH('Change in Employment'!B361), 1), ""), "mm/dd/yyyy")</f>
        <v/>
      </c>
      <c r="B354" s="8" t="str">
        <f>IF(ISNUMBER('Change in Employment'!I361), TEXT('Change in Employment'!I361, "0"), "")</f>
        <v/>
      </c>
      <c r="C354" s="8" t="str">
        <f>IF(ISNUMBER('Change in Employment'!J361),TEXT('Change in Employment'!J361, "0"),"")</f>
        <v/>
      </c>
      <c r="D354" s="8" t="str">
        <f>IF(ISNUMBER('Change in Employment'!G361),'Change in Employment'!G361,"")</f>
        <v/>
      </c>
    </row>
    <row r="355" spans="1:4">
      <c r="A355" t="str">
        <f>TEXT(IF('Change in Employment'!B362&lt;&gt;0,DATE(YEAR('Change in Employment'!B362), MONTH('Change in Employment'!B362), 1), ""), "mm/dd/yyyy")</f>
        <v/>
      </c>
      <c r="B355" s="8" t="str">
        <f>IF(ISNUMBER('Change in Employment'!I362), TEXT('Change in Employment'!I362, "0"), "")</f>
        <v/>
      </c>
      <c r="C355" s="8" t="str">
        <f>IF(ISNUMBER('Change in Employment'!J362),TEXT('Change in Employment'!J362, "0"),"")</f>
        <v/>
      </c>
      <c r="D355" s="8" t="str">
        <f>IF(ISNUMBER('Change in Employment'!G362),'Change in Employment'!G362,"")</f>
        <v/>
      </c>
    </row>
    <row r="356" spans="1:4">
      <c r="A356" t="str">
        <f>TEXT(IF('Change in Employment'!B363&lt;&gt;0,DATE(YEAR('Change in Employment'!B363), MONTH('Change in Employment'!B363), 1), ""), "mm/dd/yyyy")</f>
        <v/>
      </c>
      <c r="B356" s="8" t="str">
        <f>IF(ISNUMBER('Change in Employment'!I363), TEXT('Change in Employment'!I363, "0"), "")</f>
        <v/>
      </c>
      <c r="C356" s="8" t="str">
        <f>IF(ISNUMBER('Change in Employment'!J363),TEXT('Change in Employment'!J363, "0"),"")</f>
        <v/>
      </c>
      <c r="D356" s="8" t="str">
        <f>IF(ISNUMBER('Change in Employment'!G363),'Change in Employment'!G363,"")</f>
        <v/>
      </c>
    </row>
    <row r="357" spans="1:4">
      <c r="A357" t="str">
        <f>TEXT(IF('Change in Employment'!B364&lt;&gt;0,DATE(YEAR('Change in Employment'!B364), MONTH('Change in Employment'!B364), 1), ""), "mm/dd/yyyy")</f>
        <v/>
      </c>
      <c r="B357" s="8" t="str">
        <f>IF(ISNUMBER('Change in Employment'!I364), TEXT('Change in Employment'!I364, "0"), "")</f>
        <v/>
      </c>
      <c r="C357" s="8" t="str">
        <f>IF(ISNUMBER('Change in Employment'!J364),TEXT('Change in Employment'!J364, "0"),"")</f>
        <v/>
      </c>
      <c r="D357" s="8" t="str">
        <f>IF(ISNUMBER('Change in Employment'!G364),'Change in Employment'!G364,"")</f>
        <v/>
      </c>
    </row>
    <row r="358" spans="1:4">
      <c r="A358" t="str">
        <f>TEXT(IF('Change in Employment'!B365&lt;&gt;0,DATE(YEAR('Change in Employment'!B365), MONTH('Change in Employment'!B365), 1), ""), "mm/dd/yyyy")</f>
        <v/>
      </c>
      <c r="B358" s="8" t="str">
        <f>IF(ISNUMBER('Change in Employment'!I365), TEXT('Change in Employment'!I365, "0"), "")</f>
        <v/>
      </c>
      <c r="C358" s="8" t="str">
        <f>IF(ISNUMBER('Change in Employment'!J365),TEXT('Change in Employment'!J365, "0"),"")</f>
        <v/>
      </c>
      <c r="D358" s="8" t="str">
        <f>IF(ISNUMBER('Change in Employment'!G365),'Change in Employment'!G365,"")</f>
        <v/>
      </c>
    </row>
    <row r="359" spans="1:4">
      <c r="A359" t="str">
        <f>TEXT(IF('Change in Employment'!B366&lt;&gt;0,DATE(YEAR('Change in Employment'!B366), MONTH('Change in Employment'!B366), 1), ""), "mm/dd/yyyy")</f>
        <v/>
      </c>
      <c r="B359" s="8" t="str">
        <f>IF(ISNUMBER('Change in Employment'!I366), TEXT('Change in Employment'!I366, "0"), "")</f>
        <v/>
      </c>
      <c r="C359" s="8" t="str">
        <f>IF(ISNUMBER('Change in Employment'!J366),TEXT('Change in Employment'!J366, "0"),"")</f>
        <v/>
      </c>
      <c r="D359" s="8" t="str">
        <f>IF(ISNUMBER('Change in Employment'!G366),'Change in Employment'!G366,"")</f>
        <v/>
      </c>
    </row>
    <row r="360" spans="1:4">
      <c r="A360" t="str">
        <f>TEXT(IF('Change in Employment'!B367&lt;&gt;0,DATE(YEAR('Change in Employment'!B367), MONTH('Change in Employment'!B367), 1), ""), "mm/dd/yyyy")</f>
        <v/>
      </c>
      <c r="B360" s="8" t="str">
        <f>IF(ISNUMBER('Change in Employment'!I367), TEXT('Change in Employment'!I367, "0"), "")</f>
        <v/>
      </c>
      <c r="C360" s="8" t="str">
        <f>IF(ISNUMBER('Change in Employment'!J367),TEXT('Change in Employment'!J367, "0"),"")</f>
        <v/>
      </c>
      <c r="D360" s="8" t="str">
        <f>IF(ISNUMBER('Change in Employment'!G367),'Change in Employment'!G367,"")</f>
        <v/>
      </c>
    </row>
    <row r="361" spans="1:4">
      <c r="A361" t="str">
        <f>TEXT(IF('Change in Employment'!B368&lt;&gt;0,DATE(YEAR('Change in Employment'!B368), MONTH('Change in Employment'!B368), 1), ""), "mm/dd/yyyy")</f>
        <v/>
      </c>
      <c r="B361" s="8" t="str">
        <f>IF(ISNUMBER('Change in Employment'!I368), TEXT('Change in Employment'!I368, "0"), "")</f>
        <v/>
      </c>
      <c r="C361" s="8" t="str">
        <f>IF(ISNUMBER('Change in Employment'!J368),TEXT('Change in Employment'!J368, "0"),"")</f>
        <v/>
      </c>
      <c r="D361" s="8" t="str">
        <f>IF(ISNUMBER('Change in Employment'!G368),'Change in Employment'!G368,"")</f>
        <v/>
      </c>
    </row>
    <row r="362" spans="1:4">
      <c r="A362" t="str">
        <f>TEXT(IF('Change in Employment'!B369&lt;&gt;0,DATE(YEAR('Change in Employment'!B369), MONTH('Change in Employment'!B369), 1), ""), "mm/dd/yyyy")</f>
        <v/>
      </c>
      <c r="B362" s="8" t="str">
        <f>IF(ISNUMBER('Change in Employment'!I369), TEXT('Change in Employment'!I369, "0"), "")</f>
        <v/>
      </c>
      <c r="C362" s="8" t="str">
        <f>IF(ISNUMBER('Change in Employment'!J369),TEXT('Change in Employment'!J369, "0"),"")</f>
        <v/>
      </c>
      <c r="D362" s="8" t="str">
        <f>IF(ISNUMBER('Change in Employment'!G369),'Change in Employment'!G369,"")</f>
        <v/>
      </c>
    </row>
    <row r="363" spans="1:4">
      <c r="A363" t="str">
        <f>TEXT(IF('Change in Employment'!B370&lt;&gt;0,DATE(YEAR('Change in Employment'!B370), MONTH('Change in Employment'!B370), 1), ""), "mm/dd/yyyy")</f>
        <v/>
      </c>
      <c r="B363" s="8" t="str">
        <f>IF(ISNUMBER('Change in Employment'!I370), TEXT('Change in Employment'!I370, "0"), "")</f>
        <v/>
      </c>
      <c r="C363" s="8" t="str">
        <f>IF(ISNUMBER('Change in Employment'!J370),TEXT('Change in Employment'!J370, "0"),"")</f>
        <v/>
      </c>
      <c r="D363" s="8" t="str">
        <f>IF(ISNUMBER('Change in Employment'!G370),'Change in Employment'!G370,"")</f>
        <v/>
      </c>
    </row>
    <row r="364" spans="1:4">
      <c r="A364" t="str">
        <f>TEXT(IF('Change in Employment'!B371&lt;&gt;0,DATE(YEAR('Change in Employment'!B371), MONTH('Change in Employment'!B371), 1), ""), "mm/dd/yyyy")</f>
        <v/>
      </c>
      <c r="B364" s="8" t="str">
        <f>IF(ISNUMBER('Change in Employment'!I371), TEXT('Change in Employment'!I371, "0"), "")</f>
        <v/>
      </c>
      <c r="C364" s="8" t="str">
        <f>IF(ISNUMBER('Change in Employment'!J371),TEXT('Change in Employment'!J371, "0"),"")</f>
        <v/>
      </c>
      <c r="D364" s="8" t="str">
        <f>IF(ISNUMBER('Change in Employment'!G371),'Change in Employment'!G371,"")</f>
        <v/>
      </c>
    </row>
    <row r="365" spans="1:4">
      <c r="A365" t="str">
        <f>TEXT(IF('Change in Employment'!B372&lt;&gt;0,DATE(YEAR('Change in Employment'!B372), MONTH('Change in Employment'!B372), 1), ""), "mm/dd/yyyy")</f>
        <v/>
      </c>
      <c r="B365" s="8" t="str">
        <f>IF(ISNUMBER('Change in Employment'!I372), TEXT('Change in Employment'!I372, "0"), "")</f>
        <v/>
      </c>
      <c r="C365" s="8" t="str">
        <f>IF(ISNUMBER('Change in Employment'!J372),TEXT('Change in Employment'!J372, "0"),"")</f>
        <v/>
      </c>
      <c r="D365" s="8" t="str">
        <f>IF(ISNUMBER('Change in Employment'!G372),'Change in Employment'!G372,"")</f>
        <v/>
      </c>
    </row>
    <row r="366" spans="1:4">
      <c r="A366" t="str">
        <f>TEXT(IF('Change in Employment'!B373&lt;&gt;0,DATE(YEAR('Change in Employment'!B373), MONTH('Change in Employment'!B373), 1), ""), "mm/dd/yyyy")</f>
        <v/>
      </c>
      <c r="B366" s="8" t="str">
        <f>IF(ISNUMBER('Change in Employment'!I373), TEXT('Change in Employment'!I373, "0"), "")</f>
        <v/>
      </c>
      <c r="C366" s="8" t="str">
        <f>IF(ISNUMBER('Change in Employment'!J373),TEXT('Change in Employment'!J373, "0"),"")</f>
        <v/>
      </c>
      <c r="D366" s="8" t="str">
        <f>IF(ISNUMBER('Change in Employment'!G373),'Change in Employment'!G373,"")</f>
        <v/>
      </c>
    </row>
    <row r="367" spans="1:4">
      <c r="A367" t="str">
        <f>TEXT(IF('Change in Employment'!B374&lt;&gt;0,DATE(YEAR('Change in Employment'!B374), MONTH('Change in Employment'!B374), 1), ""), "mm/dd/yyyy")</f>
        <v/>
      </c>
      <c r="B367" s="8" t="str">
        <f>IF(ISNUMBER('Change in Employment'!I374), TEXT('Change in Employment'!I374, "0"), "")</f>
        <v/>
      </c>
      <c r="C367" s="8" t="str">
        <f>IF(ISNUMBER('Change in Employment'!J374),TEXT('Change in Employment'!J374, "0"),"")</f>
        <v/>
      </c>
      <c r="D367" s="8" t="str">
        <f>IF(ISNUMBER('Change in Employment'!G374),'Change in Employment'!G374,"")</f>
        <v/>
      </c>
    </row>
    <row r="368" spans="1:4">
      <c r="A368" t="str">
        <f>TEXT(IF('Change in Employment'!B375&lt;&gt;0,DATE(YEAR('Change in Employment'!B375), MONTH('Change in Employment'!B375), 1), ""), "mm/dd/yyyy")</f>
        <v/>
      </c>
      <c r="B368" s="8" t="str">
        <f>IF(ISNUMBER('Change in Employment'!I375), TEXT('Change in Employment'!I375, "0"), "")</f>
        <v/>
      </c>
      <c r="C368" s="8" t="str">
        <f>IF(ISNUMBER('Change in Employment'!J375),TEXT('Change in Employment'!J375, "0"),"")</f>
        <v/>
      </c>
      <c r="D368" s="8" t="str">
        <f>IF(ISNUMBER('Change in Employment'!G375),'Change in Employment'!G375,"")</f>
        <v/>
      </c>
    </row>
    <row r="369" spans="1:4">
      <c r="A369" t="str">
        <f>TEXT(IF('Change in Employment'!B376&lt;&gt;0,DATE(YEAR('Change in Employment'!B376), MONTH('Change in Employment'!B376), 1), ""), "mm/dd/yyyy")</f>
        <v/>
      </c>
      <c r="B369" s="8" t="str">
        <f>IF(ISNUMBER('Change in Employment'!I376), TEXT('Change in Employment'!I376, "0"), "")</f>
        <v/>
      </c>
      <c r="C369" s="8" t="str">
        <f>IF(ISNUMBER('Change in Employment'!J376),TEXT('Change in Employment'!J376, "0"),"")</f>
        <v/>
      </c>
      <c r="D369" s="8" t="str">
        <f>IF(ISNUMBER('Change in Employment'!G376),'Change in Employment'!G376,"")</f>
        <v/>
      </c>
    </row>
    <row r="370" spans="1:4">
      <c r="A370" t="str">
        <f>TEXT(IF('Change in Employment'!B377&lt;&gt;0,DATE(YEAR('Change in Employment'!B377), MONTH('Change in Employment'!B377), 1), ""), "mm/dd/yyyy")</f>
        <v/>
      </c>
      <c r="B370" s="8" t="str">
        <f>IF(ISNUMBER('Change in Employment'!I377), TEXT('Change in Employment'!I377, "0"), "")</f>
        <v/>
      </c>
      <c r="C370" s="8" t="str">
        <f>IF(ISNUMBER('Change in Employment'!J377),TEXT('Change in Employment'!J377, "0"),"")</f>
        <v/>
      </c>
      <c r="D370" s="8" t="str">
        <f>IF(ISNUMBER('Change in Employment'!G377),'Change in Employment'!G377,"")</f>
        <v/>
      </c>
    </row>
    <row r="371" spans="1:4">
      <c r="A371" t="str">
        <f>TEXT(IF('Change in Employment'!B378&lt;&gt;0,DATE(YEAR('Change in Employment'!B378), MONTH('Change in Employment'!B378), 1), ""), "mm/dd/yyyy")</f>
        <v/>
      </c>
      <c r="B371" s="8" t="str">
        <f>IF(ISNUMBER('Change in Employment'!I378), TEXT('Change in Employment'!I378, "0"), "")</f>
        <v/>
      </c>
      <c r="C371" s="8" t="str">
        <f>IF(ISNUMBER('Change in Employment'!J378),TEXT('Change in Employment'!J378, "0"),"")</f>
        <v/>
      </c>
      <c r="D371" s="8" t="str">
        <f>IF(ISNUMBER('Change in Employment'!G378),'Change in Employment'!G378,"")</f>
        <v/>
      </c>
    </row>
    <row r="372" spans="1:4">
      <c r="A372" t="str">
        <f>TEXT(IF('Change in Employment'!B379&lt;&gt;0,DATE(YEAR('Change in Employment'!B379), MONTH('Change in Employment'!B379), 1), ""), "mm/dd/yyyy")</f>
        <v/>
      </c>
      <c r="B372" s="8" t="str">
        <f>IF(ISNUMBER('Change in Employment'!I379), TEXT('Change in Employment'!I379, "0"), "")</f>
        <v/>
      </c>
      <c r="C372" s="8" t="str">
        <f>IF(ISNUMBER('Change in Employment'!J379),TEXT('Change in Employment'!J379, "0"),"")</f>
        <v/>
      </c>
      <c r="D372" s="8" t="str">
        <f>IF(ISNUMBER('Change in Employment'!G379),'Change in Employment'!G379,"")</f>
        <v/>
      </c>
    </row>
    <row r="373" spans="1:4">
      <c r="A373" t="str">
        <f>TEXT(IF('Change in Employment'!B380&lt;&gt;0,DATE(YEAR('Change in Employment'!B380), MONTH('Change in Employment'!B380), 1), ""), "mm/dd/yyyy")</f>
        <v/>
      </c>
      <c r="B373" s="8" t="str">
        <f>IF(ISNUMBER('Change in Employment'!I380), TEXT('Change in Employment'!I380, "0"), "")</f>
        <v/>
      </c>
      <c r="C373" s="8" t="str">
        <f>IF(ISNUMBER('Change in Employment'!J380),TEXT('Change in Employment'!J380, "0"),"")</f>
        <v/>
      </c>
      <c r="D373" s="8" t="str">
        <f>IF(ISNUMBER('Change in Employment'!G380),'Change in Employment'!G380,"")</f>
        <v/>
      </c>
    </row>
    <row r="374" spans="1:4">
      <c r="A374" t="str">
        <f>TEXT(IF('Change in Employment'!B381&lt;&gt;0,DATE(YEAR('Change in Employment'!B381), MONTH('Change in Employment'!B381), 1), ""), "mm/dd/yyyy")</f>
        <v/>
      </c>
      <c r="B374" s="8" t="str">
        <f>IF(ISNUMBER('Change in Employment'!I381), TEXT('Change in Employment'!I381, "0"), "")</f>
        <v/>
      </c>
      <c r="C374" s="8" t="str">
        <f>IF(ISNUMBER('Change in Employment'!J381),TEXT('Change in Employment'!J381, "0"),"")</f>
        <v/>
      </c>
      <c r="D374" s="8" t="str">
        <f>IF(ISNUMBER('Change in Employment'!G381),'Change in Employment'!G381,"")</f>
        <v/>
      </c>
    </row>
    <row r="375" spans="1:4">
      <c r="A375" t="str">
        <f>TEXT(IF('Change in Employment'!B382&lt;&gt;0,DATE(YEAR('Change in Employment'!B382), MONTH('Change in Employment'!B382), 1), ""), "mm/dd/yyyy")</f>
        <v/>
      </c>
      <c r="B375" s="8" t="str">
        <f>IF(ISNUMBER('Change in Employment'!I382), TEXT('Change in Employment'!I382, "0"), "")</f>
        <v/>
      </c>
      <c r="C375" s="8" t="str">
        <f>IF(ISNUMBER('Change in Employment'!J382),TEXT('Change in Employment'!J382, "0"),"")</f>
        <v/>
      </c>
      <c r="D375" s="8" t="str">
        <f>IF(ISNUMBER('Change in Employment'!G382),'Change in Employment'!G382,"")</f>
        <v/>
      </c>
    </row>
    <row r="376" spans="1:4">
      <c r="A376" t="str">
        <f>TEXT(IF('Change in Employment'!B383&lt;&gt;0,DATE(YEAR('Change in Employment'!B383), MONTH('Change in Employment'!B383), 1), ""), "mm/dd/yyyy")</f>
        <v/>
      </c>
      <c r="B376" s="8" t="str">
        <f>IF(ISNUMBER('Change in Employment'!I383), TEXT('Change in Employment'!I383, "0"), "")</f>
        <v/>
      </c>
      <c r="C376" s="8" t="str">
        <f>IF(ISNUMBER('Change in Employment'!J383),TEXT('Change in Employment'!J383, "0"),"")</f>
        <v/>
      </c>
      <c r="D376" s="8" t="str">
        <f>IF(ISNUMBER('Change in Employment'!G383),'Change in Employment'!G383,"")</f>
        <v/>
      </c>
    </row>
    <row r="377" spans="1:4">
      <c r="A377" t="str">
        <f>TEXT(IF('Change in Employment'!B384&lt;&gt;0,DATE(YEAR('Change in Employment'!B384), MONTH('Change in Employment'!B384), 1), ""), "mm/dd/yyyy")</f>
        <v/>
      </c>
      <c r="B377" s="8" t="str">
        <f>IF(ISNUMBER('Change in Employment'!I384), TEXT('Change in Employment'!I384, "0"), "")</f>
        <v/>
      </c>
      <c r="C377" s="8" t="str">
        <f>IF(ISNUMBER('Change in Employment'!J384),TEXT('Change in Employment'!J384, "0"),"")</f>
        <v/>
      </c>
      <c r="D377" s="8" t="str">
        <f>IF(ISNUMBER('Change in Employment'!G384),'Change in Employment'!G384,"")</f>
        <v/>
      </c>
    </row>
    <row r="378" spans="1:4">
      <c r="A378" t="str">
        <f>TEXT(IF('Change in Employment'!B385&lt;&gt;0,DATE(YEAR('Change in Employment'!B385), MONTH('Change in Employment'!B385), 1), ""), "mm/dd/yyyy")</f>
        <v/>
      </c>
      <c r="B378" s="8" t="str">
        <f>IF(ISNUMBER('Change in Employment'!I385), TEXT('Change in Employment'!I385, "0"), "")</f>
        <v/>
      </c>
      <c r="C378" s="8" t="str">
        <f>IF(ISNUMBER('Change in Employment'!J385),TEXT('Change in Employment'!J385, "0"),"")</f>
        <v/>
      </c>
      <c r="D378" s="8" t="str">
        <f>IF(ISNUMBER('Change in Employment'!G385),'Change in Employment'!G385,"")</f>
        <v/>
      </c>
    </row>
    <row r="379" spans="1:4">
      <c r="A379" t="str">
        <f>TEXT(IF('Change in Employment'!B386&lt;&gt;0,DATE(YEAR('Change in Employment'!B386), MONTH('Change in Employment'!B386), 1), ""), "mm/dd/yyyy")</f>
        <v/>
      </c>
      <c r="B379" s="8" t="str">
        <f>IF(ISNUMBER('Change in Employment'!I386), TEXT('Change in Employment'!I386, "0"), "")</f>
        <v/>
      </c>
      <c r="C379" s="8" t="str">
        <f>IF(ISNUMBER('Change in Employment'!J386),TEXT('Change in Employment'!J386, "0"),"")</f>
        <v/>
      </c>
      <c r="D379" s="8" t="str">
        <f>IF(ISNUMBER('Change in Employment'!G386),'Change in Employment'!G386,"")</f>
        <v/>
      </c>
    </row>
    <row r="380" spans="1:4">
      <c r="A380" t="str">
        <f>TEXT(IF('Change in Employment'!B387&lt;&gt;0,DATE(YEAR('Change in Employment'!B387), MONTH('Change in Employment'!B387), 1), ""), "mm/dd/yyyy")</f>
        <v/>
      </c>
      <c r="B380" s="8" t="str">
        <f>IF(ISNUMBER('Change in Employment'!I387), TEXT('Change in Employment'!I387, "0"), "")</f>
        <v/>
      </c>
      <c r="C380" s="8" t="str">
        <f>IF(ISNUMBER('Change in Employment'!J387),TEXT('Change in Employment'!J387, "0"),"")</f>
        <v/>
      </c>
      <c r="D380" s="8" t="str">
        <f>IF(ISNUMBER('Change in Employment'!G387),'Change in Employment'!G387,"")</f>
        <v/>
      </c>
    </row>
    <row r="381" spans="1:4">
      <c r="A381" t="str">
        <f>TEXT(IF('Change in Employment'!B388&lt;&gt;0,DATE(YEAR('Change in Employment'!B388), MONTH('Change in Employment'!B388), 1), ""), "mm/dd/yyyy")</f>
        <v/>
      </c>
      <c r="B381" s="8" t="str">
        <f>IF(ISNUMBER('Change in Employment'!I388), TEXT('Change in Employment'!I388, "0"), "")</f>
        <v/>
      </c>
      <c r="C381" s="8" t="str">
        <f>IF(ISNUMBER('Change in Employment'!J388),TEXT('Change in Employment'!J388, "0"),"")</f>
        <v/>
      </c>
      <c r="D381" s="8" t="str">
        <f>IF(ISNUMBER('Change in Employment'!G388),'Change in Employment'!G388,"")</f>
        <v/>
      </c>
    </row>
    <row r="382" spans="1:4">
      <c r="A382" t="str">
        <f>TEXT(IF('Change in Employment'!B389&lt;&gt;0,DATE(YEAR('Change in Employment'!B389), MONTH('Change in Employment'!B389), 1), ""), "mm/dd/yyyy")</f>
        <v/>
      </c>
      <c r="B382" s="8" t="str">
        <f>IF(ISNUMBER('Change in Employment'!I389), TEXT('Change in Employment'!I389, "0"), "")</f>
        <v/>
      </c>
      <c r="C382" s="8" t="str">
        <f>IF(ISNUMBER('Change in Employment'!J389),TEXT('Change in Employment'!J389, "0"),"")</f>
        <v/>
      </c>
      <c r="D382" s="8" t="str">
        <f>IF(ISNUMBER('Change in Employment'!G389),'Change in Employment'!G389,"")</f>
        <v/>
      </c>
    </row>
    <row r="383" spans="1:4">
      <c r="A383" t="str">
        <f>TEXT(IF('Change in Employment'!B390&lt;&gt;0,DATE(YEAR('Change in Employment'!B390), MONTH('Change in Employment'!B390), 1), ""), "mm/dd/yyyy")</f>
        <v/>
      </c>
      <c r="B383" s="8" t="str">
        <f>IF(ISNUMBER('Change in Employment'!I390), TEXT('Change in Employment'!I390, "0"), "")</f>
        <v/>
      </c>
      <c r="C383" s="8" t="str">
        <f>IF(ISNUMBER('Change in Employment'!J390),TEXT('Change in Employment'!J390, "0"),"")</f>
        <v/>
      </c>
      <c r="D383" s="8" t="str">
        <f>IF(ISNUMBER('Change in Employment'!G390),'Change in Employment'!G390,"")</f>
        <v/>
      </c>
    </row>
    <row r="384" spans="1:4">
      <c r="A384" t="str">
        <f>TEXT(IF('Change in Employment'!B391&lt;&gt;0,DATE(YEAR('Change in Employment'!B391), MONTH('Change in Employment'!B391), 1), ""), "mm/dd/yyyy")</f>
        <v/>
      </c>
      <c r="B384" s="8" t="str">
        <f>IF(ISNUMBER('Change in Employment'!I391), TEXT('Change in Employment'!I391, "0"), "")</f>
        <v/>
      </c>
      <c r="C384" s="8" t="str">
        <f>IF(ISNUMBER('Change in Employment'!J391),TEXT('Change in Employment'!J391, "0"),"")</f>
        <v/>
      </c>
      <c r="D384" s="8" t="str">
        <f>IF(ISNUMBER('Change in Employment'!G391),'Change in Employment'!G391,"")</f>
        <v/>
      </c>
    </row>
    <row r="385" spans="1:4">
      <c r="A385" t="str">
        <f>TEXT(IF('Change in Employment'!B392&lt;&gt;0,DATE(YEAR('Change in Employment'!B392), MONTH('Change in Employment'!B392), 1), ""), "mm/dd/yyyy")</f>
        <v/>
      </c>
      <c r="B385" s="8" t="str">
        <f>IF(ISNUMBER('Change in Employment'!I392), TEXT('Change in Employment'!I392, "0"), "")</f>
        <v/>
      </c>
      <c r="C385" s="8" t="str">
        <f>IF(ISNUMBER('Change in Employment'!J392),TEXT('Change in Employment'!J392, "0"),"")</f>
        <v/>
      </c>
      <c r="D385" s="8" t="str">
        <f>IF(ISNUMBER('Change in Employment'!G392),'Change in Employment'!G392,"")</f>
        <v/>
      </c>
    </row>
    <row r="386" spans="1:4">
      <c r="A386" t="str">
        <f>TEXT(IF('Change in Employment'!B393&lt;&gt;0,DATE(YEAR('Change in Employment'!B393), MONTH('Change in Employment'!B393), 1), ""), "mm/dd/yyyy")</f>
        <v/>
      </c>
      <c r="B386" s="8" t="str">
        <f>IF(ISNUMBER('Change in Employment'!I393), TEXT('Change in Employment'!I393, "0"), "")</f>
        <v/>
      </c>
      <c r="C386" s="8" t="str">
        <f>IF(ISNUMBER('Change in Employment'!J393),TEXT('Change in Employment'!J393, "0"),"")</f>
        <v/>
      </c>
      <c r="D386" s="8" t="str">
        <f>IF(ISNUMBER('Change in Employment'!G393),'Change in Employment'!G393,"")</f>
        <v/>
      </c>
    </row>
    <row r="387" spans="1:4">
      <c r="A387" t="str">
        <f>TEXT(IF('Change in Employment'!B394&lt;&gt;0,DATE(YEAR('Change in Employment'!B394), MONTH('Change in Employment'!B394), 1), ""), "mm/dd/yyyy")</f>
        <v/>
      </c>
      <c r="B387" s="8" t="str">
        <f>IF(ISNUMBER('Change in Employment'!I394), TEXT('Change in Employment'!I394, "0"), "")</f>
        <v/>
      </c>
      <c r="C387" s="8" t="str">
        <f>IF(ISNUMBER('Change in Employment'!J394),TEXT('Change in Employment'!J394, "0"),"")</f>
        <v/>
      </c>
      <c r="D387" s="8" t="str">
        <f>IF(ISNUMBER('Change in Employment'!G394),'Change in Employment'!G394,"")</f>
        <v/>
      </c>
    </row>
    <row r="388" spans="1:4">
      <c r="A388" t="str">
        <f>TEXT(IF('Change in Employment'!B395&lt;&gt;0,DATE(YEAR('Change in Employment'!B395), MONTH('Change in Employment'!B395), 1), ""), "mm/dd/yyyy")</f>
        <v/>
      </c>
      <c r="B388" s="8" t="str">
        <f>IF(ISNUMBER('Change in Employment'!I395), TEXT('Change in Employment'!I395, "0"), "")</f>
        <v/>
      </c>
      <c r="C388" s="8" t="str">
        <f>IF(ISNUMBER('Change in Employment'!J395),TEXT('Change in Employment'!J395, "0"),"")</f>
        <v/>
      </c>
      <c r="D388" s="8" t="str">
        <f>IF(ISNUMBER('Change in Employment'!G395),'Change in Employment'!G395,"")</f>
        <v/>
      </c>
    </row>
    <row r="389" spans="1:4">
      <c r="A389" t="str">
        <f>TEXT(IF('Change in Employment'!B396&lt;&gt;0,DATE(YEAR('Change in Employment'!B396), MONTH('Change in Employment'!B396), 1), ""), "mm/dd/yyyy")</f>
        <v/>
      </c>
      <c r="B389" s="8" t="str">
        <f>IF(ISNUMBER('Change in Employment'!I396), TEXT('Change in Employment'!I396, "0"), "")</f>
        <v/>
      </c>
      <c r="C389" s="8" t="str">
        <f>IF(ISNUMBER('Change in Employment'!J396),TEXT('Change in Employment'!J396, "0"),"")</f>
        <v/>
      </c>
      <c r="D389" s="8" t="str">
        <f>IF(ISNUMBER('Change in Employment'!G396),'Change in Employment'!G396,"")</f>
        <v/>
      </c>
    </row>
    <row r="390" spans="1:4">
      <c r="A390" t="str">
        <f>TEXT(IF('Change in Employment'!B397&lt;&gt;0,DATE(YEAR('Change in Employment'!B397), MONTH('Change in Employment'!B397), 1), ""), "mm/dd/yyyy")</f>
        <v/>
      </c>
      <c r="B390" s="8" t="str">
        <f>IF(ISNUMBER('Change in Employment'!I397), TEXT('Change in Employment'!I397, "0"), "")</f>
        <v/>
      </c>
      <c r="C390" s="8" t="str">
        <f>IF(ISNUMBER('Change in Employment'!J397),TEXT('Change in Employment'!J397, "0"),"")</f>
        <v/>
      </c>
      <c r="D390" s="8" t="str">
        <f>IF(ISNUMBER('Change in Employment'!G397),'Change in Employment'!G397,"")</f>
        <v/>
      </c>
    </row>
    <row r="391" spans="1:4">
      <c r="A391" t="str">
        <f>TEXT(IF('Change in Employment'!B398&lt;&gt;0,DATE(YEAR('Change in Employment'!B398), MONTH('Change in Employment'!B398), 1), ""), "mm/dd/yyyy")</f>
        <v/>
      </c>
      <c r="B391" s="8" t="str">
        <f>IF(ISNUMBER('Change in Employment'!I398), TEXT('Change in Employment'!I398, "0"), "")</f>
        <v/>
      </c>
      <c r="C391" s="8" t="str">
        <f>IF(ISNUMBER('Change in Employment'!J398),TEXT('Change in Employment'!J398, "0"),"")</f>
        <v/>
      </c>
      <c r="D391" s="8" t="str">
        <f>IF(ISNUMBER('Change in Employment'!G398),'Change in Employment'!G398,"")</f>
        <v/>
      </c>
    </row>
    <row r="392" spans="1:4">
      <c r="A392" t="str">
        <f>TEXT(IF('Change in Employment'!B399&lt;&gt;0,DATE(YEAR('Change in Employment'!B399), MONTH('Change in Employment'!B399), 1), ""), "mm/dd/yyyy")</f>
        <v/>
      </c>
      <c r="B392" s="8" t="str">
        <f>IF(ISNUMBER('Change in Employment'!I399), TEXT('Change in Employment'!I399, "0"), "")</f>
        <v/>
      </c>
      <c r="C392" s="8" t="str">
        <f>IF(ISNUMBER('Change in Employment'!J399),TEXT('Change in Employment'!J399, "0"),"")</f>
        <v/>
      </c>
      <c r="D392" s="8" t="str">
        <f>IF(ISNUMBER('Change in Employment'!G399),'Change in Employment'!G399,"")</f>
        <v/>
      </c>
    </row>
    <row r="393" spans="1:4">
      <c r="A393" t="str">
        <f>TEXT(IF('Change in Employment'!B400&lt;&gt;0,DATE(YEAR('Change in Employment'!B400), MONTH('Change in Employment'!B400), 1), ""), "mm/dd/yyyy")</f>
        <v/>
      </c>
      <c r="B393" s="8" t="str">
        <f>IF(ISNUMBER('Change in Employment'!I400), TEXT('Change in Employment'!I400, "0"), "")</f>
        <v/>
      </c>
      <c r="C393" s="8" t="str">
        <f>IF(ISNUMBER('Change in Employment'!J400),TEXT('Change in Employment'!J400, "0"),"")</f>
        <v/>
      </c>
      <c r="D393" s="8" t="str">
        <f>IF(ISNUMBER('Change in Employment'!G400),'Change in Employment'!G400,"")</f>
        <v/>
      </c>
    </row>
    <row r="394" spans="1:4">
      <c r="A394" t="str">
        <f>TEXT(IF('Change in Employment'!B401&lt;&gt;0,DATE(YEAR('Change in Employment'!B401), MONTH('Change in Employment'!B401), 1), ""), "mm/dd/yyyy")</f>
        <v/>
      </c>
      <c r="B394" s="8" t="str">
        <f>IF(ISNUMBER('Change in Employment'!I401), TEXT('Change in Employment'!I401, "0"), "")</f>
        <v/>
      </c>
      <c r="C394" s="8" t="str">
        <f>IF(ISNUMBER('Change in Employment'!J401),TEXT('Change in Employment'!J401, "0"),"")</f>
        <v/>
      </c>
      <c r="D394" s="8" t="str">
        <f>IF(ISNUMBER('Change in Employment'!G401),'Change in Employment'!G401,"")</f>
        <v/>
      </c>
    </row>
    <row r="395" spans="1:4">
      <c r="A395" t="str">
        <f>TEXT(IF('Change in Employment'!B402&lt;&gt;0,DATE(YEAR('Change in Employment'!B402), MONTH('Change in Employment'!B402), 1), ""), "mm/dd/yyyy")</f>
        <v/>
      </c>
      <c r="B395" s="8" t="str">
        <f>IF(ISNUMBER('Change in Employment'!I402), TEXT('Change in Employment'!I402, "0"), "")</f>
        <v/>
      </c>
      <c r="C395" s="8" t="str">
        <f>IF(ISNUMBER('Change in Employment'!J402),TEXT('Change in Employment'!J402, "0"),"")</f>
        <v/>
      </c>
      <c r="D395" s="8" t="str">
        <f>IF(ISNUMBER('Change in Employment'!G402),'Change in Employment'!G402,"")</f>
        <v/>
      </c>
    </row>
    <row r="396" spans="1:4">
      <c r="A396" t="str">
        <f>TEXT(IF('Change in Employment'!B403&lt;&gt;0,DATE(YEAR('Change in Employment'!B403), MONTH('Change in Employment'!B403), 1), ""), "mm/dd/yyyy")</f>
        <v/>
      </c>
      <c r="B396" s="8" t="str">
        <f>IF(ISNUMBER('Change in Employment'!I403), TEXT('Change in Employment'!I403, "0"), "")</f>
        <v/>
      </c>
      <c r="C396" s="8" t="str">
        <f>IF(ISNUMBER('Change in Employment'!J403),TEXT('Change in Employment'!J403, "0"),"")</f>
        <v/>
      </c>
      <c r="D396" s="8" t="str">
        <f>IF(ISNUMBER('Change in Employment'!G403),'Change in Employment'!G403,"")</f>
        <v/>
      </c>
    </row>
    <row r="397" spans="1:4">
      <c r="A397" t="str">
        <f>TEXT(IF('Change in Employment'!B404&lt;&gt;0,DATE(YEAR('Change in Employment'!B404), MONTH('Change in Employment'!B404), 1), ""), "mm/dd/yyyy")</f>
        <v/>
      </c>
      <c r="B397" s="8" t="str">
        <f>IF(ISNUMBER('Change in Employment'!I404), TEXT('Change in Employment'!I404, "0"), "")</f>
        <v/>
      </c>
      <c r="C397" s="8" t="str">
        <f>IF(ISNUMBER('Change in Employment'!J404),TEXT('Change in Employment'!J404, "0"),"")</f>
        <v/>
      </c>
      <c r="D397" s="8" t="str">
        <f>IF(ISNUMBER('Change in Employment'!G404),'Change in Employment'!G404,"")</f>
        <v/>
      </c>
    </row>
    <row r="398" spans="1:4">
      <c r="A398" t="str">
        <f>TEXT(IF('Change in Employment'!B405&lt;&gt;0,DATE(YEAR('Change in Employment'!B405), MONTH('Change in Employment'!B405), 1), ""), "mm/dd/yyyy")</f>
        <v/>
      </c>
      <c r="B398" s="8" t="str">
        <f>IF(ISNUMBER('Change in Employment'!I405), TEXT('Change in Employment'!I405, "0"), "")</f>
        <v/>
      </c>
      <c r="C398" s="8" t="str">
        <f>IF(ISNUMBER('Change in Employment'!J405),TEXT('Change in Employment'!J405, "0"),"")</f>
        <v/>
      </c>
      <c r="D398" s="8" t="str">
        <f>IF(ISNUMBER('Change in Employment'!G405),'Change in Employment'!G405,"")</f>
        <v/>
      </c>
    </row>
    <row r="399" spans="1:4">
      <c r="A399" t="str">
        <f>TEXT(IF('Change in Employment'!B406&lt;&gt;0,DATE(YEAR('Change in Employment'!B406), MONTH('Change in Employment'!B406), 1), ""), "mm/dd/yyyy")</f>
        <v/>
      </c>
      <c r="B399" s="8" t="str">
        <f>IF(ISNUMBER('Change in Employment'!I406), TEXT('Change in Employment'!I406, "0"), "")</f>
        <v/>
      </c>
      <c r="C399" s="8" t="str">
        <f>IF(ISNUMBER('Change in Employment'!J406),TEXT('Change in Employment'!J406, "0"),"")</f>
        <v/>
      </c>
      <c r="D399" s="8" t="str">
        <f>IF(ISNUMBER('Change in Employment'!G406),'Change in Employment'!G406,"")</f>
        <v/>
      </c>
    </row>
    <row r="400" spans="1:4">
      <c r="A400" t="str">
        <f>TEXT(IF('Change in Employment'!B407&lt;&gt;0,DATE(YEAR('Change in Employment'!B407), MONTH('Change in Employment'!B407), 1), ""), "mm/dd/yyyy")</f>
        <v/>
      </c>
      <c r="B400" s="8" t="str">
        <f>IF(ISNUMBER('Change in Employment'!I407), TEXT('Change in Employment'!I407, "0"), "")</f>
        <v/>
      </c>
      <c r="C400" s="8" t="str">
        <f>IF(ISNUMBER('Change in Employment'!J407),TEXT('Change in Employment'!J407, "0"),"")</f>
        <v/>
      </c>
      <c r="D400" s="8" t="str">
        <f>IF(ISNUMBER('Change in Employment'!G407),'Change in Employment'!G407,"")</f>
        <v/>
      </c>
    </row>
    <row r="401" spans="1:4">
      <c r="A401" t="str">
        <f>TEXT(IF('Change in Employment'!B408&lt;&gt;0,DATE(YEAR('Change in Employment'!B408), MONTH('Change in Employment'!B408), 1), ""), "mm/dd/yyyy")</f>
        <v/>
      </c>
      <c r="B401" s="8" t="str">
        <f>IF(ISNUMBER('Change in Employment'!I408), TEXT('Change in Employment'!I408, "0"), "")</f>
        <v/>
      </c>
      <c r="C401" s="8" t="str">
        <f>IF(ISNUMBER('Change in Employment'!J408),TEXT('Change in Employment'!J408, "0"),"")</f>
        <v/>
      </c>
      <c r="D401" s="8" t="str">
        <f>IF(ISNUMBER('Change in Employment'!G408),'Change in Employment'!G408,"")</f>
        <v/>
      </c>
    </row>
    <row r="402" spans="1:4">
      <c r="A402" t="str">
        <f>TEXT(IF('Change in Employment'!B409&lt;&gt;0,DATE(YEAR('Change in Employment'!B409), MONTH('Change in Employment'!B409), 1), ""), "mm/dd/yyyy")</f>
        <v/>
      </c>
      <c r="B402" s="8" t="str">
        <f>IF(ISNUMBER('Change in Employment'!I409), TEXT('Change in Employment'!I409, "0"), "")</f>
        <v/>
      </c>
      <c r="C402" s="8" t="str">
        <f>IF(ISNUMBER('Change in Employment'!J409),TEXT('Change in Employment'!J409, "0"),"")</f>
        <v/>
      </c>
      <c r="D402" s="8" t="str">
        <f>IF(ISNUMBER('Change in Employment'!G409),'Change in Employment'!G409,"")</f>
        <v/>
      </c>
    </row>
    <row r="403" spans="1:4">
      <c r="A403" t="str">
        <f>TEXT(IF('Change in Employment'!B410&lt;&gt;0,DATE(YEAR('Change in Employment'!B410), MONTH('Change in Employment'!B410), 1), ""), "mm/dd/yyyy")</f>
        <v/>
      </c>
      <c r="B403" s="8" t="str">
        <f>IF(ISNUMBER('Change in Employment'!I410), TEXT('Change in Employment'!I410, "0"), "")</f>
        <v/>
      </c>
      <c r="C403" s="8" t="str">
        <f>IF(ISNUMBER('Change in Employment'!J410),TEXT('Change in Employment'!J410, "0"),"")</f>
        <v/>
      </c>
      <c r="D403" s="8" t="str">
        <f>IF(ISNUMBER('Change in Employment'!G410),'Change in Employment'!G410,"")</f>
        <v/>
      </c>
    </row>
    <row r="404" spans="1:4">
      <c r="A404" t="str">
        <f>TEXT(IF('Change in Employment'!B411&lt;&gt;0,DATE(YEAR('Change in Employment'!B411), MONTH('Change in Employment'!B411), 1), ""), "mm/dd/yyyy")</f>
        <v/>
      </c>
      <c r="B404" s="8" t="str">
        <f>IF(ISNUMBER('Change in Employment'!I411), TEXT('Change in Employment'!I411, "0"), "")</f>
        <v/>
      </c>
      <c r="C404" s="8" t="str">
        <f>IF(ISNUMBER('Change in Employment'!J411),TEXT('Change in Employment'!J411, "0"),"")</f>
        <v/>
      </c>
      <c r="D404" s="8" t="str">
        <f>IF(ISNUMBER('Change in Employment'!G411),'Change in Employment'!G411,"")</f>
        <v/>
      </c>
    </row>
    <row r="405" spans="1:4">
      <c r="A405" t="str">
        <f>TEXT(IF('Change in Employment'!B412&lt;&gt;0,DATE(YEAR('Change in Employment'!B412), MONTH('Change in Employment'!B412), 1), ""), "mm/dd/yyyy")</f>
        <v/>
      </c>
      <c r="B405" s="8" t="str">
        <f>IF(ISNUMBER('Change in Employment'!I412), TEXT('Change in Employment'!I412, "0"), "")</f>
        <v/>
      </c>
      <c r="C405" s="8" t="str">
        <f>IF(ISNUMBER('Change in Employment'!J412),TEXT('Change in Employment'!J412, "0"),"")</f>
        <v/>
      </c>
      <c r="D405" s="8" t="str">
        <f>IF(ISNUMBER('Change in Employment'!G412),'Change in Employment'!G412,"")</f>
        <v/>
      </c>
    </row>
    <row r="406" spans="1:4">
      <c r="A406" t="str">
        <f>TEXT(IF('Change in Employment'!B413&lt;&gt;0,DATE(YEAR('Change in Employment'!B413), MONTH('Change in Employment'!B413), 1), ""), "mm/dd/yyyy")</f>
        <v/>
      </c>
      <c r="B406" s="8" t="str">
        <f>IF(ISNUMBER('Change in Employment'!I413), TEXT('Change in Employment'!I413, "0"), "")</f>
        <v/>
      </c>
      <c r="C406" s="8" t="str">
        <f>IF(ISNUMBER('Change in Employment'!J413),TEXT('Change in Employment'!J413, "0"),"")</f>
        <v/>
      </c>
      <c r="D406" s="8" t="str">
        <f>IF(ISNUMBER('Change in Employment'!G413),'Change in Employment'!G413,"")</f>
        <v/>
      </c>
    </row>
    <row r="407" spans="1:4">
      <c r="A407" t="str">
        <f>TEXT(IF('Change in Employment'!B414&lt;&gt;0,DATE(YEAR('Change in Employment'!B414), MONTH('Change in Employment'!B414), 1), ""), "mm/dd/yyyy")</f>
        <v/>
      </c>
      <c r="B407" s="8" t="str">
        <f>IF(ISNUMBER('Change in Employment'!I414), TEXT('Change in Employment'!I414, "0"), "")</f>
        <v/>
      </c>
      <c r="C407" s="8" t="str">
        <f>IF(ISNUMBER('Change in Employment'!J414),TEXT('Change in Employment'!J414, "0"),"")</f>
        <v/>
      </c>
      <c r="D407" s="8" t="str">
        <f>IF(ISNUMBER('Change in Employment'!G414),'Change in Employment'!G414,"")</f>
        <v/>
      </c>
    </row>
    <row r="408" spans="1:4">
      <c r="A408" t="str">
        <f>TEXT(IF('Change in Employment'!B415&lt;&gt;0,DATE(YEAR('Change in Employment'!B415), MONTH('Change in Employment'!B415), 1), ""), "mm/dd/yyyy")</f>
        <v/>
      </c>
      <c r="B408" s="8" t="str">
        <f>IF(ISNUMBER('Change in Employment'!I415), TEXT('Change in Employment'!I415, "0"), "")</f>
        <v/>
      </c>
      <c r="C408" s="8" t="str">
        <f>IF(ISNUMBER('Change in Employment'!J415),TEXT('Change in Employment'!J415, "0"),"")</f>
        <v/>
      </c>
      <c r="D408" s="8" t="str">
        <f>IF(ISNUMBER('Change in Employment'!G415),'Change in Employment'!G415,"")</f>
        <v/>
      </c>
    </row>
    <row r="409" spans="1:4">
      <c r="A409" t="str">
        <f>TEXT(IF('Change in Employment'!B416&lt;&gt;0,DATE(YEAR('Change in Employment'!B416), MONTH('Change in Employment'!B416), 1), ""), "mm/dd/yyyy")</f>
        <v/>
      </c>
      <c r="B409" s="8" t="str">
        <f>IF(ISNUMBER('Change in Employment'!I416), TEXT('Change in Employment'!I416, "0"), "")</f>
        <v/>
      </c>
      <c r="C409" s="8" t="str">
        <f>IF(ISNUMBER('Change in Employment'!J416),TEXT('Change in Employment'!J416, "0"),"")</f>
        <v/>
      </c>
      <c r="D409" s="8" t="str">
        <f>IF(ISNUMBER('Change in Employment'!G416),'Change in Employment'!G416,"")</f>
        <v/>
      </c>
    </row>
    <row r="410" spans="1:4">
      <c r="A410" t="str">
        <f>TEXT(IF('Change in Employment'!B417&lt;&gt;0,DATE(YEAR('Change in Employment'!B417), MONTH('Change in Employment'!B417), 1), ""), "mm/dd/yyyy")</f>
        <v/>
      </c>
      <c r="B410" s="8" t="str">
        <f>IF(ISNUMBER('Change in Employment'!I417), TEXT('Change in Employment'!I417, "0"), "")</f>
        <v/>
      </c>
      <c r="C410" s="8" t="str">
        <f>IF(ISNUMBER('Change in Employment'!J417),TEXT('Change in Employment'!J417, "0"),"")</f>
        <v/>
      </c>
      <c r="D410" s="8" t="str">
        <f>IF(ISNUMBER('Change in Employment'!G417),'Change in Employment'!G417,"")</f>
        <v/>
      </c>
    </row>
    <row r="411" spans="1:4">
      <c r="A411" t="str">
        <f>TEXT(IF('Change in Employment'!B418&lt;&gt;0,DATE(YEAR('Change in Employment'!B418), MONTH('Change in Employment'!B418), 1), ""), "mm/dd/yyyy")</f>
        <v/>
      </c>
      <c r="B411" s="8" t="str">
        <f>IF(ISNUMBER('Change in Employment'!I418), TEXT('Change in Employment'!I418, "0"), "")</f>
        <v/>
      </c>
      <c r="C411" s="8" t="str">
        <f>IF(ISNUMBER('Change in Employment'!J418),TEXT('Change in Employment'!J418, "0"),"")</f>
        <v/>
      </c>
      <c r="D411" s="8" t="str">
        <f>IF(ISNUMBER('Change in Employment'!G418),'Change in Employment'!G418,"")</f>
        <v/>
      </c>
    </row>
    <row r="412" spans="1:4">
      <c r="A412" t="str">
        <f>TEXT(IF('Change in Employment'!B419&lt;&gt;0,DATE(YEAR('Change in Employment'!B419), MONTH('Change in Employment'!B419), 1), ""), "mm/dd/yyyy")</f>
        <v/>
      </c>
      <c r="B412" s="8" t="str">
        <f>IF(ISNUMBER('Change in Employment'!I419), TEXT('Change in Employment'!I419, "0"), "")</f>
        <v/>
      </c>
      <c r="C412" s="8" t="str">
        <f>IF(ISNUMBER('Change in Employment'!J419),TEXT('Change in Employment'!J419, "0"),"")</f>
        <v/>
      </c>
      <c r="D412" s="8" t="str">
        <f>IF(ISNUMBER('Change in Employment'!G419),'Change in Employment'!G419,"")</f>
        <v/>
      </c>
    </row>
    <row r="413" spans="1:4">
      <c r="A413" t="str">
        <f>TEXT(IF('Change in Employment'!B420&lt;&gt;0,DATE(YEAR('Change in Employment'!B420), MONTH('Change in Employment'!B420), 1), ""), "mm/dd/yyyy")</f>
        <v/>
      </c>
      <c r="B413" s="8" t="str">
        <f>IF(ISNUMBER('Change in Employment'!I420), TEXT('Change in Employment'!I420, "0"), "")</f>
        <v/>
      </c>
      <c r="C413" s="8" t="str">
        <f>IF(ISNUMBER('Change in Employment'!J420),TEXT('Change in Employment'!J420, "0"),"")</f>
        <v/>
      </c>
      <c r="D413" s="8" t="str">
        <f>IF(ISNUMBER('Change in Employment'!G420),'Change in Employment'!G420,"")</f>
        <v/>
      </c>
    </row>
    <row r="414" spans="1:4">
      <c r="A414" t="str">
        <f>TEXT(IF('Change in Employment'!B421&lt;&gt;0,DATE(YEAR('Change in Employment'!B421), MONTH('Change in Employment'!B421), 1), ""), "mm/dd/yyyy")</f>
        <v/>
      </c>
      <c r="B414" s="8" t="str">
        <f>IF(ISNUMBER('Change in Employment'!I421), TEXT('Change in Employment'!I421, "0"), "")</f>
        <v/>
      </c>
      <c r="C414" s="8" t="str">
        <f>IF(ISNUMBER('Change in Employment'!J421),TEXT('Change in Employment'!J421, "0"),"")</f>
        <v/>
      </c>
      <c r="D414" s="8" t="str">
        <f>IF(ISNUMBER('Change in Employment'!G421),'Change in Employment'!G421,"")</f>
        <v/>
      </c>
    </row>
    <row r="415" spans="1:4">
      <c r="A415" t="str">
        <f>TEXT(IF('Change in Employment'!B422&lt;&gt;0,DATE(YEAR('Change in Employment'!B422), MONTH('Change in Employment'!B422), 1), ""), "mm/dd/yyyy")</f>
        <v/>
      </c>
      <c r="B415" s="8" t="str">
        <f>IF(ISNUMBER('Change in Employment'!I422), TEXT('Change in Employment'!I422, "0"), "")</f>
        <v/>
      </c>
      <c r="C415" s="8" t="str">
        <f>IF(ISNUMBER('Change in Employment'!J422),TEXT('Change in Employment'!J422, "0"),"")</f>
        <v/>
      </c>
      <c r="D415" s="8" t="str">
        <f>IF(ISNUMBER('Change in Employment'!G422),'Change in Employment'!G422,"")</f>
        <v/>
      </c>
    </row>
    <row r="416" spans="1:4">
      <c r="A416" t="str">
        <f>TEXT(IF('Change in Employment'!B423&lt;&gt;0,DATE(YEAR('Change in Employment'!B423), MONTH('Change in Employment'!B423), 1), ""), "mm/dd/yyyy")</f>
        <v/>
      </c>
      <c r="B416" s="8" t="str">
        <f>IF(ISNUMBER('Change in Employment'!I423), TEXT('Change in Employment'!I423, "0"), "")</f>
        <v/>
      </c>
      <c r="C416" s="8" t="str">
        <f>IF(ISNUMBER('Change in Employment'!J423),TEXT('Change in Employment'!J423, "0"),"")</f>
        <v/>
      </c>
      <c r="D416" s="8" t="str">
        <f>IF(ISNUMBER('Change in Employment'!G423),'Change in Employment'!G423,"")</f>
        <v/>
      </c>
    </row>
    <row r="417" spans="1:4">
      <c r="A417" t="str">
        <f>TEXT(IF('Change in Employment'!B424&lt;&gt;0,DATE(YEAR('Change in Employment'!B424), MONTH('Change in Employment'!B424), 1), ""), "mm/dd/yyyy")</f>
        <v/>
      </c>
      <c r="B417" s="8" t="str">
        <f>IF(ISNUMBER('Change in Employment'!I424), TEXT('Change in Employment'!I424, "0"), "")</f>
        <v/>
      </c>
      <c r="C417" s="8" t="str">
        <f>IF(ISNUMBER('Change in Employment'!J424),TEXT('Change in Employment'!J424, "0"),"")</f>
        <v/>
      </c>
      <c r="D417" s="8" t="str">
        <f>IF(ISNUMBER('Change in Employment'!G424),'Change in Employment'!G424,"")</f>
        <v/>
      </c>
    </row>
    <row r="418" spans="1:4">
      <c r="A418" t="str">
        <f>TEXT(IF('Change in Employment'!B425&lt;&gt;0,DATE(YEAR('Change in Employment'!B425), MONTH('Change in Employment'!B425), 1), ""), "mm/dd/yyyy")</f>
        <v/>
      </c>
      <c r="B418" s="8" t="str">
        <f>IF(ISNUMBER('Change in Employment'!I425), TEXT('Change in Employment'!I425, "0"), "")</f>
        <v/>
      </c>
      <c r="C418" s="8" t="str">
        <f>IF(ISNUMBER('Change in Employment'!J425),TEXT('Change in Employment'!J425, "0"),"")</f>
        <v/>
      </c>
      <c r="D418" s="8" t="str">
        <f>IF(ISNUMBER('Change in Employment'!G425),'Change in Employment'!G425,"")</f>
        <v/>
      </c>
    </row>
    <row r="419" spans="1:4">
      <c r="A419" t="str">
        <f>TEXT(IF('Change in Employment'!B426&lt;&gt;0,DATE(YEAR('Change in Employment'!B426), MONTH('Change in Employment'!B426), 1), ""), "mm/dd/yyyy")</f>
        <v/>
      </c>
      <c r="B419" s="8" t="str">
        <f>IF(ISNUMBER('Change in Employment'!I426), TEXT('Change in Employment'!I426, "0"), "")</f>
        <v/>
      </c>
      <c r="C419" s="8" t="str">
        <f>IF(ISNUMBER('Change in Employment'!J426),TEXT('Change in Employment'!J426, "0"),"")</f>
        <v/>
      </c>
      <c r="D419" s="8" t="str">
        <f>IF(ISNUMBER('Change in Employment'!G426),'Change in Employment'!G426,"")</f>
        <v/>
      </c>
    </row>
    <row r="420" spans="1:4">
      <c r="A420" t="str">
        <f>TEXT(IF('Change in Employment'!B427&lt;&gt;0,DATE(YEAR('Change in Employment'!B427), MONTH('Change in Employment'!B427), 1), ""), "mm/dd/yyyy")</f>
        <v/>
      </c>
      <c r="B420" s="8" t="str">
        <f>IF(ISNUMBER('Change in Employment'!I427), TEXT('Change in Employment'!I427, "0"), "")</f>
        <v/>
      </c>
      <c r="C420" s="8" t="str">
        <f>IF(ISNUMBER('Change in Employment'!J427),TEXT('Change in Employment'!J427, "0"),"")</f>
        <v/>
      </c>
      <c r="D420" s="8" t="str">
        <f>IF(ISNUMBER('Change in Employment'!G427),'Change in Employment'!G427,"")</f>
        <v/>
      </c>
    </row>
    <row r="421" spans="1:4">
      <c r="A421" t="str">
        <f>TEXT(IF('Change in Employment'!B428&lt;&gt;0,DATE(YEAR('Change in Employment'!B428), MONTH('Change in Employment'!B428), 1), ""), "mm/dd/yyyy")</f>
        <v/>
      </c>
      <c r="B421" s="8" t="str">
        <f>IF(ISNUMBER('Change in Employment'!I428), TEXT('Change in Employment'!I428, "0"), "")</f>
        <v/>
      </c>
      <c r="C421" s="8" t="str">
        <f>IF(ISNUMBER('Change in Employment'!J428),TEXT('Change in Employment'!J428, "0"),"")</f>
        <v/>
      </c>
      <c r="D421" s="8" t="str">
        <f>IF(ISNUMBER('Change in Employment'!G428),'Change in Employment'!G428,"")</f>
        <v/>
      </c>
    </row>
    <row r="422" spans="1:4">
      <c r="A422" t="str">
        <f>TEXT(IF('Change in Employment'!B429&lt;&gt;0,DATE(YEAR('Change in Employment'!B429), MONTH('Change in Employment'!B429), 1), ""), "mm/dd/yyyy")</f>
        <v/>
      </c>
      <c r="B422" s="8" t="str">
        <f>IF(ISNUMBER('Change in Employment'!I429), TEXT('Change in Employment'!I429, "0"), "")</f>
        <v/>
      </c>
      <c r="C422" s="8" t="str">
        <f>IF(ISNUMBER('Change in Employment'!J429),TEXT('Change in Employment'!J429, "0"),"")</f>
        <v/>
      </c>
      <c r="D422" s="8" t="str">
        <f>IF(ISNUMBER('Change in Employment'!G429),'Change in Employment'!G429,"")</f>
        <v/>
      </c>
    </row>
    <row r="423" spans="1:4">
      <c r="A423" t="str">
        <f>TEXT(IF('Change in Employment'!B430&lt;&gt;0,DATE(YEAR('Change in Employment'!B430), MONTH('Change in Employment'!B430), 1), ""), "mm/dd/yyyy")</f>
        <v/>
      </c>
      <c r="B423" s="8" t="str">
        <f>IF(ISNUMBER('Change in Employment'!I430), TEXT('Change in Employment'!I430, "0"), "")</f>
        <v/>
      </c>
      <c r="C423" s="8" t="str">
        <f>IF(ISNUMBER('Change in Employment'!J430),TEXT('Change in Employment'!J430, "0"),"")</f>
        <v/>
      </c>
      <c r="D423" s="8" t="str">
        <f>IF(ISNUMBER('Change in Employment'!G430),'Change in Employment'!G430,"")</f>
        <v/>
      </c>
    </row>
    <row r="424" spans="1:4">
      <c r="A424" t="str">
        <f>TEXT(IF('Change in Employment'!B431&lt;&gt;0,DATE(YEAR('Change in Employment'!B431), MONTH('Change in Employment'!B431), 1), ""), "mm/dd/yyyy")</f>
        <v/>
      </c>
      <c r="B424" s="8" t="str">
        <f>IF(ISNUMBER('Change in Employment'!I431), TEXT('Change in Employment'!I431, "0"), "")</f>
        <v/>
      </c>
      <c r="C424" s="8" t="str">
        <f>IF(ISNUMBER('Change in Employment'!J431),TEXT('Change in Employment'!J431, "0"),"")</f>
        <v/>
      </c>
      <c r="D424" s="8" t="str">
        <f>IF(ISNUMBER('Change in Employment'!G431),'Change in Employment'!G431,"")</f>
        <v/>
      </c>
    </row>
    <row r="425" spans="1:4">
      <c r="A425" t="str">
        <f>TEXT(IF('Change in Employment'!B432&lt;&gt;0,DATE(YEAR('Change in Employment'!B432), MONTH('Change in Employment'!B432), 1), ""), "mm/dd/yyyy")</f>
        <v/>
      </c>
      <c r="B425" s="8" t="str">
        <f>IF(ISNUMBER('Change in Employment'!I432), TEXT('Change in Employment'!I432, "0"), "")</f>
        <v/>
      </c>
      <c r="C425" s="8" t="str">
        <f>IF(ISNUMBER('Change in Employment'!J432),TEXT('Change in Employment'!J432, "0"),"")</f>
        <v/>
      </c>
      <c r="D425" s="8" t="str">
        <f>IF(ISNUMBER('Change in Employment'!G432),'Change in Employment'!G432,"")</f>
        <v/>
      </c>
    </row>
    <row r="426" spans="1:4">
      <c r="A426" t="str">
        <f>TEXT(IF('Change in Employment'!B433&lt;&gt;0,DATE(YEAR('Change in Employment'!B433), MONTH('Change in Employment'!B433), 1), ""), "mm/dd/yyyy")</f>
        <v/>
      </c>
      <c r="B426" s="8" t="str">
        <f>IF(ISNUMBER('Change in Employment'!I433), TEXT('Change in Employment'!I433, "0"), "")</f>
        <v/>
      </c>
      <c r="C426" s="8" t="str">
        <f>IF(ISNUMBER('Change in Employment'!J433),TEXT('Change in Employment'!J433, "0"),"")</f>
        <v/>
      </c>
      <c r="D426" s="8" t="str">
        <f>IF(ISNUMBER('Change in Employment'!G433),'Change in Employment'!G433,"")</f>
        <v/>
      </c>
    </row>
    <row r="427" spans="1:4">
      <c r="A427" t="str">
        <f>TEXT(IF('Change in Employment'!B434&lt;&gt;0,DATE(YEAR('Change in Employment'!B434), MONTH('Change in Employment'!B434), 1), ""), "mm/dd/yyyy")</f>
        <v/>
      </c>
      <c r="B427" s="8" t="str">
        <f>IF(ISNUMBER('Change in Employment'!I434), TEXT('Change in Employment'!I434, "0"), "")</f>
        <v/>
      </c>
      <c r="C427" s="8" t="str">
        <f>IF(ISNUMBER('Change in Employment'!J434),TEXT('Change in Employment'!J434, "0"),"")</f>
        <v/>
      </c>
      <c r="D427" s="8" t="str">
        <f>IF(ISNUMBER('Change in Employment'!G434),'Change in Employment'!G434,"")</f>
        <v/>
      </c>
    </row>
    <row r="428" spans="1:4">
      <c r="A428" t="str">
        <f>TEXT(IF('Change in Employment'!B435&lt;&gt;0,DATE(YEAR('Change in Employment'!B435), MONTH('Change in Employment'!B435), 1), ""), "mm/dd/yyyy")</f>
        <v/>
      </c>
      <c r="B428" s="8" t="str">
        <f>IF(ISNUMBER('Change in Employment'!I435), TEXT('Change in Employment'!I435, "0"), "")</f>
        <v/>
      </c>
      <c r="C428" s="8" t="str">
        <f>IF(ISNUMBER('Change in Employment'!J435),TEXT('Change in Employment'!J435, "0"),"")</f>
        <v/>
      </c>
      <c r="D428" s="8" t="str">
        <f>IF(ISNUMBER('Change in Employment'!G435),'Change in Employment'!G435,"")</f>
        <v/>
      </c>
    </row>
    <row r="429" spans="1:4">
      <c r="A429" t="str">
        <f>TEXT(IF('Change in Employment'!B436&lt;&gt;0,DATE(YEAR('Change in Employment'!B436), MONTH('Change in Employment'!B436), 1), ""), "mm/dd/yyyy")</f>
        <v/>
      </c>
      <c r="B429" s="8" t="str">
        <f>IF(ISNUMBER('Change in Employment'!I436), TEXT('Change in Employment'!I436, "0"), "")</f>
        <v/>
      </c>
      <c r="C429" s="8" t="str">
        <f>IF(ISNUMBER('Change in Employment'!J436),TEXT('Change in Employment'!J436, "0"),"")</f>
        <v/>
      </c>
      <c r="D429" s="8" t="str">
        <f>IF(ISNUMBER('Change in Employment'!G436),'Change in Employment'!G436,"")</f>
        <v/>
      </c>
    </row>
    <row r="430" spans="1:4">
      <c r="A430" t="str">
        <f>TEXT(IF('Change in Employment'!B437&lt;&gt;0,DATE(YEAR('Change in Employment'!B437), MONTH('Change in Employment'!B437), 1), ""), "mm/dd/yyyy")</f>
        <v/>
      </c>
      <c r="B430" s="8" t="str">
        <f>IF(ISNUMBER('Change in Employment'!I437), TEXT('Change in Employment'!I437, "0"), "")</f>
        <v/>
      </c>
      <c r="C430" s="8" t="str">
        <f>IF(ISNUMBER('Change in Employment'!J437),TEXT('Change in Employment'!J437, "0"),"")</f>
        <v/>
      </c>
      <c r="D430" s="8" t="str">
        <f>IF(ISNUMBER('Change in Employment'!G437),'Change in Employment'!G437,"")</f>
        <v/>
      </c>
    </row>
    <row r="431" spans="1:4">
      <c r="A431" t="str">
        <f>TEXT(IF('Change in Employment'!B438&lt;&gt;0,DATE(YEAR('Change in Employment'!B438), MONTH('Change in Employment'!B438), 1), ""), "mm/dd/yyyy")</f>
        <v/>
      </c>
      <c r="B431" s="8" t="str">
        <f>IF(ISNUMBER('Change in Employment'!I438), TEXT('Change in Employment'!I438, "0"), "")</f>
        <v/>
      </c>
      <c r="C431" s="8" t="str">
        <f>IF(ISNUMBER('Change in Employment'!J438),TEXT('Change in Employment'!J438, "0"),"")</f>
        <v/>
      </c>
      <c r="D431" s="8" t="str">
        <f>IF(ISNUMBER('Change in Employment'!G438),'Change in Employment'!G438,"")</f>
        <v/>
      </c>
    </row>
    <row r="432" spans="1:4">
      <c r="A432" t="str">
        <f>TEXT(IF('Change in Employment'!B439&lt;&gt;0,DATE(YEAR('Change in Employment'!B439), MONTH('Change in Employment'!B439), 1), ""), "mm/dd/yyyy")</f>
        <v/>
      </c>
      <c r="B432" s="8" t="str">
        <f>IF(ISNUMBER('Change in Employment'!I439), TEXT('Change in Employment'!I439, "0"), "")</f>
        <v/>
      </c>
      <c r="C432" s="8" t="str">
        <f>IF(ISNUMBER('Change in Employment'!J439),TEXT('Change in Employment'!J439, "0"),"")</f>
        <v/>
      </c>
      <c r="D432" s="8" t="str">
        <f>IF(ISNUMBER('Change in Employment'!G439),'Change in Employment'!G439,"")</f>
        <v/>
      </c>
    </row>
    <row r="433" spans="1:4">
      <c r="A433" t="str">
        <f>TEXT(IF('Change in Employment'!B440&lt;&gt;0,DATE(YEAR('Change in Employment'!B440), MONTH('Change in Employment'!B440), 1), ""), "mm/dd/yyyy")</f>
        <v/>
      </c>
      <c r="B433" s="8" t="str">
        <f>IF(ISNUMBER('Change in Employment'!I440), TEXT('Change in Employment'!I440, "0"), "")</f>
        <v/>
      </c>
      <c r="C433" s="8" t="str">
        <f>IF(ISNUMBER('Change in Employment'!J440),TEXT('Change in Employment'!J440, "0"),"")</f>
        <v/>
      </c>
      <c r="D433" s="8" t="str">
        <f>IF(ISNUMBER('Change in Employment'!G440),'Change in Employment'!G440,"")</f>
        <v/>
      </c>
    </row>
    <row r="434" spans="1:4">
      <c r="A434" t="str">
        <f>TEXT(IF('Change in Employment'!B441&lt;&gt;0,DATE(YEAR('Change in Employment'!B441), MONTH('Change in Employment'!B441), 1), ""), "mm/dd/yyyy")</f>
        <v/>
      </c>
      <c r="B434" s="8" t="str">
        <f>IF(ISNUMBER('Change in Employment'!I441), TEXT('Change in Employment'!I441, "0"), "")</f>
        <v/>
      </c>
      <c r="C434" s="8" t="str">
        <f>IF(ISNUMBER('Change in Employment'!J441),TEXT('Change in Employment'!J441, "0"),"")</f>
        <v/>
      </c>
      <c r="D434" s="8" t="str">
        <f>IF(ISNUMBER('Change in Employment'!G441),'Change in Employment'!G441,"")</f>
        <v/>
      </c>
    </row>
    <row r="435" spans="1:4">
      <c r="A435" t="str">
        <f>TEXT(IF('Change in Employment'!B442&lt;&gt;0,DATE(YEAR('Change in Employment'!B442), MONTH('Change in Employment'!B442), 1), ""), "mm/dd/yyyy")</f>
        <v/>
      </c>
      <c r="B435" s="8" t="str">
        <f>IF(ISNUMBER('Change in Employment'!I442), TEXT('Change in Employment'!I442, "0"), "")</f>
        <v/>
      </c>
      <c r="C435" s="8" t="str">
        <f>IF(ISNUMBER('Change in Employment'!J442),TEXT('Change in Employment'!J442, "0"),"")</f>
        <v/>
      </c>
      <c r="D435" s="8" t="str">
        <f>IF(ISNUMBER('Change in Employment'!G442),'Change in Employment'!G442,"")</f>
        <v/>
      </c>
    </row>
    <row r="436" spans="1:4">
      <c r="A436" t="str">
        <f>TEXT(IF('Change in Employment'!B443&lt;&gt;0,DATE(YEAR('Change in Employment'!B443), MONTH('Change in Employment'!B443), 1), ""), "mm/dd/yyyy")</f>
        <v/>
      </c>
      <c r="B436" s="8" t="str">
        <f>IF(ISNUMBER('Change in Employment'!I443), TEXT('Change in Employment'!I443, "0"), "")</f>
        <v/>
      </c>
      <c r="C436" s="8" t="str">
        <f>IF(ISNUMBER('Change in Employment'!J443),TEXT('Change in Employment'!J443, "0"),"")</f>
        <v/>
      </c>
      <c r="D436" s="8" t="str">
        <f>IF(ISNUMBER('Change in Employment'!G443),'Change in Employment'!G443,"")</f>
        <v/>
      </c>
    </row>
    <row r="437" spans="1:4">
      <c r="A437" t="str">
        <f>TEXT(IF('Change in Employment'!B444&lt;&gt;0,DATE(YEAR('Change in Employment'!B444), MONTH('Change in Employment'!B444), 1), ""), "mm/dd/yyyy")</f>
        <v/>
      </c>
      <c r="B437" s="8" t="str">
        <f>IF(ISNUMBER('Change in Employment'!I444), TEXT('Change in Employment'!I444, "0"), "")</f>
        <v/>
      </c>
      <c r="C437" s="8" t="str">
        <f>IF(ISNUMBER('Change in Employment'!J444),TEXT('Change in Employment'!J444, "0"),"")</f>
        <v/>
      </c>
      <c r="D437" s="8" t="str">
        <f>IF(ISNUMBER('Change in Employment'!G444),'Change in Employment'!G444,"")</f>
        <v/>
      </c>
    </row>
    <row r="438" spans="1:4">
      <c r="A438" t="str">
        <f>TEXT(IF('Change in Employment'!B445&lt;&gt;0,DATE(YEAR('Change in Employment'!B445), MONTH('Change in Employment'!B445), 1), ""), "mm/dd/yyyy")</f>
        <v/>
      </c>
      <c r="B438" s="8" t="str">
        <f>IF(ISNUMBER('Change in Employment'!I445), TEXT('Change in Employment'!I445, "0"), "")</f>
        <v/>
      </c>
      <c r="C438" s="8" t="str">
        <f>IF(ISNUMBER('Change in Employment'!J445),TEXT('Change in Employment'!J445, "0"),"")</f>
        <v/>
      </c>
      <c r="D438" s="8" t="str">
        <f>IF(ISNUMBER('Change in Employment'!G445),'Change in Employment'!G445,"")</f>
        <v/>
      </c>
    </row>
    <row r="439" spans="1:4">
      <c r="A439" t="str">
        <f>TEXT(IF('Change in Employment'!B446&lt;&gt;0,DATE(YEAR('Change in Employment'!B446), MONTH('Change in Employment'!B446), 1), ""), "mm/dd/yyyy")</f>
        <v/>
      </c>
      <c r="B439" s="8" t="str">
        <f>IF(ISNUMBER('Change in Employment'!I446), TEXT('Change in Employment'!I446, "0"), "")</f>
        <v/>
      </c>
      <c r="C439" s="8" t="str">
        <f>IF(ISNUMBER('Change in Employment'!J446),TEXT('Change in Employment'!J446, "0"),"")</f>
        <v/>
      </c>
      <c r="D439" s="8" t="str">
        <f>IF(ISNUMBER('Change in Employment'!G446),'Change in Employment'!G446,"")</f>
        <v/>
      </c>
    </row>
    <row r="440" spans="1:4">
      <c r="A440" t="str">
        <f>TEXT(IF('Change in Employment'!B447&lt;&gt;0,DATE(YEAR('Change in Employment'!B447), MONTH('Change in Employment'!B447), 1), ""), "mm/dd/yyyy")</f>
        <v/>
      </c>
      <c r="B440" s="8" t="str">
        <f>IF(ISNUMBER('Change in Employment'!I447), TEXT('Change in Employment'!I447, "0"), "")</f>
        <v/>
      </c>
      <c r="C440" s="8" t="str">
        <f>IF(ISNUMBER('Change in Employment'!J447),TEXT('Change in Employment'!J447, "0"),"")</f>
        <v/>
      </c>
      <c r="D440" s="8" t="str">
        <f>IF(ISNUMBER('Change in Employment'!G447),'Change in Employment'!G447,"")</f>
        <v/>
      </c>
    </row>
    <row r="441" spans="1:4">
      <c r="A441" t="str">
        <f>TEXT(IF('Change in Employment'!B448&lt;&gt;0,DATE(YEAR('Change in Employment'!B448), MONTH('Change in Employment'!B448), 1), ""), "mm/dd/yyyy")</f>
        <v/>
      </c>
      <c r="B441" s="8" t="str">
        <f>IF(ISNUMBER('Change in Employment'!I448), TEXT('Change in Employment'!I448, "0"), "")</f>
        <v/>
      </c>
      <c r="C441" s="8" t="str">
        <f>IF(ISNUMBER('Change in Employment'!J448),TEXT('Change in Employment'!J448, "0"),"")</f>
        <v/>
      </c>
      <c r="D441" s="8" t="str">
        <f>IF(ISNUMBER('Change in Employment'!G448),'Change in Employment'!G448,"")</f>
        <v/>
      </c>
    </row>
    <row r="442" spans="1:4">
      <c r="A442" t="str">
        <f>TEXT(IF('Change in Employment'!B449&lt;&gt;0,DATE(YEAR('Change in Employment'!B449), MONTH('Change in Employment'!B449), 1), ""), "mm/dd/yyyy")</f>
        <v/>
      </c>
      <c r="B442" s="8" t="str">
        <f>IF(ISNUMBER('Change in Employment'!I449), TEXT('Change in Employment'!I449, "0"), "")</f>
        <v/>
      </c>
      <c r="C442" s="8" t="str">
        <f>IF(ISNUMBER('Change in Employment'!J449),TEXT('Change in Employment'!J449, "0"),"")</f>
        <v/>
      </c>
      <c r="D442" s="8" t="str">
        <f>IF(ISNUMBER('Change in Employment'!G449),'Change in Employment'!G449,"")</f>
        <v/>
      </c>
    </row>
    <row r="443" spans="1:4">
      <c r="A443" t="str">
        <f>TEXT(IF('Change in Employment'!B450&lt;&gt;0,DATE(YEAR('Change in Employment'!B450), MONTH('Change in Employment'!B450), 1), ""), "mm/dd/yyyy")</f>
        <v/>
      </c>
      <c r="B443" s="8" t="str">
        <f>IF(ISNUMBER('Change in Employment'!I450), TEXT('Change in Employment'!I450, "0"), "")</f>
        <v/>
      </c>
      <c r="C443" s="8" t="str">
        <f>IF(ISNUMBER('Change in Employment'!J450),TEXT('Change in Employment'!J450, "0"),"")</f>
        <v/>
      </c>
      <c r="D443" s="8" t="str">
        <f>IF(ISNUMBER('Change in Employment'!G450),'Change in Employment'!G450,"")</f>
        <v/>
      </c>
    </row>
    <row r="444" spans="1:4">
      <c r="A444" t="str">
        <f>TEXT(IF('Change in Employment'!B451&lt;&gt;0,DATE(YEAR('Change in Employment'!B451), MONTH('Change in Employment'!B451), 1), ""), "mm/dd/yyyy")</f>
        <v/>
      </c>
      <c r="B444" s="8" t="str">
        <f>IF(ISNUMBER('Change in Employment'!I451), TEXT('Change in Employment'!I451, "0"), "")</f>
        <v/>
      </c>
      <c r="C444" s="8" t="str">
        <f>IF(ISNUMBER('Change in Employment'!J451),TEXT('Change in Employment'!J451, "0"),"")</f>
        <v/>
      </c>
      <c r="D444" s="8" t="str">
        <f>IF(ISNUMBER('Change in Employment'!G451),'Change in Employment'!G451,"")</f>
        <v/>
      </c>
    </row>
    <row r="445" spans="1:4">
      <c r="A445" t="str">
        <f>TEXT(IF('Change in Employment'!B452&lt;&gt;0,DATE(YEAR('Change in Employment'!B452), MONTH('Change in Employment'!B452), 1), ""), "mm/dd/yyyy")</f>
        <v/>
      </c>
      <c r="B445" s="8" t="str">
        <f>IF(ISNUMBER('Change in Employment'!I452), TEXT('Change in Employment'!I452, "0"), "")</f>
        <v/>
      </c>
      <c r="C445" s="8" t="str">
        <f>IF(ISNUMBER('Change in Employment'!J452),TEXT('Change in Employment'!J452, "0"),"")</f>
        <v/>
      </c>
      <c r="D445" s="8" t="str">
        <f>IF(ISNUMBER('Change in Employment'!G452),'Change in Employment'!G452,"")</f>
        <v/>
      </c>
    </row>
    <row r="446" spans="1:4">
      <c r="A446" t="str">
        <f>TEXT(IF('Change in Employment'!B453&lt;&gt;0,DATE(YEAR('Change in Employment'!B453), MONTH('Change in Employment'!B453), 1), ""), "mm/dd/yyyy")</f>
        <v/>
      </c>
      <c r="B446" s="8" t="str">
        <f>IF(ISNUMBER('Change in Employment'!I453), TEXT('Change in Employment'!I453, "0"), "")</f>
        <v/>
      </c>
      <c r="C446" s="8" t="str">
        <f>IF(ISNUMBER('Change in Employment'!J453),TEXT('Change in Employment'!J453, "0"),"")</f>
        <v/>
      </c>
      <c r="D446" s="8" t="str">
        <f>IF(ISNUMBER('Change in Employment'!G453),'Change in Employment'!G453,"")</f>
        <v/>
      </c>
    </row>
    <row r="447" spans="1:4">
      <c r="A447" t="str">
        <f>TEXT(IF('Change in Employment'!B454&lt;&gt;0,DATE(YEAR('Change in Employment'!B454), MONTH('Change in Employment'!B454), 1), ""), "mm/dd/yyyy")</f>
        <v/>
      </c>
      <c r="B447" s="8" t="str">
        <f>IF(ISNUMBER('Change in Employment'!I454), TEXT('Change in Employment'!I454, "0"), "")</f>
        <v/>
      </c>
      <c r="C447" s="8" t="str">
        <f>IF(ISNUMBER('Change in Employment'!J454),TEXT('Change in Employment'!J454, "0"),"")</f>
        <v/>
      </c>
      <c r="D447" s="8" t="str">
        <f>IF(ISNUMBER('Change in Employment'!G454),'Change in Employment'!G454,"")</f>
        <v/>
      </c>
    </row>
    <row r="448" spans="1:4">
      <c r="A448" t="str">
        <f>TEXT(IF('Change in Employment'!B455&lt;&gt;0,DATE(YEAR('Change in Employment'!B455), MONTH('Change in Employment'!B455), 1), ""), "mm/dd/yyyy")</f>
        <v/>
      </c>
      <c r="B448" s="8" t="str">
        <f>IF(ISNUMBER('Change in Employment'!I455), TEXT('Change in Employment'!I455, "0"), "")</f>
        <v/>
      </c>
      <c r="C448" s="8" t="str">
        <f>IF(ISNUMBER('Change in Employment'!J455),TEXT('Change in Employment'!J455, "0"),"")</f>
        <v/>
      </c>
      <c r="D448" s="8" t="str">
        <f>IF(ISNUMBER('Change in Employment'!G455),'Change in Employment'!G455,"")</f>
        <v/>
      </c>
    </row>
    <row r="449" spans="1:4">
      <c r="A449" t="str">
        <f>TEXT(IF('Change in Employment'!B456&lt;&gt;0,DATE(YEAR('Change in Employment'!B456), MONTH('Change in Employment'!B456), 1), ""), "mm/dd/yyyy")</f>
        <v/>
      </c>
      <c r="B449" s="8" t="str">
        <f>IF(ISNUMBER('Change in Employment'!I456), TEXT('Change in Employment'!I456, "0"), "")</f>
        <v/>
      </c>
      <c r="C449" s="8" t="str">
        <f>IF(ISNUMBER('Change in Employment'!J456),TEXT('Change in Employment'!J456, "0"),"")</f>
        <v/>
      </c>
      <c r="D449" s="8" t="str">
        <f>IF(ISNUMBER('Change in Employment'!G456),'Change in Employment'!G456,"")</f>
        <v/>
      </c>
    </row>
    <row r="450" spans="1:4">
      <c r="A450" t="str">
        <f>TEXT(IF('Change in Employment'!B457&lt;&gt;0,DATE(YEAR('Change in Employment'!B457), MONTH('Change in Employment'!B457), 1), ""), "mm/dd/yyyy")</f>
        <v/>
      </c>
      <c r="B450" s="8" t="str">
        <f>IF(ISNUMBER('Change in Employment'!I457), TEXT('Change in Employment'!I457, "0"), "")</f>
        <v/>
      </c>
      <c r="C450" s="8" t="str">
        <f>IF(ISNUMBER('Change in Employment'!J457),TEXT('Change in Employment'!J457, "0"),"")</f>
        <v/>
      </c>
      <c r="D450" s="8" t="str">
        <f>IF(ISNUMBER('Change in Employment'!G457),'Change in Employment'!G457,"")</f>
        <v/>
      </c>
    </row>
    <row r="451" spans="1:4">
      <c r="A451" t="str">
        <f>TEXT(IF('Change in Employment'!B458&lt;&gt;0,DATE(YEAR('Change in Employment'!B458), MONTH('Change in Employment'!B458), 1), ""), "mm/dd/yyyy")</f>
        <v/>
      </c>
      <c r="B451" s="8" t="str">
        <f>IF(ISNUMBER('Change in Employment'!I458), TEXT('Change in Employment'!I458, "0"), "")</f>
        <v/>
      </c>
      <c r="C451" s="8" t="str">
        <f>IF(ISNUMBER('Change in Employment'!J458),TEXT('Change in Employment'!J458, "0"),"")</f>
        <v/>
      </c>
      <c r="D451" s="8" t="str">
        <f>IF(ISNUMBER('Change in Employment'!G458),'Change in Employment'!G458,"")</f>
        <v/>
      </c>
    </row>
    <row r="452" spans="1:4">
      <c r="A452" t="str">
        <f>TEXT(IF('Change in Employment'!B459&lt;&gt;0,DATE(YEAR('Change in Employment'!B459), MONTH('Change in Employment'!B459), 1), ""), "mm/dd/yyyy")</f>
        <v/>
      </c>
      <c r="B452" s="8" t="str">
        <f>IF(ISNUMBER('Change in Employment'!I459), TEXT('Change in Employment'!I459, "0"), "")</f>
        <v/>
      </c>
      <c r="C452" s="8" t="str">
        <f>IF(ISNUMBER('Change in Employment'!J459),TEXT('Change in Employment'!J459, "0"),"")</f>
        <v/>
      </c>
      <c r="D452" s="8" t="str">
        <f>IF(ISNUMBER('Change in Employment'!G459),'Change in Employment'!G459,"")</f>
        <v/>
      </c>
    </row>
    <row r="453" spans="1:4">
      <c r="A453" t="str">
        <f>TEXT(IF('Change in Employment'!B460&lt;&gt;0,DATE(YEAR('Change in Employment'!B460), MONTH('Change in Employment'!B460), 1), ""), "mm/dd/yyyy")</f>
        <v/>
      </c>
      <c r="B453" s="8" t="str">
        <f>IF(ISNUMBER('Change in Employment'!I460), TEXT('Change in Employment'!I460, "0"), "")</f>
        <v/>
      </c>
      <c r="C453" s="8" t="str">
        <f>IF(ISNUMBER('Change in Employment'!J460),TEXT('Change in Employment'!J460, "0"),"")</f>
        <v/>
      </c>
      <c r="D453" s="8" t="str">
        <f>IF(ISNUMBER('Change in Employment'!G460),'Change in Employment'!G460,"")</f>
        <v/>
      </c>
    </row>
    <row r="454" spans="1:4">
      <c r="A454" t="str">
        <f>TEXT(IF('Change in Employment'!B461&lt;&gt;0,DATE(YEAR('Change in Employment'!B461), MONTH('Change in Employment'!B461), 1), ""), "mm/dd/yyyy")</f>
        <v/>
      </c>
      <c r="B454" s="8" t="str">
        <f>IF(ISNUMBER('Change in Employment'!I461), TEXT('Change in Employment'!I461, "0"), "")</f>
        <v/>
      </c>
      <c r="C454" s="8" t="str">
        <f>IF(ISNUMBER('Change in Employment'!J461),TEXT('Change in Employment'!J461, "0"),"")</f>
        <v/>
      </c>
      <c r="D454" s="8" t="str">
        <f>IF(ISNUMBER('Change in Employment'!G461),'Change in Employment'!G461,"")</f>
        <v/>
      </c>
    </row>
    <row r="455" spans="1:4">
      <c r="A455" t="str">
        <f>TEXT(IF('Change in Employment'!B462&lt;&gt;0,DATE(YEAR('Change in Employment'!B462), MONTH('Change in Employment'!B462), 1), ""), "mm/dd/yyyy")</f>
        <v/>
      </c>
      <c r="B455" s="8" t="str">
        <f>IF(ISNUMBER('Change in Employment'!I462), TEXT('Change in Employment'!I462, "0"), "")</f>
        <v/>
      </c>
      <c r="C455" s="8" t="str">
        <f>IF(ISNUMBER('Change in Employment'!J462),TEXT('Change in Employment'!J462, "0"),"")</f>
        <v/>
      </c>
      <c r="D455" s="8" t="str">
        <f>IF(ISNUMBER('Change in Employment'!G462),'Change in Employment'!G462,"")</f>
        <v/>
      </c>
    </row>
    <row r="456" spans="1:4">
      <c r="A456" t="str">
        <f>TEXT(IF('Change in Employment'!B463&lt;&gt;0,DATE(YEAR('Change in Employment'!B463), MONTH('Change in Employment'!B463), 1), ""), "mm/dd/yyyy")</f>
        <v/>
      </c>
      <c r="B456" s="8" t="str">
        <f>IF(ISNUMBER('Change in Employment'!I463), TEXT('Change in Employment'!I463, "0"), "")</f>
        <v/>
      </c>
      <c r="C456" s="8" t="str">
        <f>IF(ISNUMBER('Change in Employment'!J463),TEXT('Change in Employment'!J463, "0"),"")</f>
        <v/>
      </c>
      <c r="D456" s="8" t="str">
        <f>IF(ISNUMBER('Change in Employment'!G463),'Change in Employment'!G463,"")</f>
        <v/>
      </c>
    </row>
    <row r="457" spans="1:4">
      <c r="A457" t="str">
        <f>TEXT(IF('Change in Employment'!B464&lt;&gt;0,DATE(YEAR('Change in Employment'!B464), MONTH('Change in Employment'!B464), 1), ""), "mm/dd/yyyy")</f>
        <v/>
      </c>
      <c r="B457" s="8" t="str">
        <f>IF(ISNUMBER('Change in Employment'!I464), TEXT('Change in Employment'!I464, "0"), "")</f>
        <v/>
      </c>
      <c r="C457" s="8" t="str">
        <f>IF(ISNUMBER('Change in Employment'!J464),TEXT('Change in Employment'!J464, "0"),"")</f>
        <v/>
      </c>
      <c r="D457" s="8" t="str">
        <f>IF(ISNUMBER('Change in Employment'!G464),'Change in Employment'!G464,"")</f>
        <v/>
      </c>
    </row>
    <row r="458" spans="1:4">
      <c r="A458" t="str">
        <f>TEXT(IF('Change in Employment'!B465&lt;&gt;0,DATE(YEAR('Change in Employment'!B465), MONTH('Change in Employment'!B465), 1), ""), "mm/dd/yyyy")</f>
        <v/>
      </c>
      <c r="B458" s="8" t="str">
        <f>IF(ISNUMBER('Change in Employment'!I465), TEXT('Change in Employment'!I465, "0"), "")</f>
        <v/>
      </c>
      <c r="C458" s="8" t="str">
        <f>IF(ISNUMBER('Change in Employment'!J465),TEXT('Change in Employment'!J465, "0"),"")</f>
        <v/>
      </c>
      <c r="D458" s="8" t="str">
        <f>IF(ISNUMBER('Change in Employment'!G465),'Change in Employment'!G465,"")</f>
        <v/>
      </c>
    </row>
    <row r="459" spans="1:4">
      <c r="A459" t="str">
        <f>TEXT(IF('Change in Employment'!B466&lt;&gt;0,DATE(YEAR('Change in Employment'!B466), MONTH('Change in Employment'!B466), 1), ""), "mm/dd/yyyy")</f>
        <v/>
      </c>
      <c r="B459" s="8" t="str">
        <f>IF(ISNUMBER('Change in Employment'!I466), TEXT('Change in Employment'!I466, "0"), "")</f>
        <v/>
      </c>
      <c r="C459" s="8" t="str">
        <f>IF(ISNUMBER('Change in Employment'!J466),TEXT('Change in Employment'!J466, "0"),"")</f>
        <v/>
      </c>
      <c r="D459" s="8" t="str">
        <f>IF(ISNUMBER('Change in Employment'!G466),'Change in Employment'!G466,"")</f>
        <v/>
      </c>
    </row>
    <row r="460" spans="1:4">
      <c r="A460" t="str">
        <f>TEXT(IF('Change in Employment'!B467&lt;&gt;0,DATE(YEAR('Change in Employment'!B467), MONTH('Change in Employment'!B467), 1), ""), "mm/dd/yyyy")</f>
        <v/>
      </c>
      <c r="B460" s="8" t="str">
        <f>IF(ISNUMBER('Change in Employment'!I467), TEXT('Change in Employment'!I467, "0"), "")</f>
        <v/>
      </c>
      <c r="C460" s="8" t="str">
        <f>IF(ISNUMBER('Change in Employment'!J467),TEXT('Change in Employment'!J467, "0"),"")</f>
        <v/>
      </c>
      <c r="D460" s="8" t="str">
        <f>IF(ISNUMBER('Change in Employment'!G467),'Change in Employment'!G467,"")</f>
        <v/>
      </c>
    </row>
    <row r="461" spans="1:4">
      <c r="A461" t="str">
        <f>TEXT(IF('Change in Employment'!B468&lt;&gt;0,DATE(YEAR('Change in Employment'!B468), MONTH('Change in Employment'!B468), 1), ""), "mm/dd/yyyy")</f>
        <v/>
      </c>
      <c r="B461" s="8" t="str">
        <f>IF(ISNUMBER('Change in Employment'!I468), TEXT('Change in Employment'!I468, "0"), "")</f>
        <v/>
      </c>
      <c r="C461" s="8" t="str">
        <f>IF(ISNUMBER('Change in Employment'!J468),TEXT('Change in Employment'!J468, "0"),"")</f>
        <v/>
      </c>
      <c r="D461" s="8" t="str">
        <f>IF(ISNUMBER('Change in Employment'!G468),'Change in Employment'!G468,"")</f>
        <v/>
      </c>
    </row>
    <row r="462" spans="1:4">
      <c r="A462" t="str">
        <f>TEXT(IF('Change in Employment'!B469&lt;&gt;0,DATE(YEAR('Change in Employment'!B469), MONTH('Change in Employment'!B469), 1), ""), "mm/dd/yyyy")</f>
        <v/>
      </c>
      <c r="B462" s="8" t="str">
        <f>IF(ISNUMBER('Change in Employment'!I469), TEXT('Change in Employment'!I469, "0"), "")</f>
        <v/>
      </c>
      <c r="C462" s="8" t="str">
        <f>IF(ISNUMBER('Change in Employment'!J469),TEXT('Change in Employment'!J469, "0"),"")</f>
        <v/>
      </c>
      <c r="D462" s="8" t="str">
        <f>IF(ISNUMBER('Change in Employment'!G469),'Change in Employment'!G469,"")</f>
        <v/>
      </c>
    </row>
    <row r="463" spans="1:4">
      <c r="A463" t="str">
        <f>TEXT(IF('Change in Employment'!B470&lt;&gt;0,DATE(YEAR('Change in Employment'!B470), MONTH('Change in Employment'!B470), 1), ""), "mm/dd/yyyy")</f>
        <v/>
      </c>
      <c r="B463" s="8" t="str">
        <f>IF(ISNUMBER('Change in Employment'!I470), TEXT('Change in Employment'!I470, "0"), "")</f>
        <v/>
      </c>
      <c r="C463" s="8" t="str">
        <f>IF(ISNUMBER('Change in Employment'!J470),TEXT('Change in Employment'!J470, "0"),"")</f>
        <v/>
      </c>
      <c r="D463" s="8" t="str">
        <f>IF(ISNUMBER('Change in Employment'!G470),'Change in Employment'!G470,"")</f>
        <v/>
      </c>
    </row>
    <row r="464" spans="1:4">
      <c r="A464" t="str">
        <f>TEXT(IF('Change in Employment'!B471&lt;&gt;0,DATE(YEAR('Change in Employment'!B471), MONTH('Change in Employment'!B471), 1), ""), "mm/dd/yyyy")</f>
        <v/>
      </c>
      <c r="B464" s="8" t="str">
        <f>IF(ISNUMBER('Change in Employment'!I471), TEXT('Change in Employment'!I471, "0"), "")</f>
        <v/>
      </c>
      <c r="C464" s="8" t="str">
        <f>IF(ISNUMBER('Change in Employment'!J471),TEXT('Change in Employment'!J471, "0"),"")</f>
        <v/>
      </c>
      <c r="D464" s="8" t="str">
        <f>IF(ISNUMBER('Change in Employment'!G471),'Change in Employment'!G471,"")</f>
        <v/>
      </c>
    </row>
    <row r="465" spans="1:4">
      <c r="A465" t="str">
        <f>TEXT(IF('Change in Employment'!B472&lt;&gt;0,DATE(YEAR('Change in Employment'!B472), MONTH('Change in Employment'!B472), 1), ""), "mm/dd/yyyy")</f>
        <v/>
      </c>
      <c r="B465" s="8" t="str">
        <f>IF(ISNUMBER('Change in Employment'!I472), TEXT('Change in Employment'!I472, "0"), "")</f>
        <v/>
      </c>
      <c r="C465" s="8" t="str">
        <f>IF(ISNUMBER('Change in Employment'!J472),TEXT('Change in Employment'!J472, "0"),"")</f>
        <v/>
      </c>
      <c r="D465" s="8" t="str">
        <f>IF(ISNUMBER('Change in Employment'!G472),'Change in Employment'!G472,"")</f>
        <v/>
      </c>
    </row>
    <row r="466" spans="1:4">
      <c r="A466" t="str">
        <f>TEXT(IF('Change in Employment'!B473&lt;&gt;0,DATE(YEAR('Change in Employment'!B473), MONTH('Change in Employment'!B473), 1), ""), "mm/dd/yyyy")</f>
        <v/>
      </c>
      <c r="B466" s="8" t="str">
        <f>IF(ISNUMBER('Change in Employment'!I473), TEXT('Change in Employment'!I473, "0"), "")</f>
        <v/>
      </c>
      <c r="C466" s="8" t="str">
        <f>IF(ISNUMBER('Change in Employment'!J473),TEXT('Change in Employment'!J473, "0"),"")</f>
        <v/>
      </c>
      <c r="D466" s="8" t="str">
        <f>IF(ISNUMBER('Change in Employment'!G473),'Change in Employment'!G473,"")</f>
        <v/>
      </c>
    </row>
    <row r="467" spans="1:4">
      <c r="A467" t="str">
        <f>TEXT(IF('Change in Employment'!B474&lt;&gt;0,DATE(YEAR('Change in Employment'!B474), MONTH('Change in Employment'!B474), 1), ""), "mm/dd/yyyy")</f>
        <v/>
      </c>
      <c r="B467" s="8" t="str">
        <f>IF(ISNUMBER('Change in Employment'!I474), TEXT('Change in Employment'!I474, "0"), "")</f>
        <v/>
      </c>
      <c r="C467" s="8" t="str">
        <f>IF(ISNUMBER('Change in Employment'!J474),TEXT('Change in Employment'!J474, "0"),"")</f>
        <v/>
      </c>
      <c r="D467" s="8" t="str">
        <f>IF(ISNUMBER('Change in Employment'!G474),'Change in Employment'!G474,"")</f>
        <v/>
      </c>
    </row>
    <row r="468" spans="1:4">
      <c r="A468" t="str">
        <f>TEXT(IF('Change in Employment'!B475&lt;&gt;0,DATE(YEAR('Change in Employment'!B475), MONTH('Change in Employment'!B475), 1), ""), "mm/dd/yyyy")</f>
        <v/>
      </c>
      <c r="B468" s="8" t="str">
        <f>IF(ISNUMBER('Change in Employment'!I475), TEXT('Change in Employment'!I475, "0"), "")</f>
        <v/>
      </c>
      <c r="C468" s="8" t="str">
        <f>IF(ISNUMBER('Change in Employment'!J475),TEXT('Change in Employment'!J475, "0"),"")</f>
        <v/>
      </c>
      <c r="D468" s="8" t="str">
        <f>IF(ISNUMBER('Change in Employment'!G475),'Change in Employment'!G475,"")</f>
        <v/>
      </c>
    </row>
    <row r="469" spans="1:4">
      <c r="A469" t="str">
        <f>TEXT(IF('Change in Employment'!B476&lt;&gt;0,DATE(YEAR('Change in Employment'!B476), MONTH('Change in Employment'!B476), 1), ""), "mm/dd/yyyy")</f>
        <v/>
      </c>
      <c r="B469" s="8" t="str">
        <f>IF(ISNUMBER('Change in Employment'!I476), TEXT('Change in Employment'!I476, "0"), "")</f>
        <v/>
      </c>
      <c r="C469" s="8" t="str">
        <f>IF(ISNUMBER('Change in Employment'!J476),TEXT('Change in Employment'!J476, "0"),"")</f>
        <v/>
      </c>
      <c r="D469" s="8" t="str">
        <f>IF(ISNUMBER('Change in Employment'!G476),'Change in Employment'!G476,"")</f>
        <v/>
      </c>
    </row>
    <row r="470" spans="1:4">
      <c r="A470" t="str">
        <f>TEXT(IF('Change in Employment'!B477&lt;&gt;0,DATE(YEAR('Change in Employment'!B477), MONTH('Change in Employment'!B477), 1), ""), "mm/dd/yyyy")</f>
        <v/>
      </c>
      <c r="B470" s="8" t="str">
        <f>IF(ISNUMBER('Change in Employment'!I477), TEXT('Change in Employment'!I477, "0"), "")</f>
        <v/>
      </c>
      <c r="C470" s="8" t="str">
        <f>IF(ISNUMBER('Change in Employment'!J477),TEXT('Change in Employment'!J477, "0"),"")</f>
        <v/>
      </c>
      <c r="D470" s="8" t="str">
        <f>IF(ISNUMBER('Change in Employment'!G477),'Change in Employment'!G477,"")</f>
        <v/>
      </c>
    </row>
    <row r="471" spans="1:4">
      <c r="A471" t="str">
        <f>TEXT(IF('Change in Employment'!B478&lt;&gt;0,DATE(YEAR('Change in Employment'!B478), MONTH('Change in Employment'!B478), 1), ""), "mm/dd/yyyy")</f>
        <v/>
      </c>
      <c r="B471" s="8" t="str">
        <f>IF(ISNUMBER('Change in Employment'!I478), TEXT('Change in Employment'!I478, "0"), "")</f>
        <v/>
      </c>
      <c r="C471" s="8" t="str">
        <f>IF(ISNUMBER('Change in Employment'!J478),TEXT('Change in Employment'!J478, "0"),"")</f>
        <v/>
      </c>
      <c r="D471" s="8" t="str">
        <f>IF(ISNUMBER('Change in Employment'!G478),'Change in Employment'!G478,"")</f>
        <v/>
      </c>
    </row>
    <row r="472" spans="1:4">
      <c r="A472" t="str">
        <f>TEXT(IF('Change in Employment'!B479&lt;&gt;0,DATE(YEAR('Change in Employment'!B479), MONTH('Change in Employment'!B479), 1), ""), "mm/dd/yyyy")</f>
        <v/>
      </c>
      <c r="B472" s="8" t="str">
        <f>IF(ISNUMBER('Change in Employment'!I479), TEXT('Change in Employment'!I479, "0"), "")</f>
        <v/>
      </c>
      <c r="C472" s="8" t="str">
        <f>IF(ISNUMBER('Change in Employment'!J479),TEXT('Change in Employment'!J479, "0"),"")</f>
        <v/>
      </c>
      <c r="D472" s="8" t="str">
        <f>IF(ISNUMBER('Change in Employment'!G479),'Change in Employment'!G479,"")</f>
        <v/>
      </c>
    </row>
    <row r="473" spans="1:4">
      <c r="A473" t="str">
        <f>TEXT(IF('Change in Employment'!B480&lt;&gt;0,DATE(YEAR('Change in Employment'!B480), MONTH('Change in Employment'!B480), 1), ""), "mm/dd/yyyy")</f>
        <v/>
      </c>
      <c r="B473" s="8" t="str">
        <f>IF(ISNUMBER('Change in Employment'!I480), TEXT('Change in Employment'!I480, "0"), "")</f>
        <v/>
      </c>
      <c r="C473" s="8" t="str">
        <f>IF(ISNUMBER('Change in Employment'!J480),TEXT('Change in Employment'!J480, "0"),"")</f>
        <v/>
      </c>
      <c r="D473" s="8" t="str">
        <f>IF(ISNUMBER('Change in Employment'!G480),'Change in Employment'!G480,"")</f>
        <v/>
      </c>
    </row>
    <row r="474" spans="1:4">
      <c r="A474" t="str">
        <f>TEXT(IF('Change in Employment'!B481&lt;&gt;0,DATE(YEAR('Change in Employment'!B481), MONTH('Change in Employment'!B481), 1), ""), "mm/dd/yyyy")</f>
        <v/>
      </c>
      <c r="B474" s="8" t="str">
        <f>IF(ISNUMBER('Change in Employment'!I481), TEXT('Change in Employment'!I481, "0"), "")</f>
        <v/>
      </c>
      <c r="C474" s="8" t="str">
        <f>IF(ISNUMBER('Change in Employment'!J481),TEXT('Change in Employment'!J481, "0"),"")</f>
        <v/>
      </c>
      <c r="D474" s="8" t="str">
        <f>IF(ISNUMBER('Change in Employment'!G481),'Change in Employment'!G481,"")</f>
        <v/>
      </c>
    </row>
    <row r="475" spans="1:4">
      <c r="A475" t="str">
        <f>TEXT(IF('Change in Employment'!B482&lt;&gt;0,DATE(YEAR('Change in Employment'!B482), MONTH('Change in Employment'!B482), 1), ""), "mm/dd/yyyy")</f>
        <v/>
      </c>
      <c r="B475" s="8" t="str">
        <f>IF(ISNUMBER('Change in Employment'!I482), TEXT('Change in Employment'!I482, "0"), "")</f>
        <v/>
      </c>
      <c r="C475" s="8" t="str">
        <f>IF(ISNUMBER('Change in Employment'!J482),TEXT('Change in Employment'!J482, "0"),"")</f>
        <v/>
      </c>
      <c r="D475" s="8" t="str">
        <f>IF(ISNUMBER('Change in Employment'!G482),'Change in Employment'!G482,"")</f>
        <v/>
      </c>
    </row>
    <row r="476" spans="1:4">
      <c r="A476" t="str">
        <f>TEXT(IF('Change in Employment'!B483&lt;&gt;0,DATE(YEAR('Change in Employment'!B483), MONTH('Change in Employment'!B483), 1), ""), "mm/dd/yyyy")</f>
        <v/>
      </c>
      <c r="B476" s="8" t="str">
        <f>IF(ISNUMBER('Change in Employment'!I483), TEXT('Change in Employment'!I483, "0"), "")</f>
        <v/>
      </c>
      <c r="C476" s="8" t="str">
        <f>IF(ISNUMBER('Change in Employment'!J483),TEXT('Change in Employment'!J483, "0"),"")</f>
        <v/>
      </c>
      <c r="D476" s="8" t="str">
        <f>IF(ISNUMBER('Change in Employment'!G483),'Change in Employment'!G483,"")</f>
        <v/>
      </c>
    </row>
    <row r="477" spans="1:4">
      <c r="A477" t="str">
        <f>TEXT(IF('Change in Employment'!B484&lt;&gt;0,DATE(YEAR('Change in Employment'!B484), MONTH('Change in Employment'!B484), 1), ""), "mm/dd/yyyy")</f>
        <v/>
      </c>
      <c r="B477" s="8" t="str">
        <f>IF(ISNUMBER('Change in Employment'!I484), TEXT('Change in Employment'!I484, "0"), "")</f>
        <v/>
      </c>
      <c r="C477" s="8" t="str">
        <f>IF(ISNUMBER('Change in Employment'!J484),TEXT('Change in Employment'!J484, "0"),"")</f>
        <v/>
      </c>
      <c r="D477" s="8" t="str">
        <f>IF(ISNUMBER('Change in Employment'!G484),'Change in Employment'!G484,"")</f>
        <v/>
      </c>
    </row>
    <row r="478" spans="1:4">
      <c r="A478" t="str">
        <f>TEXT(IF('Change in Employment'!B485&lt;&gt;0,DATE(YEAR('Change in Employment'!B485), MONTH('Change in Employment'!B485), 1), ""), "mm/dd/yyyy")</f>
        <v/>
      </c>
      <c r="B478" s="8" t="str">
        <f>IF(ISNUMBER('Change in Employment'!I485), TEXT('Change in Employment'!I485, "0"), "")</f>
        <v/>
      </c>
      <c r="C478" s="8" t="str">
        <f>IF(ISNUMBER('Change in Employment'!J485),TEXT('Change in Employment'!J485, "0"),"")</f>
        <v/>
      </c>
      <c r="D478" s="8" t="str">
        <f>IF(ISNUMBER('Change in Employment'!G485),'Change in Employment'!G485,"")</f>
        <v/>
      </c>
    </row>
    <row r="479" spans="1:4">
      <c r="A479" t="str">
        <f>TEXT(IF('Change in Employment'!B486&lt;&gt;0,DATE(YEAR('Change in Employment'!B486), MONTH('Change in Employment'!B486), 1), ""), "mm/dd/yyyy")</f>
        <v/>
      </c>
      <c r="B479" s="8" t="str">
        <f>IF(ISNUMBER('Change in Employment'!I486), TEXT('Change in Employment'!I486, "0"), "")</f>
        <v/>
      </c>
      <c r="C479" s="8" t="str">
        <f>IF(ISNUMBER('Change in Employment'!J486),TEXT('Change in Employment'!J486, "0"),"")</f>
        <v/>
      </c>
      <c r="D479" s="8" t="str">
        <f>IF(ISNUMBER('Change in Employment'!G486),'Change in Employment'!G486,"")</f>
        <v/>
      </c>
    </row>
    <row r="480" spans="1:4">
      <c r="A480" t="str">
        <f>TEXT(IF('Change in Employment'!B487&lt;&gt;0,DATE(YEAR('Change in Employment'!B487), MONTH('Change in Employment'!B487), 1), ""), "mm/dd/yyyy")</f>
        <v/>
      </c>
      <c r="B480" s="8" t="str">
        <f>IF(ISNUMBER('Change in Employment'!I487), TEXT('Change in Employment'!I487, "0"), "")</f>
        <v/>
      </c>
      <c r="C480" s="8" t="str">
        <f>IF(ISNUMBER('Change in Employment'!J487),TEXT('Change in Employment'!J487, "0"),"")</f>
        <v/>
      </c>
      <c r="D480" s="8" t="str">
        <f>IF(ISNUMBER('Change in Employment'!G487),'Change in Employment'!G487,"")</f>
        <v/>
      </c>
    </row>
    <row r="481" spans="1:4">
      <c r="A481" t="str">
        <f>TEXT(IF('Change in Employment'!B488&lt;&gt;0,DATE(YEAR('Change in Employment'!B488), MONTH('Change in Employment'!B488), 1), ""), "mm/dd/yyyy")</f>
        <v/>
      </c>
      <c r="B481" s="8" t="str">
        <f>IF(ISNUMBER('Change in Employment'!I488), TEXT('Change in Employment'!I488, "0"), "")</f>
        <v/>
      </c>
      <c r="C481" s="8" t="str">
        <f>IF(ISNUMBER('Change in Employment'!J488),TEXT('Change in Employment'!J488, "0"),"")</f>
        <v/>
      </c>
      <c r="D481" s="8" t="str">
        <f>IF(ISNUMBER('Change in Employment'!G488),'Change in Employment'!G488,"")</f>
        <v/>
      </c>
    </row>
    <row r="482" spans="1:4">
      <c r="A482" t="str">
        <f>TEXT(IF('Change in Employment'!B489&lt;&gt;0,DATE(YEAR('Change in Employment'!B489), MONTH('Change in Employment'!B489), 1), ""), "mm/dd/yyyy")</f>
        <v/>
      </c>
      <c r="B482" s="8" t="str">
        <f>IF(ISNUMBER('Change in Employment'!I489), TEXT('Change in Employment'!I489, "0"), "")</f>
        <v/>
      </c>
      <c r="C482" s="8" t="str">
        <f>IF(ISNUMBER('Change in Employment'!J489),TEXT('Change in Employment'!J489, "0"),"")</f>
        <v/>
      </c>
      <c r="D482" s="8" t="str">
        <f>IF(ISNUMBER('Change in Employment'!G489),'Change in Employment'!G489,"")</f>
        <v/>
      </c>
    </row>
    <row r="483" spans="1:4">
      <c r="A483" t="str">
        <f>TEXT(IF('Change in Employment'!B490&lt;&gt;0,DATE(YEAR('Change in Employment'!B490), MONTH('Change in Employment'!B490), 1), ""), "mm/dd/yyyy")</f>
        <v/>
      </c>
      <c r="B483" s="8" t="str">
        <f>IF(ISNUMBER('Change in Employment'!I490), TEXT('Change in Employment'!I490, "0"), "")</f>
        <v/>
      </c>
      <c r="C483" s="8" t="str">
        <f>IF(ISNUMBER('Change in Employment'!J490),TEXT('Change in Employment'!J490, "0"),"")</f>
        <v/>
      </c>
      <c r="D483" s="8" t="str">
        <f>IF(ISNUMBER('Change in Employment'!G490),'Change in Employment'!G490,"")</f>
        <v/>
      </c>
    </row>
    <row r="484" spans="1:4">
      <c r="A484" t="str">
        <f>TEXT(IF('Change in Employment'!B491&lt;&gt;0,DATE(YEAR('Change in Employment'!B491), MONTH('Change in Employment'!B491), 1), ""), "mm/dd/yyyy")</f>
        <v/>
      </c>
      <c r="B484" s="8" t="str">
        <f>IF(ISNUMBER('Change in Employment'!I491), TEXT('Change in Employment'!I491, "0"), "")</f>
        <v/>
      </c>
      <c r="C484" s="8" t="str">
        <f>IF(ISNUMBER('Change in Employment'!J491),TEXT('Change in Employment'!J491, "0"),"")</f>
        <v/>
      </c>
      <c r="D484" s="8" t="str">
        <f>IF(ISNUMBER('Change in Employment'!G491),'Change in Employment'!G491,"")</f>
        <v/>
      </c>
    </row>
    <row r="485" spans="1:4">
      <c r="A485" t="str">
        <f>TEXT(IF('Change in Employment'!B492&lt;&gt;0,DATE(YEAR('Change in Employment'!B492), MONTH('Change in Employment'!B492), 1), ""), "mm/dd/yyyy")</f>
        <v/>
      </c>
      <c r="B485" s="8" t="str">
        <f>IF(ISNUMBER('Change in Employment'!I492), TEXT('Change in Employment'!I492, "0"), "")</f>
        <v/>
      </c>
      <c r="C485" s="8" t="str">
        <f>IF(ISNUMBER('Change in Employment'!J492),TEXT('Change in Employment'!J492, "0"),"")</f>
        <v/>
      </c>
      <c r="D485" s="8" t="str">
        <f>IF(ISNUMBER('Change in Employment'!G492),'Change in Employment'!G492,"")</f>
        <v/>
      </c>
    </row>
    <row r="486" spans="1:4">
      <c r="A486" t="str">
        <f>TEXT(IF('Change in Employment'!B493&lt;&gt;0,DATE(YEAR('Change in Employment'!B493), MONTH('Change in Employment'!B493), 1), ""), "mm/dd/yyyy")</f>
        <v/>
      </c>
      <c r="B486" s="8" t="str">
        <f>IF(ISNUMBER('Change in Employment'!I493), TEXT('Change in Employment'!I493, "0"), "")</f>
        <v/>
      </c>
      <c r="C486" s="8" t="str">
        <f>IF(ISNUMBER('Change in Employment'!J493),TEXT('Change in Employment'!J493, "0"),"")</f>
        <v/>
      </c>
      <c r="D486" s="8" t="str">
        <f>IF(ISNUMBER('Change in Employment'!G493),'Change in Employment'!G493,"")</f>
        <v/>
      </c>
    </row>
    <row r="487" spans="1:4">
      <c r="A487" t="str">
        <f>TEXT(IF('Change in Employment'!B494&lt;&gt;0,DATE(YEAR('Change in Employment'!B494), MONTH('Change in Employment'!B494), 1), ""), "mm/dd/yyyy")</f>
        <v/>
      </c>
      <c r="B487" s="8" t="str">
        <f>IF(ISNUMBER('Change in Employment'!I494), TEXT('Change in Employment'!I494, "0"), "")</f>
        <v/>
      </c>
      <c r="C487" s="8" t="str">
        <f>IF(ISNUMBER('Change in Employment'!J494),TEXT('Change in Employment'!J494, "0"),"")</f>
        <v/>
      </c>
      <c r="D487" s="8" t="str">
        <f>IF(ISNUMBER('Change in Employment'!G494),'Change in Employment'!G494,"")</f>
        <v/>
      </c>
    </row>
    <row r="488" spans="1:4">
      <c r="A488" t="str">
        <f>TEXT(IF('Change in Employment'!B495&lt;&gt;0,DATE(YEAR('Change in Employment'!B495), MONTH('Change in Employment'!B495), 1), ""), "mm/dd/yyyy")</f>
        <v/>
      </c>
      <c r="B488" s="8" t="str">
        <f>IF(ISNUMBER('Change in Employment'!I495), TEXT('Change in Employment'!I495, "0"), "")</f>
        <v/>
      </c>
      <c r="C488" s="8" t="str">
        <f>IF(ISNUMBER('Change in Employment'!J495),TEXT('Change in Employment'!J495, "0"),"")</f>
        <v/>
      </c>
      <c r="D488" s="8" t="str">
        <f>IF(ISNUMBER('Change in Employment'!G495),'Change in Employment'!G495,"")</f>
        <v/>
      </c>
    </row>
    <row r="489" spans="1:4">
      <c r="A489" t="str">
        <f>TEXT(IF('Change in Employment'!B496&lt;&gt;0,DATE(YEAR('Change in Employment'!B496), MONTH('Change in Employment'!B496), 1), ""), "mm/dd/yyyy")</f>
        <v/>
      </c>
      <c r="B489" s="8" t="str">
        <f>IF(ISNUMBER('Change in Employment'!I496), TEXT('Change in Employment'!I496, "0"), "")</f>
        <v/>
      </c>
      <c r="C489" s="8" t="str">
        <f>IF(ISNUMBER('Change in Employment'!J496),TEXT('Change in Employment'!J496, "0"),"")</f>
        <v/>
      </c>
      <c r="D489" s="8" t="str">
        <f>IF(ISNUMBER('Change in Employment'!G496),'Change in Employment'!G496,"")</f>
        <v/>
      </c>
    </row>
    <row r="490" spans="1:4">
      <c r="A490" t="str">
        <f>TEXT(IF('Change in Employment'!B497&lt;&gt;0,DATE(YEAR('Change in Employment'!B497), MONTH('Change in Employment'!B497), 1), ""), "mm/dd/yyyy")</f>
        <v/>
      </c>
      <c r="B490" s="8" t="str">
        <f>IF(ISNUMBER('Change in Employment'!I497), TEXT('Change in Employment'!I497, "0"), "")</f>
        <v/>
      </c>
      <c r="C490" s="8" t="str">
        <f>IF(ISNUMBER('Change in Employment'!J497),TEXT('Change in Employment'!J497, "0"),"")</f>
        <v/>
      </c>
      <c r="D490" s="8" t="str">
        <f>IF(ISNUMBER('Change in Employment'!G497),'Change in Employment'!G497,"")</f>
        <v/>
      </c>
    </row>
    <row r="491" spans="1:4">
      <c r="A491" t="str">
        <f>TEXT(IF('Change in Employment'!B498&lt;&gt;0,DATE(YEAR('Change in Employment'!B498), MONTH('Change in Employment'!B498), 1), ""), "mm/dd/yyyy")</f>
        <v/>
      </c>
      <c r="B491" s="8" t="str">
        <f>IF(ISNUMBER('Change in Employment'!I498), TEXT('Change in Employment'!I498, "0"), "")</f>
        <v/>
      </c>
      <c r="C491" s="8" t="str">
        <f>IF(ISNUMBER('Change in Employment'!J498),TEXT('Change in Employment'!J498, "0"),"")</f>
        <v/>
      </c>
      <c r="D491" s="8" t="str">
        <f>IF(ISNUMBER('Change in Employment'!G498),'Change in Employment'!G498,"")</f>
        <v/>
      </c>
    </row>
    <row r="492" spans="1:4">
      <c r="A492" t="str">
        <f>TEXT(IF('Change in Employment'!B499&lt;&gt;0,DATE(YEAR('Change in Employment'!B499), MONTH('Change in Employment'!B499), 1), ""), "mm/dd/yyyy")</f>
        <v/>
      </c>
      <c r="B492" s="8" t="str">
        <f>IF(ISNUMBER('Change in Employment'!I499), TEXT('Change in Employment'!I499, "0"), "")</f>
        <v/>
      </c>
      <c r="C492" s="8" t="str">
        <f>IF(ISNUMBER('Change in Employment'!J499),TEXT('Change in Employment'!J499, "0"),"")</f>
        <v/>
      </c>
      <c r="D492" s="8" t="str">
        <f>IF(ISNUMBER('Change in Employment'!G499),'Change in Employment'!G499,"")</f>
        <v/>
      </c>
    </row>
    <row r="493" spans="1:4">
      <c r="A493" t="str">
        <f>TEXT(IF('Change in Employment'!B500&lt;&gt;0,DATE(YEAR('Change in Employment'!B500), MONTH('Change in Employment'!B500), 1), ""), "mm/dd/yyyy")</f>
        <v/>
      </c>
      <c r="B493" s="8" t="str">
        <f>IF(ISNUMBER('Change in Employment'!I500), TEXT('Change in Employment'!I500, "0"), "")</f>
        <v/>
      </c>
      <c r="C493" s="8" t="str">
        <f>IF(ISNUMBER('Change in Employment'!J500),TEXT('Change in Employment'!J500, "0"),"")</f>
        <v/>
      </c>
      <c r="D493" s="8" t="str">
        <f>IF(ISNUMBER('Change in Employment'!G500),'Change in Employment'!G500,"")</f>
        <v/>
      </c>
    </row>
    <row r="494" spans="1:4">
      <c r="A494" t="str">
        <f>TEXT(IF('Change in Employment'!B501&lt;&gt;0,DATE(YEAR('Change in Employment'!B501), MONTH('Change in Employment'!B501), 1), ""), "mm/dd/yyyy")</f>
        <v/>
      </c>
      <c r="B494" s="8" t="str">
        <f>IF(ISNUMBER('Change in Employment'!I501), TEXT('Change in Employment'!I501, "0"), "")</f>
        <v/>
      </c>
      <c r="C494" s="8" t="str">
        <f>IF(ISNUMBER('Change in Employment'!J501),TEXT('Change in Employment'!J501, "0"),"")</f>
        <v/>
      </c>
      <c r="D494" s="8" t="str">
        <f>IF(ISNUMBER('Change in Employment'!G501),'Change in Employment'!G501,"")</f>
        <v/>
      </c>
    </row>
    <row r="495" spans="1:4">
      <c r="A495" t="str">
        <f>TEXT(IF('Change in Employment'!B502&lt;&gt;0,DATE(YEAR('Change in Employment'!B502), MONTH('Change in Employment'!B502), 1), ""), "mm/dd/yyyy")</f>
        <v/>
      </c>
      <c r="B495" s="8" t="str">
        <f>IF(ISNUMBER('Change in Employment'!I502), TEXT('Change in Employment'!I502, "0"), "")</f>
        <v/>
      </c>
      <c r="C495" s="8" t="str">
        <f>IF(ISNUMBER('Change in Employment'!J502),TEXT('Change in Employment'!J502, "0"),"")</f>
        <v/>
      </c>
      <c r="D495" s="8" t="str">
        <f>IF(ISNUMBER('Change in Employment'!G502),'Change in Employment'!G502,"")</f>
        <v/>
      </c>
    </row>
    <row r="496" spans="1:4">
      <c r="A496" t="str">
        <f>TEXT(IF('Change in Employment'!B503&lt;&gt;0,DATE(YEAR('Change in Employment'!B503), MONTH('Change in Employment'!B503), 1), ""), "mm/dd/yyyy")</f>
        <v/>
      </c>
      <c r="B496" s="8" t="str">
        <f>IF(ISNUMBER('Change in Employment'!I503), TEXT('Change in Employment'!I503, "0"), "")</f>
        <v/>
      </c>
      <c r="C496" s="8" t="str">
        <f>IF(ISNUMBER('Change in Employment'!J503),TEXT('Change in Employment'!J503, "0"),"")</f>
        <v/>
      </c>
      <c r="D496" s="8" t="str">
        <f>IF(ISNUMBER('Change in Employment'!G503),'Change in Employment'!G503,"")</f>
        <v/>
      </c>
    </row>
    <row r="497" spans="1:4">
      <c r="A497" t="str">
        <f>TEXT(IF('Change in Employment'!B504&lt;&gt;0,DATE(YEAR('Change in Employment'!B504), MONTH('Change in Employment'!B504), 1), ""), "mm/dd/yyyy")</f>
        <v/>
      </c>
      <c r="B497" s="8" t="str">
        <f>IF(ISNUMBER('Change in Employment'!I504), TEXT('Change in Employment'!I504, "0"), "")</f>
        <v/>
      </c>
      <c r="C497" s="8" t="str">
        <f>IF(ISNUMBER('Change in Employment'!J504),TEXT('Change in Employment'!J504, "0"),"")</f>
        <v/>
      </c>
      <c r="D497" s="8" t="str">
        <f>IF(ISNUMBER('Change in Employment'!G504),'Change in Employment'!G504,"")</f>
        <v/>
      </c>
    </row>
    <row r="498" spans="1:4">
      <c r="A498" t="str">
        <f>TEXT(IF('Change in Employment'!B505&lt;&gt;0,DATE(YEAR('Change in Employment'!B505), MONTH('Change in Employment'!B505), 1), ""), "mm/dd/yyyy")</f>
        <v/>
      </c>
      <c r="B498" s="8" t="str">
        <f>IF(ISNUMBER('Change in Employment'!I505), TEXT('Change in Employment'!I505, "0"), "")</f>
        <v/>
      </c>
      <c r="C498" s="8" t="str">
        <f>IF(ISNUMBER('Change in Employment'!J505),TEXT('Change in Employment'!J505, "0"),"")</f>
        <v/>
      </c>
      <c r="D498" s="8" t="str">
        <f>IF(ISNUMBER('Change in Employment'!G505),'Change in Employment'!G505,"")</f>
        <v/>
      </c>
    </row>
    <row r="499" spans="1:4">
      <c r="A499" t="str">
        <f>TEXT(IF('Change in Employment'!B506&lt;&gt;0,DATE(YEAR('Change in Employment'!B506), MONTH('Change in Employment'!B506), 1), ""), "mm/dd/yyyy")</f>
        <v/>
      </c>
      <c r="B499" s="8" t="str">
        <f>IF(ISNUMBER('Change in Employment'!I506), TEXT('Change in Employment'!I506, "0"), "")</f>
        <v/>
      </c>
      <c r="C499" s="8" t="str">
        <f>IF(ISNUMBER('Change in Employment'!J506),TEXT('Change in Employment'!J506, "0"),"")</f>
        <v/>
      </c>
      <c r="D499" s="8" t="str">
        <f>IF(ISNUMBER('Change in Employment'!G506),'Change in Employment'!G506,"")</f>
        <v/>
      </c>
    </row>
    <row r="500" spans="1:4">
      <c r="A500" t="str">
        <f>TEXT(IF('Change in Employment'!B507&lt;&gt;0,DATE(YEAR('Change in Employment'!B507), MONTH('Change in Employment'!B507), 1), ""), "mm/dd/yyyy")</f>
        <v/>
      </c>
      <c r="B500" s="8" t="str">
        <f>IF(ISNUMBER('Change in Employment'!I507), TEXT('Change in Employment'!I507, "0"), "")</f>
        <v/>
      </c>
      <c r="C500" s="8" t="str">
        <f>IF(ISNUMBER('Change in Employment'!J507),TEXT('Change in Employment'!J507, "0"),"")</f>
        <v/>
      </c>
      <c r="D500" s="8" t="str">
        <f>IF(ISNUMBER('Change in Employment'!G507),'Change in Employment'!G507,"")</f>
        <v/>
      </c>
    </row>
    <row r="501" spans="1:4">
      <c r="A501" t="str">
        <f>TEXT(IF('Change in Employment'!B508&lt;&gt;0,DATE(YEAR('Change in Employment'!B508), MONTH('Change in Employment'!B508), 1), ""), "mm/dd/yyyy")</f>
        <v/>
      </c>
      <c r="B501" s="8" t="str">
        <f>IF(ISNUMBER('Change in Employment'!I508), TEXT('Change in Employment'!I508, "0"), "")</f>
        <v/>
      </c>
      <c r="C501" s="8" t="str">
        <f>IF(ISNUMBER('Change in Employment'!J508),TEXT('Change in Employment'!J508, "0"),"")</f>
        <v/>
      </c>
      <c r="D501" s="8" t="str">
        <f>IF(ISNUMBER('Change in Employment'!G508),'Change in Employment'!G508,"")</f>
        <v/>
      </c>
    </row>
    <row r="502" spans="1:4">
      <c r="A502" t="str">
        <f>TEXT(IF('Change in Employment'!B509&lt;&gt;0,DATE(YEAR('Change in Employment'!B509), MONTH('Change in Employment'!B509), 1), ""), "mm/dd/yyyy")</f>
        <v/>
      </c>
      <c r="B502" s="8" t="str">
        <f>IF(ISNUMBER('Change in Employment'!I509), TEXT('Change in Employment'!I509, "0"), "")</f>
        <v/>
      </c>
      <c r="C502" s="8" t="str">
        <f>IF(ISNUMBER('Change in Employment'!J509),TEXT('Change in Employment'!J509, "0"),"")</f>
        <v/>
      </c>
      <c r="D502" s="8" t="str">
        <f>IF(ISNUMBER('Change in Employment'!G509),'Change in Employment'!G509,"")</f>
        <v/>
      </c>
    </row>
    <row r="503" spans="1:4">
      <c r="A503" t="str">
        <f>TEXT(IF('Change in Employment'!B510&lt;&gt;0,DATE(YEAR('Change in Employment'!B510), MONTH('Change in Employment'!B510), 1), ""), "mm/dd/yyyy")</f>
        <v/>
      </c>
      <c r="B503" s="8" t="str">
        <f>IF(ISNUMBER('Change in Employment'!I510), TEXT('Change in Employment'!I510, "0"), "")</f>
        <v/>
      </c>
      <c r="C503" s="8" t="str">
        <f>IF(ISNUMBER('Change in Employment'!J510),TEXT('Change in Employment'!J510, "0"),"")</f>
        <v/>
      </c>
      <c r="D503" s="8" t="str">
        <f>IF(ISNUMBER('Change in Employment'!G510),'Change in Employment'!G510,"")</f>
        <v/>
      </c>
    </row>
    <row r="504" spans="1:4">
      <c r="A504" t="str">
        <f>TEXT(IF('Change in Employment'!B511&lt;&gt;0,DATE(YEAR('Change in Employment'!B511), MONTH('Change in Employment'!B511), 1), ""), "mm/dd/yyyy")</f>
        <v/>
      </c>
      <c r="B504" s="8" t="str">
        <f>IF(ISNUMBER('Change in Employment'!I511), TEXT('Change in Employment'!I511, "0"), "")</f>
        <v/>
      </c>
      <c r="C504" s="8" t="str">
        <f>IF(ISNUMBER('Change in Employment'!J511),TEXT('Change in Employment'!J511, "0"),"")</f>
        <v/>
      </c>
      <c r="D504" s="8" t="str">
        <f>IF(ISNUMBER('Change in Employment'!G511),'Change in Employment'!G511,"")</f>
        <v/>
      </c>
    </row>
    <row r="505" spans="1:4">
      <c r="A505" t="str">
        <f>TEXT(IF('Change in Employment'!B512&lt;&gt;0,DATE(YEAR('Change in Employment'!B512), MONTH('Change in Employment'!B512), 1), ""), "mm/dd/yyyy")</f>
        <v/>
      </c>
      <c r="B505" s="8" t="str">
        <f>IF(ISNUMBER('Change in Employment'!I512), TEXT('Change in Employment'!I512, "0"), "")</f>
        <v/>
      </c>
      <c r="C505" s="8" t="str">
        <f>IF(ISNUMBER('Change in Employment'!J512),TEXT('Change in Employment'!J512, "0"),"")</f>
        <v/>
      </c>
      <c r="D505" s="8" t="str">
        <f>IF(ISNUMBER('Change in Employment'!G512),'Change in Employment'!G512,"")</f>
        <v/>
      </c>
    </row>
    <row r="506" spans="1:4">
      <c r="A506" t="str">
        <f>TEXT(IF('Change in Employment'!B513&lt;&gt;0,DATE(YEAR('Change in Employment'!B513), MONTH('Change in Employment'!B513), 1), ""), "mm/dd/yyyy")</f>
        <v/>
      </c>
      <c r="B506" s="8" t="str">
        <f>IF(ISNUMBER('Change in Employment'!I513), TEXT('Change in Employment'!I513, "0"), "")</f>
        <v/>
      </c>
      <c r="C506" s="8" t="str">
        <f>IF(ISNUMBER('Change in Employment'!J513),TEXT('Change in Employment'!J513, "0"),"")</f>
        <v/>
      </c>
      <c r="D506" s="8" t="str">
        <f>IF(ISNUMBER('Change in Employment'!G513),'Change in Employment'!G513,"")</f>
        <v/>
      </c>
    </row>
    <row r="507" spans="1:4">
      <c r="A507" t="str">
        <f>TEXT(IF('Change in Employment'!B514&lt;&gt;0,DATE(YEAR('Change in Employment'!B514), MONTH('Change in Employment'!B514), 1), ""), "mm/dd/yyyy")</f>
        <v/>
      </c>
      <c r="B507" s="8" t="str">
        <f>IF(ISNUMBER('Change in Employment'!I514), TEXT('Change in Employment'!I514, "0"), "")</f>
        <v/>
      </c>
      <c r="C507" s="8" t="str">
        <f>IF(ISNUMBER('Change in Employment'!J514),TEXT('Change in Employment'!J514, "0"),"")</f>
        <v/>
      </c>
      <c r="D507" s="8" t="str">
        <f>IF(ISNUMBER('Change in Employment'!G514),'Change in Employment'!G514,"")</f>
        <v/>
      </c>
    </row>
    <row r="508" spans="1:4">
      <c r="A508" t="str">
        <f>TEXT(IF('Change in Employment'!B515&lt;&gt;0,DATE(YEAR('Change in Employment'!B515), MONTH('Change in Employment'!B515), 1), ""), "mm/dd/yyyy")</f>
        <v/>
      </c>
      <c r="B508" s="8" t="str">
        <f>IF(ISNUMBER('Change in Employment'!I515), TEXT('Change in Employment'!I515, "0"), "")</f>
        <v/>
      </c>
      <c r="C508" s="8" t="str">
        <f>IF(ISNUMBER('Change in Employment'!J515),TEXT('Change in Employment'!J515, "0"),"")</f>
        <v/>
      </c>
      <c r="D508" s="8" t="str">
        <f>IF(ISNUMBER('Change in Employment'!G515),'Change in Employment'!G515,"")</f>
        <v/>
      </c>
    </row>
    <row r="509" spans="1:4">
      <c r="A509" t="str">
        <f>TEXT(IF('Change in Employment'!B516&lt;&gt;0,DATE(YEAR('Change in Employment'!B516), MONTH('Change in Employment'!B516), 1), ""), "mm/dd/yyyy")</f>
        <v/>
      </c>
      <c r="B509" s="8" t="str">
        <f>IF(ISNUMBER('Change in Employment'!I516), TEXT('Change in Employment'!I516, "0"), "")</f>
        <v/>
      </c>
      <c r="C509" s="8" t="str">
        <f>IF(ISNUMBER('Change in Employment'!J516),TEXT('Change in Employment'!J516, "0"),"")</f>
        <v/>
      </c>
      <c r="D509" s="8" t="str">
        <f>IF(ISNUMBER('Change in Employment'!G516),'Change in Employment'!G516,"")</f>
        <v/>
      </c>
    </row>
    <row r="510" spans="1:4">
      <c r="A510" t="str">
        <f>TEXT(IF('Change in Employment'!B517&lt;&gt;0,DATE(YEAR('Change in Employment'!B517), MONTH('Change in Employment'!B517), 1), ""), "mm/dd/yyyy")</f>
        <v/>
      </c>
      <c r="B510" s="8" t="str">
        <f>IF(ISNUMBER('Change in Employment'!I517), TEXT('Change in Employment'!I517, "0"), "")</f>
        <v/>
      </c>
      <c r="C510" s="8" t="str">
        <f>IF(ISNUMBER('Change in Employment'!J517),TEXT('Change in Employment'!J517, "0"),"")</f>
        <v/>
      </c>
      <c r="D510" s="8" t="str">
        <f>IF(ISNUMBER('Change in Employment'!G517),'Change in Employment'!G517,"")</f>
        <v/>
      </c>
    </row>
    <row r="511" spans="1:4">
      <c r="A511" t="str">
        <f>TEXT(IF('Change in Employment'!B518&lt;&gt;0,DATE(YEAR('Change in Employment'!B518), MONTH('Change in Employment'!B518), 1), ""), "mm/dd/yyyy")</f>
        <v/>
      </c>
      <c r="B511" s="8" t="str">
        <f>IF(ISNUMBER('Change in Employment'!I518), TEXT('Change in Employment'!I518, "0"), "")</f>
        <v/>
      </c>
      <c r="C511" s="8" t="str">
        <f>IF(ISNUMBER('Change in Employment'!J518),TEXT('Change in Employment'!J518, "0"),"")</f>
        <v/>
      </c>
      <c r="D511" s="8" t="str">
        <f>IF(ISNUMBER('Change in Employment'!G518),'Change in Employment'!G518,"")</f>
        <v/>
      </c>
    </row>
    <row r="512" spans="1:4">
      <c r="A512" t="str">
        <f>TEXT(IF('Change in Employment'!B519&lt;&gt;0,DATE(YEAR('Change in Employment'!B519), MONTH('Change in Employment'!B519), 1), ""), "mm/dd/yyyy")</f>
        <v/>
      </c>
      <c r="B512" s="8" t="str">
        <f>IF(ISNUMBER('Change in Employment'!I519), TEXT('Change in Employment'!I519, "0"), "")</f>
        <v/>
      </c>
      <c r="C512" s="8" t="str">
        <f>IF(ISNUMBER('Change in Employment'!J519),TEXT('Change in Employment'!J519, "0"),"")</f>
        <v/>
      </c>
      <c r="D512" s="8" t="str">
        <f>IF(ISNUMBER('Change in Employment'!G519),'Change in Employment'!G519,"")</f>
        <v/>
      </c>
    </row>
    <row r="513" spans="1:4">
      <c r="A513" t="str">
        <f>TEXT(IF('Change in Employment'!B520&lt;&gt;0,DATE(YEAR('Change in Employment'!B520), MONTH('Change in Employment'!B520), 1), ""), "mm/dd/yyyy")</f>
        <v/>
      </c>
      <c r="B513" s="8" t="str">
        <f>IF(ISNUMBER('Change in Employment'!I520), TEXT('Change in Employment'!I520, "0"), "")</f>
        <v/>
      </c>
      <c r="C513" s="8" t="str">
        <f>IF(ISNUMBER('Change in Employment'!J520),TEXT('Change in Employment'!J520, "0"),"")</f>
        <v/>
      </c>
      <c r="D513" s="8" t="str">
        <f>IF(ISNUMBER('Change in Employment'!G520),'Change in Employment'!G520,"")</f>
        <v/>
      </c>
    </row>
    <row r="514" spans="1:4">
      <c r="A514" t="str">
        <f>TEXT(IF('Change in Employment'!B521&lt;&gt;0,DATE(YEAR('Change in Employment'!B521), MONTH('Change in Employment'!B521), 1), ""), "mm/dd/yyyy")</f>
        <v/>
      </c>
      <c r="B514" s="8" t="str">
        <f>IF(ISNUMBER('Change in Employment'!I521), TEXT('Change in Employment'!I521, "0"), "")</f>
        <v/>
      </c>
      <c r="C514" s="8" t="str">
        <f>IF(ISNUMBER('Change in Employment'!J521),TEXT('Change in Employment'!J521, "0"),"")</f>
        <v/>
      </c>
      <c r="D514" s="8" t="str">
        <f>IF(ISNUMBER('Change in Employment'!G521),'Change in Employment'!G521,"")</f>
        <v/>
      </c>
    </row>
    <row r="515" spans="1:4">
      <c r="A515" t="str">
        <f>TEXT(IF('Change in Employment'!B522&lt;&gt;0,DATE(YEAR('Change in Employment'!B522), MONTH('Change in Employment'!B522), 1), ""), "mm/dd/yyyy")</f>
        <v/>
      </c>
      <c r="B515" s="8" t="str">
        <f>IF(ISNUMBER('Change in Employment'!I522), TEXT('Change in Employment'!I522, "0"), "")</f>
        <v/>
      </c>
      <c r="C515" s="8" t="str">
        <f>IF(ISNUMBER('Change in Employment'!J522),TEXT('Change in Employment'!J522, "0"),"")</f>
        <v/>
      </c>
      <c r="D515" s="8" t="str">
        <f>IF(ISNUMBER('Change in Employment'!G522),'Change in Employment'!G522,"")</f>
        <v/>
      </c>
    </row>
    <row r="516" spans="1:4">
      <c r="A516" t="str">
        <f>TEXT(IF('Change in Employment'!B523&lt;&gt;0,DATE(YEAR('Change in Employment'!B523), MONTH('Change in Employment'!B523), 1), ""), "mm/dd/yyyy")</f>
        <v/>
      </c>
      <c r="B516" s="8" t="str">
        <f>IF(ISNUMBER('Change in Employment'!I523), TEXT('Change in Employment'!I523, "0"), "")</f>
        <v/>
      </c>
      <c r="C516" s="8" t="str">
        <f>IF(ISNUMBER('Change in Employment'!J523),TEXT('Change in Employment'!J523, "0"),"")</f>
        <v/>
      </c>
      <c r="D516" s="8" t="str">
        <f>IF(ISNUMBER('Change in Employment'!G523),'Change in Employment'!G523,"")</f>
        <v/>
      </c>
    </row>
    <row r="517" spans="1:4">
      <c r="A517" t="str">
        <f>TEXT(IF('Change in Employment'!B524&lt;&gt;0,DATE(YEAR('Change in Employment'!B524), MONTH('Change in Employment'!B524), 1), ""), "mm/dd/yyyy")</f>
        <v/>
      </c>
      <c r="B517" s="8" t="str">
        <f>IF(ISNUMBER('Change in Employment'!I524), TEXT('Change in Employment'!I524, "0"), "")</f>
        <v/>
      </c>
      <c r="C517" s="8" t="str">
        <f>IF(ISNUMBER('Change in Employment'!J524),TEXT('Change in Employment'!J524, "0"),"")</f>
        <v/>
      </c>
      <c r="D517" s="8" t="str">
        <f>IF(ISNUMBER('Change in Employment'!G524),'Change in Employment'!G524,"")</f>
        <v/>
      </c>
    </row>
    <row r="518" spans="1:4">
      <c r="A518" t="str">
        <f>TEXT(IF('Change in Employment'!B525&lt;&gt;0,DATE(YEAR('Change in Employment'!B525), MONTH('Change in Employment'!B525), 1), ""), "mm/dd/yyyy")</f>
        <v/>
      </c>
      <c r="B518" s="8" t="str">
        <f>IF(ISNUMBER('Change in Employment'!I525), TEXT('Change in Employment'!I525, "0"), "")</f>
        <v/>
      </c>
      <c r="C518" s="8" t="str">
        <f>IF(ISNUMBER('Change in Employment'!J525),TEXT('Change in Employment'!J525, "0"),"")</f>
        <v/>
      </c>
      <c r="D518" s="8" t="str">
        <f>IF(ISNUMBER('Change in Employment'!G525),'Change in Employment'!G525,"")</f>
        <v/>
      </c>
    </row>
    <row r="519" spans="1:4">
      <c r="A519" t="str">
        <f>TEXT(IF('Change in Employment'!B526&lt;&gt;0,DATE(YEAR('Change in Employment'!B526), MONTH('Change in Employment'!B526), 1), ""), "mm/dd/yyyy")</f>
        <v/>
      </c>
      <c r="B519" s="8" t="str">
        <f>IF(ISNUMBER('Change in Employment'!I526), TEXT('Change in Employment'!I526, "0"), "")</f>
        <v/>
      </c>
      <c r="C519" s="8" t="str">
        <f>IF(ISNUMBER('Change in Employment'!J526),TEXT('Change in Employment'!J526, "0"),"")</f>
        <v/>
      </c>
      <c r="D519" s="8" t="str">
        <f>IF(ISNUMBER('Change in Employment'!G526),'Change in Employment'!G526,"")</f>
        <v/>
      </c>
    </row>
    <row r="520" spans="1:4">
      <c r="A520" t="str">
        <f>TEXT(IF('Change in Employment'!B527&lt;&gt;0,DATE(YEAR('Change in Employment'!B527), MONTH('Change in Employment'!B527), 1), ""), "mm/dd/yyyy")</f>
        <v/>
      </c>
      <c r="B520" s="8" t="str">
        <f>IF(ISNUMBER('Change in Employment'!I527), TEXT('Change in Employment'!I527, "0"), "")</f>
        <v/>
      </c>
      <c r="C520" s="8" t="str">
        <f>IF(ISNUMBER('Change in Employment'!J527),TEXT('Change in Employment'!J527, "0"),"")</f>
        <v/>
      </c>
      <c r="D520" s="8" t="str">
        <f>IF(ISNUMBER('Change in Employment'!G527),'Change in Employment'!G527,"")</f>
        <v/>
      </c>
    </row>
    <row r="521" spans="1:4">
      <c r="A521" t="str">
        <f>TEXT(IF('Change in Employment'!B528&lt;&gt;0,DATE(YEAR('Change in Employment'!B528), MONTH('Change in Employment'!B528), 1), ""), "mm/dd/yyyy")</f>
        <v/>
      </c>
      <c r="B521" s="8" t="str">
        <f>IF(ISNUMBER('Change in Employment'!I528), TEXT('Change in Employment'!I528, "0"), "")</f>
        <v/>
      </c>
      <c r="C521" s="8" t="str">
        <f>IF(ISNUMBER('Change in Employment'!J528),TEXT('Change in Employment'!J528, "0"),"")</f>
        <v/>
      </c>
      <c r="D521" s="8" t="str">
        <f>IF(ISNUMBER('Change in Employment'!G528),'Change in Employment'!G528,"")</f>
        <v/>
      </c>
    </row>
    <row r="522" spans="1:4">
      <c r="A522" t="str">
        <f>TEXT(IF('Change in Employment'!B529&lt;&gt;0,DATE(YEAR('Change in Employment'!B529), MONTH('Change in Employment'!B529), 1), ""), "mm/dd/yyyy")</f>
        <v/>
      </c>
      <c r="B522" s="8" t="str">
        <f>IF(ISNUMBER('Change in Employment'!I529), TEXT('Change in Employment'!I529, "0"), "")</f>
        <v/>
      </c>
      <c r="C522" s="8" t="str">
        <f>IF(ISNUMBER('Change in Employment'!J529),TEXT('Change in Employment'!J529, "0"),"")</f>
        <v/>
      </c>
      <c r="D522" s="8" t="str">
        <f>IF(ISNUMBER('Change in Employment'!G529),'Change in Employment'!G529,"")</f>
        <v/>
      </c>
    </row>
    <row r="523" spans="1:4">
      <c r="A523" t="str">
        <f>TEXT(IF('Change in Employment'!B530&lt;&gt;0,DATE(YEAR('Change in Employment'!B530), MONTH('Change in Employment'!B530), 1), ""), "mm/dd/yyyy")</f>
        <v/>
      </c>
      <c r="B523" s="8" t="str">
        <f>IF(ISNUMBER('Change in Employment'!I530), TEXT('Change in Employment'!I530, "0"), "")</f>
        <v/>
      </c>
      <c r="C523" s="8" t="str">
        <f>IF(ISNUMBER('Change in Employment'!J530),TEXT('Change in Employment'!J530, "0"),"")</f>
        <v/>
      </c>
      <c r="D523" s="8" t="str">
        <f>IF(ISNUMBER('Change in Employment'!G530),'Change in Employment'!G530,"")</f>
        <v/>
      </c>
    </row>
    <row r="524" spans="1:4">
      <c r="A524" t="str">
        <f>TEXT(IF('Change in Employment'!B531&lt;&gt;0,DATE(YEAR('Change in Employment'!B531), MONTH('Change in Employment'!B531), 1), ""), "mm/dd/yyyy")</f>
        <v/>
      </c>
      <c r="B524" s="8" t="str">
        <f>IF(ISNUMBER('Change in Employment'!I531), TEXT('Change in Employment'!I531, "0"), "")</f>
        <v/>
      </c>
      <c r="C524" s="8" t="str">
        <f>IF(ISNUMBER('Change in Employment'!J531),TEXT('Change in Employment'!J531, "0"),"")</f>
        <v/>
      </c>
      <c r="D524" s="8" t="str">
        <f>IF(ISNUMBER('Change in Employment'!G531),'Change in Employment'!G531,"")</f>
        <v/>
      </c>
    </row>
    <row r="525" spans="1:4">
      <c r="A525" t="str">
        <f>TEXT(IF('Change in Employment'!B532&lt;&gt;0,DATE(YEAR('Change in Employment'!B532), MONTH('Change in Employment'!B532), 1), ""), "mm/dd/yyyy")</f>
        <v/>
      </c>
      <c r="B525" s="8" t="str">
        <f>IF(ISNUMBER('Change in Employment'!I532), TEXT('Change in Employment'!I532, "0"), "")</f>
        <v/>
      </c>
      <c r="C525" s="8" t="str">
        <f>IF(ISNUMBER('Change in Employment'!J532),TEXT('Change in Employment'!J532, "0"),"")</f>
        <v/>
      </c>
      <c r="D525" s="8" t="str">
        <f>IF(ISNUMBER('Change in Employment'!G532),'Change in Employment'!G532,"")</f>
        <v/>
      </c>
    </row>
    <row r="526" spans="1:4">
      <c r="A526" t="str">
        <f>TEXT(IF('Change in Employment'!B533&lt;&gt;0,DATE(YEAR('Change in Employment'!B533), MONTH('Change in Employment'!B533), 1), ""), "mm/dd/yyyy")</f>
        <v/>
      </c>
      <c r="B526" s="8" t="str">
        <f>IF(ISNUMBER('Change in Employment'!I533), TEXT('Change in Employment'!I533, "0"), "")</f>
        <v/>
      </c>
      <c r="C526" s="8" t="str">
        <f>IF(ISNUMBER('Change in Employment'!J533),TEXT('Change in Employment'!J533, "0"),"")</f>
        <v/>
      </c>
      <c r="D526" s="8" t="str">
        <f>IF(ISNUMBER('Change in Employment'!G533),'Change in Employment'!G533,"")</f>
        <v/>
      </c>
    </row>
    <row r="527" spans="1:4">
      <c r="A527" t="str">
        <f>TEXT(IF('Change in Employment'!B534&lt;&gt;0,DATE(YEAR('Change in Employment'!B534), MONTH('Change in Employment'!B534), 1), ""), "mm/dd/yyyy")</f>
        <v/>
      </c>
      <c r="B527" s="8" t="str">
        <f>IF(ISNUMBER('Change in Employment'!I534), TEXT('Change in Employment'!I534, "0"), "")</f>
        <v/>
      </c>
      <c r="C527" s="8" t="str">
        <f>IF(ISNUMBER('Change in Employment'!J534),TEXT('Change in Employment'!J534, "0"),"")</f>
        <v/>
      </c>
      <c r="D527" s="8" t="str">
        <f>IF(ISNUMBER('Change in Employment'!G534),'Change in Employment'!G534,"")</f>
        <v/>
      </c>
    </row>
    <row r="528" spans="1:4">
      <c r="A528" t="str">
        <f>TEXT(IF('Change in Employment'!B535&lt;&gt;0,DATE(YEAR('Change in Employment'!B535), MONTH('Change in Employment'!B535), 1), ""), "mm/dd/yyyy")</f>
        <v/>
      </c>
      <c r="B528" s="8" t="str">
        <f>IF(ISNUMBER('Change in Employment'!I535), TEXT('Change in Employment'!I535, "0"), "")</f>
        <v/>
      </c>
      <c r="C528" s="8" t="str">
        <f>IF(ISNUMBER('Change in Employment'!J535),TEXT('Change in Employment'!J535, "0"),"")</f>
        <v/>
      </c>
      <c r="D528" s="8" t="str">
        <f>IF(ISNUMBER('Change in Employment'!G535),'Change in Employment'!G535,"")</f>
        <v/>
      </c>
    </row>
    <row r="529" spans="1:4">
      <c r="A529" t="str">
        <f>TEXT(IF('Change in Employment'!B536&lt;&gt;0,DATE(YEAR('Change in Employment'!B536), MONTH('Change in Employment'!B536), 1), ""), "mm/dd/yyyy")</f>
        <v/>
      </c>
      <c r="B529" s="8" t="str">
        <f>IF(ISNUMBER('Change in Employment'!I536), TEXT('Change in Employment'!I536, "0"), "")</f>
        <v/>
      </c>
      <c r="C529" s="8" t="str">
        <f>IF(ISNUMBER('Change in Employment'!J536),TEXT('Change in Employment'!J536, "0"),"")</f>
        <v/>
      </c>
      <c r="D529" s="8" t="str">
        <f>IF(ISNUMBER('Change in Employment'!G536),'Change in Employment'!G536,"")</f>
        <v/>
      </c>
    </row>
    <row r="530" spans="1:4">
      <c r="A530" t="str">
        <f>TEXT(IF('Change in Employment'!B537&lt;&gt;0,DATE(YEAR('Change in Employment'!B537), MONTH('Change in Employment'!B537), 1), ""), "mm/dd/yyyy")</f>
        <v/>
      </c>
      <c r="B530" s="8" t="str">
        <f>IF(ISNUMBER('Change in Employment'!I537), TEXT('Change in Employment'!I537, "0"), "")</f>
        <v/>
      </c>
      <c r="C530" s="8" t="str">
        <f>IF(ISNUMBER('Change in Employment'!J537),TEXT('Change in Employment'!J537, "0"),"")</f>
        <v/>
      </c>
      <c r="D530" s="8" t="str">
        <f>IF(ISNUMBER('Change in Employment'!G537),'Change in Employment'!G537,"")</f>
        <v/>
      </c>
    </row>
    <row r="531" spans="1:4">
      <c r="A531" t="str">
        <f>TEXT(IF('Change in Employment'!B538&lt;&gt;0,DATE(YEAR('Change in Employment'!B538), MONTH('Change in Employment'!B538), 1), ""), "mm/dd/yyyy")</f>
        <v/>
      </c>
      <c r="B531" s="8" t="str">
        <f>IF(ISNUMBER('Change in Employment'!I538), TEXT('Change in Employment'!I538, "0"), "")</f>
        <v/>
      </c>
      <c r="C531" s="8" t="str">
        <f>IF(ISNUMBER('Change in Employment'!J538),TEXT('Change in Employment'!J538, "0"),"")</f>
        <v/>
      </c>
      <c r="D531" s="8" t="str">
        <f>IF(ISNUMBER('Change in Employment'!G538),'Change in Employment'!G538,"")</f>
        <v/>
      </c>
    </row>
    <row r="532" spans="1:4">
      <c r="A532" t="str">
        <f>TEXT(IF('Change in Employment'!B539&lt;&gt;0,DATE(YEAR('Change in Employment'!B539), MONTH('Change in Employment'!B539), 1), ""), "mm/dd/yyyy")</f>
        <v/>
      </c>
      <c r="B532" s="8" t="str">
        <f>IF(ISNUMBER('Change in Employment'!I539), TEXT('Change in Employment'!I539, "0"), "")</f>
        <v/>
      </c>
      <c r="C532" s="8" t="str">
        <f>IF(ISNUMBER('Change in Employment'!J539),TEXT('Change in Employment'!J539, "0"),"")</f>
        <v/>
      </c>
      <c r="D532" s="8" t="str">
        <f>IF(ISNUMBER('Change in Employment'!G539),'Change in Employment'!G539,"")</f>
        <v/>
      </c>
    </row>
    <row r="533" spans="1:4">
      <c r="A533" t="str">
        <f>TEXT(IF('Change in Employment'!B540&lt;&gt;0,DATE(YEAR('Change in Employment'!B540), MONTH('Change in Employment'!B540), 1), ""), "mm/dd/yyyy")</f>
        <v/>
      </c>
      <c r="B533" s="8" t="str">
        <f>IF(ISNUMBER('Change in Employment'!I540), TEXT('Change in Employment'!I540, "0"), "")</f>
        <v/>
      </c>
      <c r="C533" s="8" t="str">
        <f>IF(ISNUMBER('Change in Employment'!J540),TEXT('Change in Employment'!J540, "0"),"")</f>
        <v/>
      </c>
      <c r="D533" s="8" t="str">
        <f>IF(ISNUMBER('Change in Employment'!G540),'Change in Employment'!G540,"")</f>
        <v/>
      </c>
    </row>
    <row r="534" spans="1:4">
      <c r="A534" t="str">
        <f>TEXT(IF('Change in Employment'!B541&lt;&gt;0,DATE(YEAR('Change in Employment'!B541), MONTH('Change in Employment'!B541), 1), ""), "mm/dd/yyyy")</f>
        <v/>
      </c>
      <c r="B534" s="8" t="str">
        <f>IF(ISNUMBER('Change in Employment'!I541), TEXT('Change in Employment'!I541, "0"), "")</f>
        <v/>
      </c>
      <c r="C534" s="8" t="str">
        <f>IF(ISNUMBER('Change in Employment'!J541),TEXT('Change in Employment'!J541, "0"),"")</f>
        <v/>
      </c>
      <c r="D534" s="8" t="str">
        <f>IF(ISNUMBER('Change in Employment'!G541),'Change in Employment'!G541,"")</f>
        <v/>
      </c>
    </row>
    <row r="535" spans="1:4">
      <c r="A535" t="str">
        <f>TEXT(IF('Change in Employment'!B542&lt;&gt;0,DATE(YEAR('Change in Employment'!B542), MONTH('Change in Employment'!B542), 1), ""), "mm/dd/yyyy")</f>
        <v/>
      </c>
      <c r="B535" s="8" t="str">
        <f>IF(ISNUMBER('Change in Employment'!I542), TEXT('Change in Employment'!I542, "0"), "")</f>
        <v/>
      </c>
      <c r="C535" s="8" t="str">
        <f>IF(ISNUMBER('Change in Employment'!J542),TEXT('Change in Employment'!J542, "0"),"")</f>
        <v/>
      </c>
      <c r="D535" s="8" t="str">
        <f>IF(ISNUMBER('Change in Employment'!G542),'Change in Employment'!G542,"")</f>
        <v/>
      </c>
    </row>
    <row r="536" spans="1:4">
      <c r="A536" t="str">
        <f>TEXT(IF('Change in Employment'!B543&lt;&gt;0,DATE(YEAR('Change in Employment'!B543), MONTH('Change in Employment'!B543), 1), ""), "mm/dd/yyyy")</f>
        <v/>
      </c>
      <c r="B536" s="8" t="str">
        <f>IF(ISNUMBER('Change in Employment'!I543), TEXT('Change in Employment'!I543, "0"), "")</f>
        <v/>
      </c>
      <c r="C536" s="8" t="str">
        <f>IF(ISNUMBER('Change in Employment'!J543),TEXT('Change in Employment'!J543, "0"),"")</f>
        <v/>
      </c>
      <c r="D536" s="8" t="str">
        <f>IF(ISNUMBER('Change in Employment'!G543),'Change in Employment'!G543,"")</f>
        <v/>
      </c>
    </row>
    <row r="537" spans="1:4">
      <c r="A537" t="str">
        <f>TEXT(IF('Change in Employment'!B544&lt;&gt;0,DATE(YEAR('Change in Employment'!B544), MONTH('Change in Employment'!B544), 1), ""), "mm/dd/yyyy")</f>
        <v/>
      </c>
      <c r="B537" s="8" t="str">
        <f>IF(ISNUMBER('Change in Employment'!I544), TEXT('Change in Employment'!I544, "0"), "")</f>
        <v/>
      </c>
      <c r="C537" s="8" t="str">
        <f>IF(ISNUMBER('Change in Employment'!J544),TEXT('Change in Employment'!J544, "0"),"")</f>
        <v/>
      </c>
      <c r="D537" s="8" t="str">
        <f>IF(ISNUMBER('Change in Employment'!G544),'Change in Employment'!G544,"")</f>
        <v/>
      </c>
    </row>
    <row r="538" spans="1:4">
      <c r="A538" t="str">
        <f>TEXT(IF('Change in Employment'!B545&lt;&gt;0,DATE(YEAR('Change in Employment'!B545), MONTH('Change in Employment'!B545), 1), ""), "mm/dd/yyyy")</f>
        <v/>
      </c>
      <c r="B538" s="8" t="str">
        <f>IF(ISNUMBER('Change in Employment'!I545), TEXT('Change in Employment'!I545, "0"), "")</f>
        <v/>
      </c>
      <c r="C538" s="8" t="str">
        <f>IF(ISNUMBER('Change in Employment'!J545),TEXT('Change in Employment'!J545, "0"),"")</f>
        <v/>
      </c>
      <c r="D538" s="8" t="str">
        <f>IF(ISNUMBER('Change in Employment'!G545),'Change in Employment'!G545,"")</f>
        <v/>
      </c>
    </row>
    <row r="539" spans="1:4">
      <c r="A539" t="str">
        <f>TEXT(IF('Change in Employment'!B546&lt;&gt;0,DATE(YEAR('Change in Employment'!B546), MONTH('Change in Employment'!B546), 1), ""), "mm/dd/yyyy")</f>
        <v/>
      </c>
      <c r="B539" s="8" t="str">
        <f>IF(ISNUMBER('Change in Employment'!I546), TEXT('Change in Employment'!I546, "0"), "")</f>
        <v/>
      </c>
      <c r="C539" s="8" t="str">
        <f>IF(ISNUMBER('Change in Employment'!J546),TEXT('Change in Employment'!J546, "0"),"")</f>
        <v/>
      </c>
      <c r="D539" s="8" t="str">
        <f>IF(ISNUMBER('Change in Employment'!G546),'Change in Employment'!G546,"")</f>
        <v/>
      </c>
    </row>
    <row r="540" spans="1:4">
      <c r="A540" t="str">
        <f>TEXT(IF('Change in Employment'!B547&lt;&gt;0,DATE(YEAR('Change in Employment'!B547), MONTH('Change in Employment'!B547), 1), ""), "mm/dd/yyyy")</f>
        <v/>
      </c>
      <c r="B540" s="8" t="str">
        <f>IF(ISNUMBER('Change in Employment'!I547), TEXT('Change in Employment'!I547, "0"), "")</f>
        <v/>
      </c>
      <c r="C540" s="8" t="str">
        <f>IF(ISNUMBER('Change in Employment'!J547),TEXT('Change in Employment'!J547, "0"),"")</f>
        <v/>
      </c>
      <c r="D540" s="8" t="str">
        <f>IF(ISNUMBER('Change in Employment'!G547),'Change in Employment'!G547,"")</f>
        <v/>
      </c>
    </row>
    <row r="541" spans="1:4">
      <c r="A541" t="str">
        <f>TEXT(IF('Change in Employment'!B548&lt;&gt;0,DATE(YEAR('Change in Employment'!B548), MONTH('Change in Employment'!B548), 1), ""), "mm/dd/yyyy")</f>
        <v/>
      </c>
      <c r="B541" s="8" t="str">
        <f>IF(ISNUMBER('Change in Employment'!I548), TEXT('Change in Employment'!I548, "0"), "")</f>
        <v/>
      </c>
      <c r="C541" s="8" t="str">
        <f>IF(ISNUMBER('Change in Employment'!J548),TEXT('Change in Employment'!J548, "0"),"")</f>
        <v/>
      </c>
      <c r="D541" s="8" t="str">
        <f>IF(ISNUMBER('Change in Employment'!G548),'Change in Employment'!G548,"")</f>
        <v/>
      </c>
    </row>
    <row r="542" spans="1:4">
      <c r="A542" t="str">
        <f>TEXT(IF('Change in Employment'!B549&lt;&gt;0,DATE(YEAR('Change in Employment'!B549), MONTH('Change in Employment'!B549), 1), ""), "mm/dd/yyyy")</f>
        <v/>
      </c>
      <c r="B542" s="8" t="str">
        <f>IF(ISNUMBER('Change in Employment'!I549), TEXT('Change in Employment'!I549, "0"), "")</f>
        <v/>
      </c>
      <c r="C542" s="8" t="str">
        <f>IF(ISNUMBER('Change in Employment'!J549),TEXT('Change in Employment'!J549, "0"),"")</f>
        <v/>
      </c>
      <c r="D542" s="8" t="str">
        <f>IF(ISNUMBER('Change in Employment'!G549),'Change in Employment'!G549,"")</f>
        <v/>
      </c>
    </row>
    <row r="543" spans="1:4">
      <c r="A543" t="str">
        <f>TEXT(IF('Change in Employment'!B550&lt;&gt;0,DATE(YEAR('Change in Employment'!B550), MONTH('Change in Employment'!B550), 1), ""), "mm/dd/yyyy")</f>
        <v/>
      </c>
      <c r="B543" s="8" t="str">
        <f>IF(ISNUMBER('Change in Employment'!I550), TEXT('Change in Employment'!I550, "0"), "")</f>
        <v/>
      </c>
      <c r="C543" s="8" t="str">
        <f>IF(ISNUMBER('Change in Employment'!J550),TEXT('Change in Employment'!J550, "0"),"")</f>
        <v/>
      </c>
      <c r="D543" s="8" t="str">
        <f>IF(ISNUMBER('Change in Employment'!G550),'Change in Employment'!G550,"")</f>
        <v/>
      </c>
    </row>
    <row r="544" spans="1:4">
      <c r="A544" t="str">
        <f>TEXT(IF('Change in Employment'!B551&lt;&gt;0,DATE(YEAR('Change in Employment'!B551), MONTH('Change in Employment'!B551), 1), ""), "mm/dd/yyyy")</f>
        <v/>
      </c>
      <c r="B544" s="8" t="str">
        <f>IF(ISNUMBER('Change in Employment'!I551), TEXT('Change in Employment'!I551, "0"), "")</f>
        <v/>
      </c>
      <c r="C544" s="8" t="str">
        <f>IF(ISNUMBER('Change in Employment'!J551),TEXT('Change in Employment'!J551, "0"),"")</f>
        <v/>
      </c>
      <c r="D544" s="8" t="str">
        <f>IF(ISNUMBER('Change in Employment'!G551),'Change in Employment'!G551,"")</f>
        <v/>
      </c>
    </row>
    <row r="545" spans="1:4">
      <c r="A545" t="str">
        <f>TEXT(IF('Change in Employment'!B552&lt;&gt;0,DATE(YEAR('Change in Employment'!B552), MONTH('Change in Employment'!B552), 1), ""), "mm/dd/yyyy")</f>
        <v/>
      </c>
      <c r="B545" s="8" t="str">
        <f>IF(ISNUMBER('Change in Employment'!I552), TEXT('Change in Employment'!I552, "0"), "")</f>
        <v/>
      </c>
      <c r="C545" s="8" t="str">
        <f>IF(ISNUMBER('Change in Employment'!J552),TEXT('Change in Employment'!J552, "0"),"")</f>
        <v/>
      </c>
      <c r="D545" s="8" t="str">
        <f>IF(ISNUMBER('Change in Employment'!G552),'Change in Employment'!G552,"")</f>
        <v/>
      </c>
    </row>
    <row r="546" spans="1:4">
      <c r="A546" t="str">
        <f>TEXT(IF('Change in Employment'!B553&lt;&gt;0,DATE(YEAR('Change in Employment'!B553), MONTH('Change in Employment'!B553), 1), ""), "mm/dd/yyyy")</f>
        <v/>
      </c>
      <c r="B546" s="8" t="str">
        <f>IF(ISNUMBER('Change in Employment'!I553), TEXT('Change in Employment'!I553, "0"), "")</f>
        <v/>
      </c>
      <c r="C546" s="8" t="str">
        <f>IF(ISNUMBER('Change in Employment'!J553),TEXT('Change in Employment'!J553, "0"),"")</f>
        <v/>
      </c>
      <c r="D546" s="8" t="str">
        <f>IF(ISNUMBER('Change in Employment'!G553),'Change in Employment'!G553,"")</f>
        <v/>
      </c>
    </row>
    <row r="547" spans="1:4">
      <c r="A547" t="str">
        <f>TEXT(IF('Change in Employment'!B554&lt;&gt;0,DATE(YEAR('Change in Employment'!B554), MONTH('Change in Employment'!B554), 1), ""), "mm/dd/yyyy")</f>
        <v/>
      </c>
      <c r="B547" s="8" t="str">
        <f>IF(ISNUMBER('Change in Employment'!I554), TEXT('Change in Employment'!I554, "0"), "")</f>
        <v/>
      </c>
      <c r="C547" s="8" t="str">
        <f>IF(ISNUMBER('Change in Employment'!J554),TEXT('Change in Employment'!J554, "0"),"")</f>
        <v/>
      </c>
      <c r="D547" s="8" t="str">
        <f>IF(ISNUMBER('Change in Employment'!G554),'Change in Employment'!G554,"")</f>
        <v/>
      </c>
    </row>
    <row r="548" spans="1:4">
      <c r="A548" t="str">
        <f>TEXT(IF('Change in Employment'!B555&lt;&gt;0,DATE(YEAR('Change in Employment'!B555), MONTH('Change in Employment'!B555), 1), ""), "mm/dd/yyyy")</f>
        <v/>
      </c>
      <c r="B548" s="8" t="str">
        <f>IF(ISNUMBER('Change in Employment'!I555), TEXT('Change in Employment'!I555, "0"), "")</f>
        <v/>
      </c>
      <c r="C548" s="8" t="str">
        <f>IF(ISNUMBER('Change in Employment'!J555),TEXT('Change in Employment'!J555, "0"),"")</f>
        <v/>
      </c>
      <c r="D548" s="8" t="str">
        <f>IF(ISNUMBER('Change in Employment'!G555),'Change in Employment'!G555,"")</f>
        <v/>
      </c>
    </row>
    <row r="549" spans="1:4">
      <c r="A549" t="str">
        <f>TEXT(IF('Change in Employment'!B556&lt;&gt;0,DATE(YEAR('Change in Employment'!B556), MONTH('Change in Employment'!B556), 1), ""), "mm/dd/yyyy")</f>
        <v/>
      </c>
      <c r="B549" s="8" t="str">
        <f>IF(ISNUMBER('Change in Employment'!I556), TEXT('Change in Employment'!I556, "0"), "")</f>
        <v/>
      </c>
      <c r="C549" s="8" t="str">
        <f>IF(ISNUMBER('Change in Employment'!J556),TEXT('Change in Employment'!J556, "0"),"")</f>
        <v/>
      </c>
      <c r="D549" s="8" t="str">
        <f>IF(ISNUMBER('Change in Employment'!G556),'Change in Employment'!G556,"")</f>
        <v/>
      </c>
    </row>
    <row r="550" spans="1:4">
      <c r="A550" t="str">
        <f>TEXT(IF('Change in Employment'!B557&lt;&gt;0,DATE(YEAR('Change in Employment'!B557), MONTH('Change in Employment'!B557), 1), ""), "mm/dd/yyyy")</f>
        <v/>
      </c>
      <c r="B550" s="8" t="str">
        <f>IF(ISNUMBER('Change in Employment'!I557), TEXT('Change in Employment'!I557, "0"), "")</f>
        <v/>
      </c>
      <c r="C550" s="8" t="str">
        <f>IF(ISNUMBER('Change in Employment'!J557),TEXT('Change in Employment'!J557, "0"),"")</f>
        <v/>
      </c>
      <c r="D550" s="8" t="str">
        <f>IF(ISNUMBER('Change in Employment'!G557),'Change in Employment'!G557,"")</f>
        <v/>
      </c>
    </row>
    <row r="551" spans="1:4">
      <c r="A551" t="str">
        <f>TEXT(IF('Change in Employment'!B558&lt;&gt;0,DATE(YEAR('Change in Employment'!B558), MONTH('Change in Employment'!B558), 1), ""), "mm/dd/yyyy")</f>
        <v/>
      </c>
      <c r="B551" s="8" t="str">
        <f>IF(ISNUMBER('Change in Employment'!I558), TEXT('Change in Employment'!I558, "0"), "")</f>
        <v/>
      </c>
      <c r="C551" s="8" t="str">
        <f>IF(ISNUMBER('Change in Employment'!J558),TEXT('Change in Employment'!J558, "0"),"")</f>
        <v/>
      </c>
      <c r="D551" s="8" t="str">
        <f>IF(ISNUMBER('Change in Employment'!G558),'Change in Employment'!G558,"")</f>
        <v/>
      </c>
    </row>
    <row r="552" spans="1:4">
      <c r="A552" t="str">
        <f>TEXT(IF('Change in Employment'!B559&lt;&gt;0,DATE(YEAR('Change in Employment'!B559), MONTH('Change in Employment'!B559), 1), ""), "mm/dd/yyyy")</f>
        <v/>
      </c>
      <c r="B552" s="8" t="str">
        <f>IF(ISNUMBER('Change in Employment'!I559), TEXT('Change in Employment'!I559, "0"), "")</f>
        <v/>
      </c>
      <c r="C552" s="8" t="str">
        <f>IF(ISNUMBER('Change in Employment'!J559),TEXT('Change in Employment'!J559, "0"),"")</f>
        <v/>
      </c>
      <c r="D552" s="8" t="str">
        <f>IF(ISNUMBER('Change in Employment'!G559),'Change in Employment'!G559,"")</f>
        <v/>
      </c>
    </row>
    <row r="553" spans="1:4">
      <c r="A553" t="str">
        <f>TEXT(IF('Change in Employment'!B560&lt;&gt;0,DATE(YEAR('Change in Employment'!B560), MONTH('Change in Employment'!B560), 1), ""), "mm/dd/yyyy")</f>
        <v/>
      </c>
      <c r="B553" s="8" t="str">
        <f>IF(ISNUMBER('Change in Employment'!I560), TEXT('Change in Employment'!I560, "0"), "")</f>
        <v/>
      </c>
      <c r="C553" s="8" t="str">
        <f>IF(ISNUMBER('Change in Employment'!J560),TEXT('Change in Employment'!J560, "0"),"")</f>
        <v/>
      </c>
      <c r="D553" s="8" t="str">
        <f>IF(ISNUMBER('Change in Employment'!G560),'Change in Employment'!G560,"")</f>
        <v/>
      </c>
    </row>
    <row r="554" spans="1:4">
      <c r="A554" t="str">
        <f>TEXT(IF('Change in Employment'!B561&lt;&gt;0,DATE(YEAR('Change in Employment'!B561), MONTH('Change in Employment'!B561), 1), ""), "mm/dd/yyyy")</f>
        <v/>
      </c>
      <c r="B554" s="8" t="str">
        <f>IF(ISNUMBER('Change in Employment'!I561), TEXT('Change in Employment'!I561, "0"), "")</f>
        <v/>
      </c>
      <c r="C554" s="8" t="str">
        <f>IF(ISNUMBER('Change in Employment'!J561),TEXT('Change in Employment'!J561, "0"),"")</f>
        <v/>
      </c>
      <c r="D554" s="8" t="str">
        <f>IF(ISNUMBER('Change in Employment'!G561),'Change in Employment'!G561,"")</f>
        <v/>
      </c>
    </row>
    <row r="555" spans="1:4">
      <c r="A555" t="str">
        <f>TEXT(IF('Change in Employment'!B562&lt;&gt;0,DATE(YEAR('Change in Employment'!B562), MONTH('Change in Employment'!B562), 1), ""), "mm/dd/yyyy")</f>
        <v/>
      </c>
      <c r="B555" s="8" t="str">
        <f>IF(ISNUMBER('Change in Employment'!I562), TEXT('Change in Employment'!I562, "0"), "")</f>
        <v/>
      </c>
      <c r="C555" s="8" t="str">
        <f>IF(ISNUMBER('Change in Employment'!J562),TEXT('Change in Employment'!J562, "0"),"")</f>
        <v/>
      </c>
      <c r="D555" s="8" t="str">
        <f>IF(ISNUMBER('Change in Employment'!G562),'Change in Employment'!G562,"")</f>
        <v/>
      </c>
    </row>
    <row r="556" spans="1:4">
      <c r="A556" t="str">
        <f>TEXT(IF('Change in Employment'!B563&lt;&gt;0,DATE(YEAR('Change in Employment'!B563), MONTH('Change in Employment'!B563), 1), ""), "mm/dd/yyyy")</f>
        <v/>
      </c>
      <c r="B556" s="8" t="str">
        <f>IF(ISNUMBER('Change in Employment'!I563), TEXT('Change in Employment'!I563, "0"), "")</f>
        <v/>
      </c>
      <c r="C556" s="8" t="str">
        <f>IF(ISNUMBER('Change in Employment'!J563),TEXT('Change in Employment'!J563, "0"),"")</f>
        <v/>
      </c>
      <c r="D556" s="8" t="str">
        <f>IF(ISNUMBER('Change in Employment'!G563),'Change in Employment'!G563,"")</f>
        <v/>
      </c>
    </row>
    <row r="557" spans="1:4">
      <c r="A557" t="str">
        <f>TEXT(IF('Change in Employment'!B564&lt;&gt;0,DATE(YEAR('Change in Employment'!B564), MONTH('Change in Employment'!B564), 1), ""), "mm/dd/yyyy")</f>
        <v/>
      </c>
      <c r="B557" s="8" t="str">
        <f>IF(ISNUMBER('Change in Employment'!I564), TEXT('Change in Employment'!I564, "0"), "")</f>
        <v/>
      </c>
      <c r="C557" s="8" t="str">
        <f>IF(ISNUMBER('Change in Employment'!J564),TEXT('Change in Employment'!J564, "0"),"")</f>
        <v/>
      </c>
      <c r="D557" s="8" t="str">
        <f>IF(ISNUMBER('Change in Employment'!G564),'Change in Employment'!G564,"")</f>
        <v/>
      </c>
    </row>
    <row r="558" spans="1:4">
      <c r="A558" t="str">
        <f>TEXT(IF('Change in Employment'!B565&lt;&gt;0,DATE(YEAR('Change in Employment'!B565), MONTH('Change in Employment'!B565), 1), ""), "mm/dd/yyyy")</f>
        <v/>
      </c>
      <c r="B558" s="8" t="str">
        <f>IF(ISNUMBER('Change in Employment'!I565), TEXT('Change in Employment'!I565, "0"), "")</f>
        <v/>
      </c>
      <c r="C558" s="8" t="str">
        <f>IF(ISNUMBER('Change in Employment'!J565),TEXT('Change in Employment'!J565, "0"),"")</f>
        <v/>
      </c>
      <c r="D558" s="8" t="str">
        <f>IF(ISNUMBER('Change in Employment'!G565),'Change in Employment'!G565,"")</f>
        <v/>
      </c>
    </row>
    <row r="559" spans="1:4">
      <c r="A559" t="str">
        <f>TEXT(IF('Change in Employment'!B566&lt;&gt;0,DATE(YEAR('Change in Employment'!B566), MONTH('Change in Employment'!B566), 1), ""), "mm/dd/yyyy")</f>
        <v/>
      </c>
      <c r="B559" s="8" t="str">
        <f>IF(ISNUMBER('Change in Employment'!I566), TEXT('Change in Employment'!I566, "0"), "")</f>
        <v/>
      </c>
      <c r="C559" s="8" t="str">
        <f>IF(ISNUMBER('Change in Employment'!J566),TEXT('Change in Employment'!J566, "0"),"")</f>
        <v/>
      </c>
      <c r="D559" s="8" t="str">
        <f>IF(ISNUMBER('Change in Employment'!G566),'Change in Employment'!G566,"")</f>
        <v/>
      </c>
    </row>
    <row r="560" spans="1:4">
      <c r="A560" t="str">
        <f>TEXT(IF('Change in Employment'!B567&lt;&gt;0,DATE(YEAR('Change in Employment'!B567), MONTH('Change in Employment'!B567), 1), ""), "mm/dd/yyyy")</f>
        <v/>
      </c>
      <c r="B560" s="8" t="str">
        <f>IF(ISNUMBER('Change in Employment'!I567), TEXT('Change in Employment'!I567, "0"), "")</f>
        <v/>
      </c>
      <c r="C560" s="8" t="str">
        <f>IF(ISNUMBER('Change in Employment'!J567),TEXT('Change in Employment'!J567, "0"),"")</f>
        <v/>
      </c>
      <c r="D560" s="8" t="str">
        <f>IF(ISNUMBER('Change in Employment'!G567),'Change in Employment'!G567,"")</f>
        <v/>
      </c>
    </row>
    <row r="561" spans="1:4">
      <c r="A561" t="str">
        <f>TEXT(IF('Change in Employment'!B568&lt;&gt;0,DATE(YEAR('Change in Employment'!B568), MONTH('Change in Employment'!B568), 1), ""), "mm/dd/yyyy")</f>
        <v/>
      </c>
      <c r="B561" s="8" t="str">
        <f>IF(ISNUMBER('Change in Employment'!I568), TEXT('Change in Employment'!I568, "0"), "")</f>
        <v/>
      </c>
      <c r="C561" s="8" t="str">
        <f>IF(ISNUMBER('Change in Employment'!J568),TEXT('Change in Employment'!J568, "0"),"")</f>
        <v/>
      </c>
      <c r="D561" s="8" t="str">
        <f>IF(ISNUMBER('Change in Employment'!G568),'Change in Employment'!G568,"")</f>
        <v/>
      </c>
    </row>
    <row r="562" spans="1:4">
      <c r="A562" t="str">
        <f>TEXT(IF('Change in Employment'!B569&lt;&gt;0,DATE(YEAR('Change in Employment'!B569), MONTH('Change in Employment'!B569), 1), ""), "mm/dd/yyyy")</f>
        <v/>
      </c>
      <c r="B562" s="8" t="str">
        <f>IF(ISNUMBER('Change in Employment'!I569), TEXT('Change in Employment'!I569, "0"), "")</f>
        <v/>
      </c>
      <c r="C562" s="8" t="str">
        <f>IF(ISNUMBER('Change in Employment'!J569),TEXT('Change in Employment'!J569, "0"),"")</f>
        <v/>
      </c>
      <c r="D562" s="8" t="str">
        <f>IF(ISNUMBER('Change in Employment'!G569),'Change in Employment'!G569,"")</f>
        <v/>
      </c>
    </row>
    <row r="563" spans="1:4">
      <c r="A563" t="str">
        <f>TEXT(IF('Change in Employment'!B570&lt;&gt;0,DATE(YEAR('Change in Employment'!B570), MONTH('Change in Employment'!B570), 1), ""), "mm/dd/yyyy")</f>
        <v/>
      </c>
      <c r="B563" s="8" t="str">
        <f>IF(ISNUMBER('Change in Employment'!I570), TEXT('Change in Employment'!I570, "0"), "")</f>
        <v/>
      </c>
      <c r="C563" s="8" t="str">
        <f>IF(ISNUMBER('Change in Employment'!J570),TEXT('Change in Employment'!J570, "0"),"")</f>
        <v/>
      </c>
      <c r="D563" s="8" t="str">
        <f>IF(ISNUMBER('Change in Employment'!G570),'Change in Employment'!G570,"")</f>
        <v/>
      </c>
    </row>
    <row r="564" spans="1:4">
      <c r="A564" t="str">
        <f>TEXT(IF('Change in Employment'!B571&lt;&gt;0,DATE(YEAR('Change in Employment'!B571), MONTH('Change in Employment'!B571), 1), ""), "mm/dd/yyyy")</f>
        <v/>
      </c>
      <c r="B564" s="8" t="str">
        <f>IF(ISNUMBER('Change in Employment'!I571), TEXT('Change in Employment'!I571, "0"), "")</f>
        <v/>
      </c>
      <c r="C564" s="8" t="str">
        <f>IF(ISNUMBER('Change in Employment'!J571),TEXT('Change in Employment'!J571, "0"),"")</f>
        <v/>
      </c>
      <c r="D564" s="8" t="str">
        <f>IF(ISNUMBER('Change in Employment'!G571),'Change in Employment'!G571,"")</f>
        <v/>
      </c>
    </row>
    <row r="565" spans="1:4">
      <c r="A565" t="str">
        <f>TEXT(IF('Change in Employment'!B572&lt;&gt;0,DATE(YEAR('Change in Employment'!B572), MONTH('Change in Employment'!B572), 1), ""), "mm/dd/yyyy")</f>
        <v/>
      </c>
      <c r="B565" s="8" t="str">
        <f>IF(ISNUMBER('Change in Employment'!I572), TEXT('Change in Employment'!I572, "0"), "")</f>
        <v/>
      </c>
      <c r="C565" s="8" t="str">
        <f>IF(ISNUMBER('Change in Employment'!J572),TEXT('Change in Employment'!J572, "0"),"")</f>
        <v/>
      </c>
      <c r="D565" s="8" t="str">
        <f>IF(ISNUMBER('Change in Employment'!G572),'Change in Employment'!G572,"")</f>
        <v/>
      </c>
    </row>
    <row r="566" spans="1:4">
      <c r="A566" t="str">
        <f>TEXT(IF('Change in Employment'!B573&lt;&gt;0,DATE(YEAR('Change in Employment'!B573), MONTH('Change in Employment'!B573), 1), ""), "mm/dd/yyyy")</f>
        <v/>
      </c>
      <c r="B566" s="8" t="str">
        <f>IF(ISNUMBER('Change in Employment'!I573), TEXT('Change in Employment'!I573, "0"), "")</f>
        <v/>
      </c>
      <c r="C566" s="8" t="str">
        <f>IF(ISNUMBER('Change in Employment'!J573),TEXT('Change in Employment'!J573, "0"),"")</f>
        <v/>
      </c>
      <c r="D566" s="8" t="str">
        <f>IF(ISNUMBER('Change in Employment'!G573),'Change in Employment'!G573,"")</f>
        <v/>
      </c>
    </row>
    <row r="567" spans="1:4">
      <c r="A567" t="str">
        <f>TEXT(IF('Change in Employment'!B574&lt;&gt;0,DATE(YEAR('Change in Employment'!B574), MONTH('Change in Employment'!B574), 1), ""), "mm/dd/yyyy")</f>
        <v/>
      </c>
      <c r="B567" s="8" t="str">
        <f>IF(ISNUMBER('Change in Employment'!I574), TEXT('Change in Employment'!I574, "0"), "")</f>
        <v/>
      </c>
      <c r="C567" s="8" t="str">
        <f>IF(ISNUMBER('Change in Employment'!J574),TEXT('Change in Employment'!J574, "0"),"")</f>
        <v/>
      </c>
      <c r="D567" s="8" t="str">
        <f>IF(ISNUMBER('Change in Employment'!G574),'Change in Employment'!G574,"")</f>
        <v/>
      </c>
    </row>
    <row r="568" spans="1:4">
      <c r="A568" t="str">
        <f>TEXT(IF('Change in Employment'!B575&lt;&gt;0,DATE(YEAR('Change in Employment'!B575), MONTH('Change in Employment'!B575), 1), ""), "mm/dd/yyyy")</f>
        <v/>
      </c>
      <c r="B568" s="8" t="str">
        <f>IF(ISNUMBER('Change in Employment'!I575), TEXT('Change in Employment'!I575, "0"), "")</f>
        <v/>
      </c>
      <c r="C568" s="8" t="str">
        <f>IF(ISNUMBER('Change in Employment'!J575),TEXT('Change in Employment'!J575, "0"),"")</f>
        <v/>
      </c>
      <c r="D568" s="8" t="str">
        <f>IF(ISNUMBER('Change in Employment'!G575),'Change in Employment'!G575,"")</f>
        <v/>
      </c>
    </row>
    <row r="569" spans="1:4">
      <c r="A569" t="str">
        <f>TEXT(IF('Change in Employment'!B576&lt;&gt;0,DATE(YEAR('Change in Employment'!B576), MONTH('Change in Employment'!B576), 1), ""), "mm/dd/yyyy")</f>
        <v/>
      </c>
      <c r="B569" s="8" t="str">
        <f>IF(ISNUMBER('Change in Employment'!I576), TEXT('Change in Employment'!I576, "0"), "")</f>
        <v/>
      </c>
      <c r="C569" s="8" t="str">
        <f>IF(ISNUMBER('Change in Employment'!J576),TEXT('Change in Employment'!J576, "0"),"")</f>
        <v/>
      </c>
      <c r="D569" s="8" t="str">
        <f>IF(ISNUMBER('Change in Employment'!G576),'Change in Employment'!G576,"")</f>
        <v/>
      </c>
    </row>
    <row r="570" spans="1:4">
      <c r="A570" t="str">
        <f>TEXT(IF('Change in Employment'!B577&lt;&gt;0,DATE(YEAR('Change in Employment'!B577), MONTH('Change in Employment'!B577), 1), ""), "mm/dd/yyyy")</f>
        <v/>
      </c>
      <c r="B570" s="8" t="str">
        <f>IF(ISNUMBER('Change in Employment'!I577), TEXT('Change in Employment'!I577, "0"), "")</f>
        <v/>
      </c>
      <c r="C570" s="8" t="str">
        <f>IF(ISNUMBER('Change in Employment'!J577),TEXT('Change in Employment'!J577, "0"),"")</f>
        <v/>
      </c>
      <c r="D570" s="8" t="str">
        <f>IF(ISNUMBER('Change in Employment'!G577),'Change in Employment'!G577,"")</f>
        <v/>
      </c>
    </row>
    <row r="571" spans="1:4">
      <c r="A571" t="str">
        <f>TEXT(IF('Change in Employment'!B578&lt;&gt;0,DATE(YEAR('Change in Employment'!B578), MONTH('Change in Employment'!B578), 1), ""), "mm/dd/yyyy")</f>
        <v/>
      </c>
      <c r="B571" s="8" t="str">
        <f>IF(ISNUMBER('Change in Employment'!I578), TEXT('Change in Employment'!I578, "0"), "")</f>
        <v/>
      </c>
      <c r="C571" s="8" t="str">
        <f>IF(ISNUMBER('Change in Employment'!J578),TEXT('Change in Employment'!J578, "0"),"")</f>
        <v/>
      </c>
      <c r="D571" s="8" t="str">
        <f>IF(ISNUMBER('Change in Employment'!G578),'Change in Employment'!G578,"")</f>
        <v/>
      </c>
    </row>
    <row r="572" spans="1:4">
      <c r="A572" t="str">
        <f>TEXT(IF('Change in Employment'!B579&lt;&gt;0,DATE(YEAR('Change in Employment'!B579), MONTH('Change in Employment'!B579), 1), ""), "mm/dd/yyyy")</f>
        <v/>
      </c>
      <c r="B572" s="8" t="str">
        <f>IF(ISNUMBER('Change in Employment'!I579), TEXT('Change in Employment'!I579, "0"), "")</f>
        <v/>
      </c>
      <c r="C572" s="8" t="str">
        <f>IF(ISNUMBER('Change in Employment'!J579),TEXT('Change in Employment'!J579, "0"),"")</f>
        <v/>
      </c>
      <c r="D572" s="8" t="str">
        <f>IF(ISNUMBER('Change in Employment'!G579),'Change in Employment'!G579,"")</f>
        <v/>
      </c>
    </row>
    <row r="573" spans="1:4">
      <c r="A573" t="str">
        <f>TEXT(IF('Change in Employment'!B580&lt;&gt;0,DATE(YEAR('Change in Employment'!B580), MONTH('Change in Employment'!B580), 1), ""), "mm/dd/yyyy")</f>
        <v/>
      </c>
      <c r="B573" s="8" t="str">
        <f>IF(ISNUMBER('Change in Employment'!I580), TEXT('Change in Employment'!I580, "0"), "")</f>
        <v/>
      </c>
      <c r="C573" s="8" t="str">
        <f>IF(ISNUMBER('Change in Employment'!J580),TEXT('Change in Employment'!J580, "0"),"")</f>
        <v/>
      </c>
      <c r="D573" s="8" t="str">
        <f>IF(ISNUMBER('Change in Employment'!G580),'Change in Employment'!G580,"")</f>
        <v/>
      </c>
    </row>
    <row r="574" spans="1:4">
      <c r="A574" t="str">
        <f>TEXT(IF('Change in Employment'!B581&lt;&gt;0,DATE(YEAR('Change in Employment'!B581), MONTH('Change in Employment'!B581), 1), ""), "mm/dd/yyyy")</f>
        <v/>
      </c>
      <c r="B574" s="8" t="str">
        <f>IF(ISNUMBER('Change in Employment'!I581), TEXT('Change in Employment'!I581, "0"), "")</f>
        <v/>
      </c>
      <c r="C574" s="8" t="str">
        <f>IF(ISNUMBER('Change in Employment'!J581),TEXT('Change in Employment'!J581, "0"),"")</f>
        <v/>
      </c>
      <c r="D574" s="8" t="str">
        <f>IF(ISNUMBER('Change in Employment'!G581),'Change in Employment'!G581,"")</f>
        <v/>
      </c>
    </row>
    <row r="575" spans="1:4">
      <c r="A575" t="str">
        <f>TEXT(IF('Change in Employment'!B582&lt;&gt;0,DATE(YEAR('Change in Employment'!B582), MONTH('Change in Employment'!B582), 1), ""), "mm/dd/yyyy")</f>
        <v/>
      </c>
      <c r="B575" s="8" t="str">
        <f>IF(ISNUMBER('Change in Employment'!I582), TEXT('Change in Employment'!I582, "0"), "")</f>
        <v/>
      </c>
      <c r="C575" s="8" t="str">
        <f>IF(ISNUMBER('Change in Employment'!J582),TEXT('Change in Employment'!J582, "0"),"")</f>
        <v/>
      </c>
      <c r="D575" s="8" t="str">
        <f>IF(ISNUMBER('Change in Employment'!G582),'Change in Employment'!G582,"")</f>
        <v/>
      </c>
    </row>
    <row r="576" spans="1:4">
      <c r="A576" t="str">
        <f>TEXT(IF('Change in Employment'!B583&lt;&gt;0,DATE(YEAR('Change in Employment'!B583), MONTH('Change in Employment'!B583), 1), ""), "mm/dd/yyyy")</f>
        <v/>
      </c>
      <c r="B576" s="8" t="str">
        <f>IF(ISNUMBER('Change in Employment'!I583), TEXT('Change in Employment'!I583, "0"), "")</f>
        <v/>
      </c>
      <c r="C576" s="8" t="str">
        <f>IF(ISNUMBER('Change in Employment'!J583),TEXT('Change in Employment'!J583, "0"),"")</f>
        <v/>
      </c>
      <c r="D576" s="8" t="str">
        <f>IF(ISNUMBER('Change in Employment'!G583),'Change in Employment'!G583,"")</f>
        <v/>
      </c>
    </row>
    <row r="577" spans="1:4">
      <c r="A577" t="str">
        <f>TEXT(IF('Change in Employment'!B584&lt;&gt;0,DATE(YEAR('Change in Employment'!B584), MONTH('Change in Employment'!B584), 1), ""), "mm/dd/yyyy")</f>
        <v/>
      </c>
      <c r="B577" s="8" t="str">
        <f>IF(ISNUMBER('Change in Employment'!I584), TEXT('Change in Employment'!I584, "0"), "")</f>
        <v/>
      </c>
      <c r="C577" s="8" t="str">
        <f>IF(ISNUMBER('Change in Employment'!J584),TEXT('Change in Employment'!J584, "0"),"")</f>
        <v/>
      </c>
      <c r="D577" s="8" t="str">
        <f>IF(ISNUMBER('Change in Employment'!G584),'Change in Employment'!G584,"")</f>
        <v/>
      </c>
    </row>
    <row r="578" spans="1:4">
      <c r="A578" t="str">
        <f>TEXT(IF('Change in Employment'!B585&lt;&gt;0,DATE(YEAR('Change in Employment'!B585), MONTH('Change in Employment'!B585), 1), ""), "mm/dd/yyyy")</f>
        <v/>
      </c>
      <c r="B578" s="8" t="str">
        <f>IF(ISNUMBER('Change in Employment'!I585), TEXT('Change in Employment'!I585, "0"), "")</f>
        <v/>
      </c>
      <c r="C578" s="8" t="str">
        <f>IF(ISNUMBER('Change in Employment'!J585),TEXT('Change in Employment'!J585, "0"),"")</f>
        <v/>
      </c>
      <c r="D578" s="8" t="str">
        <f>IF(ISNUMBER('Change in Employment'!G585),'Change in Employment'!G585,"")</f>
        <v/>
      </c>
    </row>
    <row r="579" spans="1:4">
      <c r="A579" t="str">
        <f>TEXT(IF('Change in Employment'!B586&lt;&gt;0,DATE(YEAR('Change in Employment'!B586), MONTH('Change in Employment'!B586), 1), ""), "mm/dd/yyyy")</f>
        <v/>
      </c>
      <c r="B579" s="8" t="str">
        <f>IF(ISNUMBER('Change in Employment'!I586), TEXT('Change in Employment'!I586, "0"), "")</f>
        <v/>
      </c>
      <c r="C579" s="8" t="str">
        <f>IF(ISNUMBER('Change in Employment'!J586),TEXT('Change in Employment'!J586, "0"),"")</f>
        <v/>
      </c>
      <c r="D579" s="8" t="str">
        <f>IF(ISNUMBER('Change in Employment'!G586),'Change in Employment'!G586,"")</f>
        <v/>
      </c>
    </row>
    <row r="580" spans="1:4">
      <c r="A580" t="str">
        <f>TEXT(IF('Change in Employment'!B587&lt;&gt;0,DATE(YEAR('Change in Employment'!B587), MONTH('Change in Employment'!B587), 1), ""), "mm/dd/yyyy")</f>
        <v/>
      </c>
      <c r="B580" s="8" t="str">
        <f>IF(ISNUMBER('Change in Employment'!I587), TEXT('Change in Employment'!I587, "0"), "")</f>
        <v/>
      </c>
      <c r="C580" s="8" t="str">
        <f>IF(ISNUMBER('Change in Employment'!J587),TEXT('Change in Employment'!J587, "0"),"")</f>
        <v/>
      </c>
      <c r="D580" s="8" t="str">
        <f>IF(ISNUMBER('Change in Employment'!G587),'Change in Employment'!G587,"")</f>
        <v/>
      </c>
    </row>
    <row r="581" spans="1:4">
      <c r="A581" t="str">
        <f>TEXT(IF('Change in Employment'!B588&lt;&gt;0,DATE(YEAR('Change in Employment'!B588), MONTH('Change in Employment'!B588), 1), ""), "mm/dd/yyyy")</f>
        <v/>
      </c>
      <c r="B581" s="8" t="str">
        <f>IF(ISNUMBER('Change in Employment'!I588), TEXT('Change in Employment'!I588, "0"), "")</f>
        <v/>
      </c>
      <c r="C581" s="8" t="str">
        <f>IF(ISNUMBER('Change in Employment'!J588),TEXT('Change in Employment'!J588, "0"),"")</f>
        <v/>
      </c>
      <c r="D581" s="8" t="str">
        <f>IF(ISNUMBER('Change in Employment'!G588),'Change in Employment'!G588,"")</f>
        <v/>
      </c>
    </row>
    <row r="582" spans="1:4">
      <c r="A582" t="str">
        <f>TEXT(IF('Change in Employment'!B589&lt;&gt;0,DATE(YEAR('Change in Employment'!B589), MONTH('Change in Employment'!B589), 1), ""), "mm/dd/yyyy")</f>
        <v/>
      </c>
      <c r="B582" s="8" t="str">
        <f>IF(ISNUMBER('Change in Employment'!I589), TEXT('Change in Employment'!I589, "0"), "")</f>
        <v/>
      </c>
      <c r="C582" s="8" t="str">
        <f>IF(ISNUMBER('Change in Employment'!J589),TEXT('Change in Employment'!J589, "0"),"")</f>
        <v/>
      </c>
      <c r="D582" s="8" t="str">
        <f>IF(ISNUMBER('Change in Employment'!G589),'Change in Employment'!G589,"")</f>
        <v/>
      </c>
    </row>
    <row r="583" spans="1:4">
      <c r="A583" t="str">
        <f>TEXT(IF('Change in Employment'!B590&lt;&gt;0,DATE(YEAR('Change in Employment'!B590), MONTH('Change in Employment'!B590), 1), ""), "mm/dd/yyyy")</f>
        <v/>
      </c>
      <c r="B583" s="8" t="str">
        <f>IF(ISNUMBER('Change in Employment'!I590), TEXT('Change in Employment'!I590, "0"), "")</f>
        <v/>
      </c>
      <c r="C583" s="8" t="str">
        <f>IF(ISNUMBER('Change in Employment'!J590),TEXT('Change in Employment'!J590, "0"),"")</f>
        <v/>
      </c>
      <c r="D583" s="8" t="str">
        <f>IF(ISNUMBER('Change in Employment'!G590),'Change in Employment'!G590,"")</f>
        <v/>
      </c>
    </row>
    <row r="584" spans="1:4">
      <c r="A584" t="str">
        <f>TEXT(IF('Change in Employment'!B591&lt;&gt;0,DATE(YEAR('Change in Employment'!B591), MONTH('Change in Employment'!B591), 1), ""), "mm/dd/yyyy")</f>
        <v/>
      </c>
      <c r="B584" s="8" t="str">
        <f>IF(ISNUMBER('Change in Employment'!I591), TEXT('Change in Employment'!I591, "0"), "")</f>
        <v/>
      </c>
      <c r="C584" s="8" t="str">
        <f>IF(ISNUMBER('Change in Employment'!J591),TEXT('Change in Employment'!J591, "0"),"")</f>
        <v/>
      </c>
      <c r="D584" s="8" t="str">
        <f>IF(ISNUMBER('Change in Employment'!G591),'Change in Employment'!G591,"")</f>
        <v/>
      </c>
    </row>
    <row r="585" spans="1:4">
      <c r="A585" t="str">
        <f>TEXT(IF('Change in Employment'!B592&lt;&gt;0,DATE(YEAR('Change in Employment'!B592), MONTH('Change in Employment'!B592), 1), ""), "mm/dd/yyyy")</f>
        <v/>
      </c>
      <c r="B585" s="8" t="str">
        <f>IF(ISNUMBER('Change in Employment'!I592), TEXT('Change in Employment'!I592, "0"), "")</f>
        <v/>
      </c>
      <c r="C585" s="8" t="str">
        <f>IF(ISNUMBER('Change in Employment'!J592),TEXT('Change in Employment'!J592, "0"),"")</f>
        <v/>
      </c>
      <c r="D585" s="8" t="str">
        <f>IF(ISNUMBER('Change in Employment'!G592),'Change in Employment'!G592,"")</f>
        <v/>
      </c>
    </row>
    <row r="586" spans="1:4">
      <c r="A586" t="str">
        <f>TEXT(IF('Change in Employment'!B593&lt;&gt;0,DATE(YEAR('Change in Employment'!B593), MONTH('Change in Employment'!B593), 1), ""), "mm/dd/yyyy")</f>
        <v/>
      </c>
      <c r="B586" s="8" t="str">
        <f>IF(ISNUMBER('Change in Employment'!I593), TEXT('Change in Employment'!I593, "0"), "")</f>
        <v/>
      </c>
      <c r="C586" s="8" t="str">
        <f>IF(ISNUMBER('Change in Employment'!J593),TEXT('Change in Employment'!J593, "0"),"")</f>
        <v/>
      </c>
      <c r="D586" s="8" t="str">
        <f>IF(ISNUMBER('Change in Employment'!G593),'Change in Employment'!G593,"")</f>
        <v/>
      </c>
    </row>
    <row r="587" spans="1:4">
      <c r="A587" t="str">
        <f>TEXT(IF('Change in Employment'!B594&lt;&gt;0,DATE(YEAR('Change in Employment'!B594), MONTH('Change in Employment'!B594), 1), ""), "mm/dd/yyyy")</f>
        <v/>
      </c>
      <c r="B587" s="8" t="str">
        <f>IF(ISNUMBER('Change in Employment'!I594), TEXT('Change in Employment'!I594, "0"), "")</f>
        <v/>
      </c>
      <c r="C587" s="8" t="str">
        <f>IF(ISNUMBER('Change in Employment'!J594),TEXT('Change in Employment'!J594, "0"),"")</f>
        <v/>
      </c>
      <c r="D587" s="8" t="str">
        <f>IF(ISNUMBER('Change in Employment'!G594),'Change in Employment'!G594,"")</f>
        <v/>
      </c>
    </row>
    <row r="588" spans="1:4">
      <c r="A588" t="str">
        <f>TEXT(IF('Change in Employment'!B595&lt;&gt;0,DATE(YEAR('Change in Employment'!B595), MONTH('Change in Employment'!B595), 1), ""), "mm/dd/yyyy")</f>
        <v/>
      </c>
      <c r="B588" s="8" t="str">
        <f>IF(ISNUMBER('Change in Employment'!I595), TEXT('Change in Employment'!I595, "0"), "")</f>
        <v/>
      </c>
      <c r="C588" s="8" t="str">
        <f>IF(ISNUMBER('Change in Employment'!J595),TEXT('Change in Employment'!J595, "0"),"")</f>
        <v/>
      </c>
      <c r="D588" s="8" t="str">
        <f>IF(ISNUMBER('Change in Employment'!G595),'Change in Employment'!G595,"")</f>
        <v/>
      </c>
    </row>
    <row r="589" spans="1:4">
      <c r="A589" t="str">
        <f>TEXT(IF('Change in Employment'!B596&lt;&gt;0,DATE(YEAR('Change in Employment'!B596), MONTH('Change in Employment'!B596), 1), ""), "mm/dd/yyyy")</f>
        <v/>
      </c>
      <c r="B589" s="8" t="str">
        <f>IF(ISNUMBER('Change in Employment'!I596), TEXT('Change in Employment'!I596, "0"), "")</f>
        <v/>
      </c>
      <c r="C589" s="8" t="str">
        <f>IF(ISNUMBER('Change in Employment'!J596),TEXT('Change in Employment'!J596, "0"),"")</f>
        <v/>
      </c>
      <c r="D589" s="8" t="str">
        <f>IF(ISNUMBER('Change in Employment'!G596),'Change in Employment'!G596,"")</f>
        <v/>
      </c>
    </row>
    <row r="590" spans="1:4">
      <c r="A590" t="str">
        <f>TEXT(IF('Change in Employment'!B597&lt;&gt;0,DATE(YEAR('Change in Employment'!B597), MONTH('Change in Employment'!B597), 1), ""), "mm/dd/yyyy")</f>
        <v/>
      </c>
      <c r="B590" s="8" t="str">
        <f>IF(ISNUMBER('Change in Employment'!I597), TEXT('Change in Employment'!I597, "0"), "")</f>
        <v/>
      </c>
      <c r="C590" s="8" t="str">
        <f>IF(ISNUMBER('Change in Employment'!J597),TEXT('Change in Employment'!J597, "0"),"")</f>
        <v/>
      </c>
      <c r="D590" s="8" t="str">
        <f>IF(ISNUMBER('Change in Employment'!G597),'Change in Employment'!G597,"")</f>
        <v/>
      </c>
    </row>
    <row r="591" spans="1:4">
      <c r="A591" t="str">
        <f>TEXT(IF('Change in Employment'!B598&lt;&gt;0,DATE(YEAR('Change in Employment'!B598), MONTH('Change in Employment'!B598), 1), ""), "mm/dd/yyyy")</f>
        <v/>
      </c>
      <c r="B591" s="8" t="str">
        <f>IF(ISNUMBER('Change in Employment'!I598), TEXT('Change in Employment'!I598, "0"), "")</f>
        <v/>
      </c>
      <c r="C591" s="8" t="str">
        <f>IF(ISNUMBER('Change in Employment'!J598),TEXT('Change in Employment'!J598, "0"),"")</f>
        <v/>
      </c>
      <c r="D591" s="8" t="str">
        <f>IF(ISNUMBER('Change in Employment'!G598),'Change in Employment'!G598,"")</f>
        <v/>
      </c>
    </row>
    <row r="592" spans="1:4">
      <c r="A592" t="str">
        <f>TEXT(IF('Change in Employment'!B599&lt;&gt;0,DATE(YEAR('Change in Employment'!B599), MONTH('Change in Employment'!B599), 1), ""), "mm/dd/yyyy")</f>
        <v/>
      </c>
      <c r="B592" s="8" t="str">
        <f>IF(ISNUMBER('Change in Employment'!I599), TEXT('Change in Employment'!I599, "0"), "")</f>
        <v/>
      </c>
      <c r="C592" s="8" t="str">
        <f>IF(ISNUMBER('Change in Employment'!J599),TEXT('Change in Employment'!J599, "0"),"")</f>
        <v/>
      </c>
      <c r="D592" s="8" t="str">
        <f>IF(ISNUMBER('Change in Employment'!G599),'Change in Employment'!G599,"")</f>
        <v/>
      </c>
    </row>
    <row r="593" spans="1:4">
      <c r="A593" t="str">
        <f>TEXT(IF('Change in Employment'!B600&lt;&gt;0,DATE(YEAR('Change in Employment'!B600), MONTH('Change in Employment'!B600), 1), ""), "mm/dd/yyyy")</f>
        <v/>
      </c>
      <c r="B593" s="8" t="str">
        <f>IF(ISNUMBER('Change in Employment'!I600), TEXT('Change in Employment'!I600, "0"), "")</f>
        <v/>
      </c>
      <c r="C593" s="8" t="str">
        <f>IF(ISNUMBER('Change in Employment'!J600),TEXT('Change in Employment'!J600, "0"),"")</f>
        <v/>
      </c>
      <c r="D593" s="8" t="str">
        <f>IF(ISNUMBER('Change in Employment'!G600),'Change in Employment'!G600,"")</f>
        <v/>
      </c>
    </row>
    <row r="594" spans="1:4">
      <c r="A594" t="str">
        <f>TEXT(IF('Change in Employment'!B601&lt;&gt;0,DATE(YEAR('Change in Employment'!B601), MONTH('Change in Employment'!B601), 1), ""), "mm/dd/yyyy")</f>
        <v/>
      </c>
      <c r="B594" s="8" t="str">
        <f>IF(ISNUMBER('Change in Employment'!I601), TEXT('Change in Employment'!I601, "0"), "")</f>
        <v/>
      </c>
      <c r="C594" s="8" t="str">
        <f>IF(ISNUMBER('Change in Employment'!J601),TEXT('Change in Employment'!J601, "0"),"")</f>
        <v/>
      </c>
      <c r="D594" s="8" t="str">
        <f>IF(ISNUMBER('Change in Employment'!G601),'Change in Employment'!G601,"")</f>
        <v/>
      </c>
    </row>
    <row r="595" spans="1:4">
      <c r="A595" t="str">
        <f>TEXT(IF('Change in Employment'!B602&lt;&gt;0,DATE(YEAR('Change in Employment'!B602), MONTH('Change in Employment'!B602), 1), ""), "mm/dd/yyyy")</f>
        <v/>
      </c>
      <c r="B595" s="8" t="str">
        <f>IF(ISNUMBER('Change in Employment'!I602), TEXT('Change in Employment'!I602, "0"), "")</f>
        <v/>
      </c>
      <c r="C595" s="8" t="str">
        <f>IF(ISNUMBER('Change in Employment'!J602),TEXT('Change in Employment'!J602, "0"),"")</f>
        <v/>
      </c>
      <c r="D595" s="8" t="str">
        <f>IF(ISNUMBER('Change in Employment'!G602),'Change in Employment'!G602,"")</f>
        <v/>
      </c>
    </row>
    <row r="596" spans="1:4">
      <c r="A596" t="str">
        <f>TEXT(IF('Change in Employment'!B603&lt;&gt;0,DATE(YEAR('Change in Employment'!B603), MONTH('Change in Employment'!B603), 1), ""), "mm/dd/yyyy")</f>
        <v/>
      </c>
      <c r="B596" s="8" t="str">
        <f>IF(ISNUMBER('Change in Employment'!I603), TEXT('Change in Employment'!I603, "0"), "")</f>
        <v/>
      </c>
      <c r="C596" s="8" t="str">
        <f>IF(ISNUMBER('Change in Employment'!J603),TEXT('Change in Employment'!J603, "0"),"")</f>
        <v/>
      </c>
      <c r="D596" s="8" t="str">
        <f>IF(ISNUMBER('Change in Employment'!G603),'Change in Employment'!G603,"")</f>
        <v/>
      </c>
    </row>
    <row r="597" spans="1:4">
      <c r="A597" t="str">
        <f>TEXT(IF('Change in Employment'!B604&lt;&gt;0,DATE(YEAR('Change in Employment'!B604), MONTH('Change in Employment'!B604), 1), ""), "mm/dd/yyyy")</f>
        <v/>
      </c>
      <c r="B597" s="8" t="str">
        <f>IF(ISNUMBER('Change in Employment'!I604), TEXT('Change in Employment'!I604, "0"), "")</f>
        <v/>
      </c>
      <c r="C597" s="8" t="str">
        <f>IF(ISNUMBER('Change in Employment'!J604),TEXT('Change in Employment'!J604, "0"),"")</f>
        <v/>
      </c>
      <c r="D597" s="8" t="str">
        <f>IF(ISNUMBER('Change in Employment'!G604),'Change in Employment'!G604,"")</f>
        <v/>
      </c>
    </row>
    <row r="598" spans="1:4">
      <c r="A598" t="str">
        <f>TEXT(IF('Change in Employment'!B605&lt;&gt;0,DATE(YEAR('Change in Employment'!B605), MONTH('Change in Employment'!B605), 1), ""), "mm/dd/yyyy")</f>
        <v/>
      </c>
      <c r="B598" s="8" t="str">
        <f>IF(ISNUMBER('Change in Employment'!I605), TEXT('Change in Employment'!I605, "0"), "")</f>
        <v/>
      </c>
      <c r="C598" s="8" t="str">
        <f>IF(ISNUMBER('Change in Employment'!J605),TEXT('Change in Employment'!J605, "0"),"")</f>
        <v/>
      </c>
      <c r="D598" s="8" t="str">
        <f>IF(ISNUMBER('Change in Employment'!G605),'Change in Employment'!G605,"")</f>
        <v/>
      </c>
    </row>
    <row r="599" spans="1:4">
      <c r="A599" t="str">
        <f>TEXT(IF('Change in Employment'!B606&lt;&gt;0,DATE(YEAR('Change in Employment'!B606), MONTH('Change in Employment'!B606), 1), ""), "mm/dd/yyyy")</f>
        <v/>
      </c>
      <c r="B599" s="8" t="str">
        <f>IF(ISNUMBER('Change in Employment'!I606), TEXT('Change in Employment'!I606, "0"), "")</f>
        <v/>
      </c>
      <c r="C599" s="8" t="str">
        <f>IF(ISNUMBER('Change in Employment'!J606),TEXT('Change in Employment'!J606, "0"),"")</f>
        <v/>
      </c>
      <c r="D599" s="8" t="str">
        <f>IF(ISNUMBER('Change in Employment'!G606),'Change in Employment'!G606,"")</f>
        <v/>
      </c>
    </row>
    <row r="600" spans="1:4">
      <c r="A600" t="str">
        <f>TEXT(IF('Change in Employment'!B607&lt;&gt;0,DATE(YEAR('Change in Employment'!B607), MONTH('Change in Employment'!B607), 1), ""), "mm/dd/yyyy")</f>
        <v/>
      </c>
      <c r="B600" s="8" t="str">
        <f>IF(ISNUMBER('Change in Employment'!I607), TEXT('Change in Employment'!I607, "0"), "")</f>
        <v/>
      </c>
      <c r="C600" s="8" t="str">
        <f>IF(ISNUMBER('Change in Employment'!J607),TEXT('Change in Employment'!J607, "0"),"")</f>
        <v/>
      </c>
      <c r="D600" s="8" t="str">
        <f>IF(ISNUMBER('Change in Employment'!G607),'Change in Employment'!G607,"")</f>
        <v/>
      </c>
    </row>
    <row r="601" spans="1:4">
      <c r="A601" t="str">
        <f>TEXT(IF('Change in Employment'!B608&lt;&gt;0,DATE(YEAR('Change in Employment'!B608), MONTH('Change in Employment'!B608), 1), ""), "mm/dd/yyyy")</f>
        <v/>
      </c>
      <c r="B601" s="8" t="str">
        <f>IF(ISNUMBER('Change in Employment'!I608), TEXT('Change in Employment'!I608, "0"), "")</f>
        <v/>
      </c>
      <c r="C601" s="8" t="str">
        <f>IF(ISNUMBER('Change in Employment'!J608),TEXT('Change in Employment'!J608, "0"),"")</f>
        <v/>
      </c>
      <c r="D601" s="8" t="str">
        <f>IF(ISNUMBER('Change in Employment'!G608),'Change in Employment'!G608,"")</f>
        <v/>
      </c>
    </row>
    <row r="602" spans="1:4">
      <c r="A602" t="str">
        <f>TEXT(IF('Change in Employment'!B609&lt;&gt;0,DATE(YEAR('Change in Employment'!B609), MONTH('Change in Employment'!B609), 1), ""), "mm/dd/yyyy")</f>
        <v/>
      </c>
      <c r="B602" s="8" t="str">
        <f>IF(ISNUMBER('Change in Employment'!I609), TEXT('Change in Employment'!I609, "0"), "")</f>
        <v/>
      </c>
      <c r="C602" s="8" t="str">
        <f>IF(ISNUMBER('Change in Employment'!J609),TEXT('Change in Employment'!J609, "0"),"")</f>
        <v/>
      </c>
      <c r="D602" s="8" t="str">
        <f>IF(ISNUMBER('Change in Employment'!G609),'Change in Employment'!G609,"")</f>
        <v/>
      </c>
    </row>
    <row r="603" spans="1:4">
      <c r="A603" t="str">
        <f>TEXT(IF('Change in Employment'!B610&lt;&gt;0,DATE(YEAR('Change in Employment'!B610), MONTH('Change in Employment'!B610), 1), ""), "mm/dd/yyyy")</f>
        <v/>
      </c>
      <c r="B603" s="8" t="str">
        <f>IF(ISNUMBER('Change in Employment'!I610), TEXT('Change in Employment'!I610, "0"), "")</f>
        <v/>
      </c>
      <c r="C603" s="8" t="str">
        <f>IF(ISNUMBER('Change in Employment'!J610),TEXT('Change in Employment'!J610, "0"),"")</f>
        <v/>
      </c>
      <c r="D603" s="8" t="str">
        <f>IF(ISNUMBER('Change in Employment'!G610),'Change in Employment'!G610,"")</f>
        <v/>
      </c>
    </row>
    <row r="604" spans="1:4">
      <c r="A604" t="str">
        <f>TEXT(IF('Change in Employment'!B611&lt;&gt;0,DATE(YEAR('Change in Employment'!B611), MONTH('Change in Employment'!B611), 1), ""), "mm/dd/yyyy")</f>
        <v/>
      </c>
      <c r="B604" s="8" t="str">
        <f>IF(ISNUMBER('Change in Employment'!I611), TEXT('Change in Employment'!I611, "0"), "")</f>
        <v/>
      </c>
      <c r="C604" s="8" t="str">
        <f>IF(ISNUMBER('Change in Employment'!J611),TEXT('Change in Employment'!J611, "0"),"")</f>
        <v/>
      </c>
      <c r="D604" s="8" t="str">
        <f>IF(ISNUMBER('Change in Employment'!G611),'Change in Employment'!G611,"")</f>
        <v/>
      </c>
    </row>
    <row r="605" spans="1:4">
      <c r="A605" t="str">
        <f>TEXT(IF('Change in Employment'!B612&lt;&gt;0,DATE(YEAR('Change in Employment'!B612), MONTH('Change in Employment'!B612), 1), ""), "mm/dd/yyyy")</f>
        <v/>
      </c>
      <c r="B605" s="8" t="str">
        <f>IF(ISNUMBER('Change in Employment'!I612), TEXT('Change in Employment'!I612, "0"), "")</f>
        <v/>
      </c>
      <c r="C605" s="8" t="str">
        <f>IF(ISNUMBER('Change in Employment'!J612),TEXT('Change in Employment'!J612, "0"),"")</f>
        <v/>
      </c>
      <c r="D605" s="8" t="str">
        <f>IF(ISNUMBER('Change in Employment'!G612),'Change in Employment'!G612,"")</f>
        <v/>
      </c>
    </row>
    <row r="606" spans="1:4">
      <c r="A606" t="str">
        <f>TEXT(IF('Change in Employment'!B613&lt;&gt;0,DATE(YEAR('Change in Employment'!B613), MONTH('Change in Employment'!B613), 1), ""), "mm/dd/yyyy")</f>
        <v/>
      </c>
      <c r="B606" s="8" t="str">
        <f>IF(ISNUMBER('Change in Employment'!I613), TEXT('Change in Employment'!I613, "0"), "")</f>
        <v/>
      </c>
      <c r="C606" s="8" t="str">
        <f>IF(ISNUMBER('Change in Employment'!J613),TEXT('Change in Employment'!J613, "0"),"")</f>
        <v/>
      </c>
      <c r="D606" s="8" t="str">
        <f>IF(ISNUMBER('Change in Employment'!G613),'Change in Employment'!G613,"")</f>
        <v/>
      </c>
    </row>
    <row r="607" spans="1:4">
      <c r="A607" t="str">
        <f>TEXT(IF('Change in Employment'!B614&lt;&gt;0,DATE(YEAR('Change in Employment'!B614), MONTH('Change in Employment'!B614), 1), ""), "mm/dd/yyyy")</f>
        <v/>
      </c>
      <c r="B607" s="8" t="str">
        <f>IF(ISNUMBER('Change in Employment'!I614), TEXT('Change in Employment'!I614, "0"), "")</f>
        <v/>
      </c>
      <c r="C607" s="8" t="str">
        <f>IF(ISNUMBER('Change in Employment'!J614),TEXT('Change in Employment'!J614, "0"),"")</f>
        <v/>
      </c>
      <c r="D607" s="8" t="str">
        <f>IF(ISNUMBER('Change in Employment'!G614),'Change in Employment'!G614,"")</f>
        <v/>
      </c>
    </row>
    <row r="608" spans="1:4">
      <c r="A608" t="str">
        <f>TEXT(IF('Change in Employment'!B615&lt;&gt;0,DATE(YEAR('Change in Employment'!B615), MONTH('Change in Employment'!B615), 1), ""), "mm/dd/yyyy")</f>
        <v/>
      </c>
      <c r="B608" s="8" t="str">
        <f>IF(ISNUMBER('Change in Employment'!I615), TEXT('Change in Employment'!I615, "0"), "")</f>
        <v/>
      </c>
      <c r="C608" s="8" t="str">
        <f>IF(ISNUMBER('Change in Employment'!J615),TEXT('Change in Employment'!J615, "0"),"")</f>
        <v/>
      </c>
      <c r="D608" s="8" t="str">
        <f>IF(ISNUMBER('Change in Employment'!G615),'Change in Employment'!G615,"")</f>
        <v/>
      </c>
    </row>
    <row r="609" spans="1:4">
      <c r="A609" t="str">
        <f>TEXT(IF('Change in Employment'!B616&lt;&gt;0,DATE(YEAR('Change in Employment'!B616), MONTH('Change in Employment'!B616), 1), ""), "mm/dd/yyyy")</f>
        <v/>
      </c>
      <c r="B609" s="8" t="str">
        <f>IF(ISNUMBER('Change in Employment'!I616), TEXT('Change in Employment'!I616, "0"), "")</f>
        <v/>
      </c>
      <c r="C609" s="8" t="str">
        <f>IF(ISNUMBER('Change in Employment'!J616),TEXT('Change in Employment'!J616, "0"),"")</f>
        <v/>
      </c>
      <c r="D609" s="8" t="str">
        <f>IF(ISNUMBER('Change in Employment'!G616),'Change in Employment'!G616,"")</f>
        <v/>
      </c>
    </row>
    <row r="610" spans="1:4">
      <c r="A610" t="str">
        <f>TEXT(IF('Change in Employment'!B617&lt;&gt;0,DATE(YEAR('Change in Employment'!B617), MONTH('Change in Employment'!B617), 1), ""), "mm/dd/yyyy")</f>
        <v/>
      </c>
      <c r="B610" s="8" t="str">
        <f>IF(ISNUMBER('Change in Employment'!I617), TEXT('Change in Employment'!I617, "0"), "")</f>
        <v/>
      </c>
      <c r="C610" s="8" t="str">
        <f>IF(ISNUMBER('Change in Employment'!J617),TEXT('Change in Employment'!J617, "0"),"")</f>
        <v/>
      </c>
      <c r="D610" s="8" t="str">
        <f>IF(ISNUMBER('Change in Employment'!G617),'Change in Employment'!G617,"")</f>
        <v/>
      </c>
    </row>
    <row r="611" spans="1:4">
      <c r="A611" t="str">
        <f>TEXT(IF('Change in Employment'!B618&lt;&gt;0,DATE(YEAR('Change in Employment'!B618), MONTH('Change in Employment'!B618), 1), ""), "mm/dd/yyyy")</f>
        <v/>
      </c>
      <c r="B611" s="8" t="str">
        <f>IF(ISNUMBER('Change in Employment'!I618), TEXT('Change in Employment'!I618, "0"), "")</f>
        <v/>
      </c>
      <c r="C611" s="8" t="str">
        <f>IF(ISNUMBER('Change in Employment'!J618),TEXT('Change in Employment'!J618, "0"),"")</f>
        <v/>
      </c>
      <c r="D611" s="8" t="str">
        <f>IF(ISNUMBER('Change in Employment'!G618),'Change in Employment'!G618,"")</f>
        <v/>
      </c>
    </row>
    <row r="612" spans="1:4">
      <c r="A612" t="str">
        <f>TEXT(IF('Change in Employment'!B619&lt;&gt;0,DATE(YEAR('Change in Employment'!B619), MONTH('Change in Employment'!B619), 1), ""), "mm/dd/yyyy")</f>
        <v/>
      </c>
      <c r="B612" s="8" t="str">
        <f>IF(ISNUMBER('Change in Employment'!I619), TEXT('Change in Employment'!I619, "0"), "")</f>
        <v/>
      </c>
      <c r="C612" s="8" t="str">
        <f>IF(ISNUMBER('Change in Employment'!J619),TEXT('Change in Employment'!J619, "0"),"")</f>
        <v/>
      </c>
      <c r="D612" s="8" t="str">
        <f>IF(ISNUMBER('Change in Employment'!G619),'Change in Employment'!G619,"")</f>
        <v/>
      </c>
    </row>
    <row r="613" spans="1:4">
      <c r="A613" t="str">
        <f>TEXT(IF('Change in Employment'!B620&lt;&gt;0,DATE(YEAR('Change in Employment'!B620), MONTH('Change in Employment'!B620), 1), ""), "mm/dd/yyyy")</f>
        <v/>
      </c>
      <c r="B613" s="8" t="str">
        <f>IF(ISNUMBER('Change in Employment'!I620), TEXT('Change in Employment'!I620, "0"), "")</f>
        <v/>
      </c>
      <c r="C613" s="8" t="str">
        <f>IF(ISNUMBER('Change in Employment'!J620),TEXT('Change in Employment'!J620, "0"),"")</f>
        <v/>
      </c>
      <c r="D613" s="8" t="str">
        <f>IF(ISNUMBER('Change in Employment'!G620),'Change in Employment'!G620,"")</f>
        <v/>
      </c>
    </row>
    <row r="614" spans="1:4">
      <c r="A614" t="str">
        <f>TEXT(IF('Change in Employment'!B621&lt;&gt;0,DATE(YEAR('Change in Employment'!B621), MONTH('Change in Employment'!B621), 1), ""), "mm/dd/yyyy")</f>
        <v/>
      </c>
      <c r="B614" s="8" t="str">
        <f>IF(ISNUMBER('Change in Employment'!I621), TEXT('Change in Employment'!I621, "0"), "")</f>
        <v/>
      </c>
      <c r="C614" s="8" t="str">
        <f>IF(ISNUMBER('Change in Employment'!J621),TEXT('Change in Employment'!J621, "0"),"")</f>
        <v/>
      </c>
      <c r="D614" s="8" t="str">
        <f>IF(ISNUMBER('Change in Employment'!G621),'Change in Employment'!G621,"")</f>
        <v/>
      </c>
    </row>
    <row r="615" spans="1:4">
      <c r="A615" t="str">
        <f>TEXT(IF('Change in Employment'!B622&lt;&gt;0,DATE(YEAR('Change in Employment'!B622), MONTH('Change in Employment'!B622), 1), ""), "mm/dd/yyyy")</f>
        <v/>
      </c>
      <c r="B615" s="8" t="str">
        <f>IF(ISNUMBER('Change in Employment'!I622), TEXT('Change in Employment'!I622, "0"), "")</f>
        <v/>
      </c>
      <c r="C615" s="8" t="str">
        <f>IF(ISNUMBER('Change in Employment'!J622),TEXT('Change in Employment'!J622, "0"),"")</f>
        <v/>
      </c>
      <c r="D615" s="8" t="str">
        <f>IF(ISNUMBER('Change in Employment'!G622),'Change in Employment'!G622,"")</f>
        <v/>
      </c>
    </row>
    <row r="616" spans="1:4">
      <c r="A616" t="str">
        <f>TEXT(IF('Change in Employment'!B623&lt;&gt;0,DATE(YEAR('Change in Employment'!B623), MONTH('Change in Employment'!B623), 1), ""), "mm/dd/yyyy")</f>
        <v/>
      </c>
      <c r="B616" s="8" t="str">
        <f>IF(ISNUMBER('Change in Employment'!I623), TEXT('Change in Employment'!I623, "0"), "")</f>
        <v/>
      </c>
      <c r="C616" s="8" t="str">
        <f>IF(ISNUMBER('Change in Employment'!J623),TEXT('Change in Employment'!J623, "0"),"")</f>
        <v/>
      </c>
      <c r="D616" s="8" t="str">
        <f>IF(ISNUMBER('Change in Employment'!G623),'Change in Employment'!G623,"")</f>
        <v/>
      </c>
    </row>
    <row r="617" spans="1:4">
      <c r="A617" t="str">
        <f>TEXT(IF('Change in Employment'!B624&lt;&gt;0,DATE(YEAR('Change in Employment'!B624), MONTH('Change in Employment'!B624), 1), ""), "mm/dd/yyyy")</f>
        <v/>
      </c>
      <c r="B617" s="8" t="str">
        <f>IF(ISNUMBER('Change in Employment'!I624), TEXT('Change in Employment'!I624, "0"), "")</f>
        <v/>
      </c>
      <c r="C617" s="8" t="str">
        <f>IF(ISNUMBER('Change in Employment'!J624),TEXT('Change in Employment'!J624, "0"),"")</f>
        <v/>
      </c>
      <c r="D617" s="8" t="str">
        <f>IF(ISNUMBER('Change in Employment'!G624),'Change in Employment'!G624,"")</f>
        <v/>
      </c>
    </row>
    <row r="618" spans="1:4">
      <c r="A618" t="str">
        <f>TEXT(IF('Change in Employment'!B625&lt;&gt;0,DATE(YEAR('Change in Employment'!B625), MONTH('Change in Employment'!B625), 1), ""), "mm/dd/yyyy")</f>
        <v/>
      </c>
      <c r="B618" s="8" t="str">
        <f>IF(ISNUMBER('Change in Employment'!I625), TEXT('Change in Employment'!I625, "0"), "")</f>
        <v/>
      </c>
      <c r="C618" s="8" t="str">
        <f>IF(ISNUMBER('Change in Employment'!J625),TEXT('Change in Employment'!J625, "0"),"")</f>
        <v/>
      </c>
      <c r="D618" s="8" t="str">
        <f>IF(ISNUMBER('Change in Employment'!G625),'Change in Employment'!G625,"")</f>
        <v/>
      </c>
    </row>
    <row r="619" spans="1:4">
      <c r="A619" t="str">
        <f>TEXT(IF('Change in Employment'!B626&lt;&gt;0,DATE(YEAR('Change in Employment'!B626), MONTH('Change in Employment'!B626), 1), ""), "mm/dd/yyyy")</f>
        <v/>
      </c>
      <c r="B619" s="8" t="str">
        <f>IF(ISNUMBER('Change in Employment'!I626), TEXT('Change in Employment'!I626, "0"), "")</f>
        <v/>
      </c>
      <c r="C619" s="8" t="str">
        <f>IF(ISNUMBER('Change in Employment'!J626),TEXT('Change in Employment'!J626, "0"),"")</f>
        <v/>
      </c>
      <c r="D619" s="8" t="str">
        <f>IF(ISNUMBER('Change in Employment'!G626),'Change in Employment'!G626,"")</f>
        <v/>
      </c>
    </row>
    <row r="620" spans="1:4">
      <c r="A620" t="str">
        <f>TEXT(IF('Change in Employment'!B627&lt;&gt;0,DATE(YEAR('Change in Employment'!B627), MONTH('Change in Employment'!B627), 1), ""), "mm/dd/yyyy")</f>
        <v/>
      </c>
      <c r="B620" s="8" t="str">
        <f>IF(ISNUMBER('Change in Employment'!I627), TEXT('Change in Employment'!I627, "0"), "")</f>
        <v/>
      </c>
      <c r="C620" s="8" t="str">
        <f>IF(ISNUMBER('Change in Employment'!J627),TEXT('Change in Employment'!J627, "0"),"")</f>
        <v/>
      </c>
      <c r="D620" s="8" t="str">
        <f>IF(ISNUMBER('Change in Employment'!G627),'Change in Employment'!G627,"")</f>
        <v/>
      </c>
    </row>
    <row r="621" spans="1:4">
      <c r="A621" t="str">
        <f>TEXT(IF('Change in Employment'!B628&lt;&gt;0,DATE(YEAR('Change in Employment'!B628), MONTH('Change in Employment'!B628), 1), ""), "mm/dd/yyyy")</f>
        <v/>
      </c>
      <c r="B621" s="8" t="str">
        <f>IF(ISNUMBER('Change in Employment'!I628), TEXT('Change in Employment'!I628, "0"), "")</f>
        <v/>
      </c>
      <c r="C621" s="8" t="str">
        <f>IF(ISNUMBER('Change in Employment'!J628),TEXT('Change in Employment'!J628, "0"),"")</f>
        <v/>
      </c>
      <c r="D621" s="8" t="str">
        <f>IF(ISNUMBER('Change in Employment'!G628),'Change in Employment'!G628,"")</f>
        <v/>
      </c>
    </row>
    <row r="622" spans="1:4">
      <c r="A622" t="str">
        <f>TEXT(IF('Change in Employment'!B629&lt;&gt;0,DATE(YEAR('Change in Employment'!B629), MONTH('Change in Employment'!B629), 1), ""), "mm/dd/yyyy")</f>
        <v/>
      </c>
      <c r="B622" s="8" t="str">
        <f>IF(ISNUMBER('Change in Employment'!I629), TEXT('Change in Employment'!I629, "0"), "")</f>
        <v/>
      </c>
      <c r="C622" s="8" t="str">
        <f>IF(ISNUMBER('Change in Employment'!J629),TEXT('Change in Employment'!J629, "0"),"")</f>
        <v/>
      </c>
      <c r="D622" s="8" t="str">
        <f>IF(ISNUMBER('Change in Employment'!G629),'Change in Employment'!G629,"")</f>
        <v/>
      </c>
    </row>
    <row r="623" spans="1:4">
      <c r="A623" t="str">
        <f>TEXT(IF('Change in Employment'!B630&lt;&gt;0,DATE(YEAR('Change in Employment'!B630), MONTH('Change in Employment'!B630), 1), ""), "mm/dd/yyyy")</f>
        <v/>
      </c>
      <c r="B623" s="8" t="str">
        <f>IF(ISNUMBER('Change in Employment'!I630), TEXT('Change in Employment'!I630, "0"), "")</f>
        <v/>
      </c>
      <c r="C623" s="8" t="str">
        <f>IF(ISNUMBER('Change in Employment'!J630),TEXT('Change in Employment'!J630, "0"),"")</f>
        <v/>
      </c>
      <c r="D623" s="8" t="str">
        <f>IF(ISNUMBER('Change in Employment'!G630),'Change in Employment'!G630,"")</f>
        <v/>
      </c>
    </row>
    <row r="624" spans="1:4">
      <c r="A624" t="str">
        <f>TEXT(IF('Change in Employment'!B631&lt;&gt;0,DATE(YEAR('Change in Employment'!B631), MONTH('Change in Employment'!B631), 1), ""), "mm/dd/yyyy")</f>
        <v/>
      </c>
      <c r="B624" s="8" t="str">
        <f>IF(ISNUMBER('Change in Employment'!I631), TEXT('Change in Employment'!I631, "0"), "")</f>
        <v/>
      </c>
      <c r="C624" s="8" t="str">
        <f>IF(ISNUMBER('Change in Employment'!J631),TEXT('Change in Employment'!J631, "0"),"")</f>
        <v/>
      </c>
      <c r="D624" s="8" t="str">
        <f>IF(ISNUMBER('Change in Employment'!G631),'Change in Employment'!G631,"")</f>
        <v/>
      </c>
    </row>
    <row r="625" spans="1:4">
      <c r="A625" t="str">
        <f>TEXT(IF('Change in Employment'!B632&lt;&gt;0,DATE(YEAR('Change in Employment'!B632), MONTH('Change in Employment'!B632), 1), ""), "mm/dd/yyyy")</f>
        <v/>
      </c>
      <c r="B625" s="8" t="str">
        <f>IF(ISNUMBER('Change in Employment'!I632), TEXT('Change in Employment'!I632, "0"), "")</f>
        <v/>
      </c>
      <c r="C625" s="8" t="str">
        <f>IF(ISNUMBER('Change in Employment'!J632),TEXT('Change in Employment'!J632, "0"),"")</f>
        <v/>
      </c>
      <c r="D625" s="8" t="str">
        <f>IF(ISNUMBER('Change in Employment'!G632),'Change in Employment'!G632,"")</f>
        <v/>
      </c>
    </row>
    <row r="626" spans="1:4">
      <c r="A626" t="str">
        <f>TEXT(IF('Change in Employment'!B633&lt;&gt;0,DATE(YEAR('Change in Employment'!B633), MONTH('Change in Employment'!B633), 1), ""), "mm/dd/yyyy")</f>
        <v/>
      </c>
      <c r="B626" s="8" t="str">
        <f>IF(ISNUMBER('Change in Employment'!I633), TEXT('Change in Employment'!I633, "0"), "")</f>
        <v/>
      </c>
      <c r="C626" s="8" t="str">
        <f>IF(ISNUMBER('Change in Employment'!J633),TEXT('Change in Employment'!J633, "0"),"")</f>
        <v/>
      </c>
      <c r="D626" s="8" t="str">
        <f>IF(ISNUMBER('Change in Employment'!G633),'Change in Employment'!G633,"")</f>
        <v/>
      </c>
    </row>
    <row r="627" spans="1:4">
      <c r="A627" t="str">
        <f>TEXT(IF('Change in Employment'!B634&lt;&gt;0,DATE(YEAR('Change in Employment'!B634), MONTH('Change in Employment'!B634), 1), ""), "mm/dd/yyyy")</f>
        <v/>
      </c>
      <c r="B627" s="8" t="str">
        <f>IF(ISNUMBER('Change in Employment'!I634), TEXT('Change in Employment'!I634, "0"), "")</f>
        <v/>
      </c>
      <c r="C627" s="8" t="str">
        <f>IF(ISNUMBER('Change in Employment'!J634),TEXT('Change in Employment'!J634, "0"),"")</f>
        <v/>
      </c>
      <c r="D627" s="8" t="str">
        <f>IF(ISNUMBER('Change in Employment'!G634),'Change in Employment'!G634,"")</f>
        <v/>
      </c>
    </row>
    <row r="628" spans="1:4">
      <c r="A628" t="str">
        <f>TEXT(IF('Change in Employment'!B635&lt;&gt;0,DATE(YEAR('Change in Employment'!B635), MONTH('Change in Employment'!B635), 1), ""), "mm/dd/yyyy")</f>
        <v/>
      </c>
      <c r="B628" s="8" t="str">
        <f>IF(ISNUMBER('Change in Employment'!I635), TEXT('Change in Employment'!I635, "0"), "")</f>
        <v/>
      </c>
      <c r="C628" s="8" t="str">
        <f>IF(ISNUMBER('Change in Employment'!J635),TEXT('Change in Employment'!J635, "0"),"")</f>
        <v/>
      </c>
      <c r="D628" s="8" t="str">
        <f>IF(ISNUMBER('Change in Employment'!G635),'Change in Employment'!G635,"")</f>
        <v/>
      </c>
    </row>
    <row r="629" spans="1:4">
      <c r="A629" t="str">
        <f>TEXT(IF('Change in Employment'!B636&lt;&gt;0,DATE(YEAR('Change in Employment'!B636), MONTH('Change in Employment'!B636), 1), ""), "mm/dd/yyyy")</f>
        <v/>
      </c>
      <c r="B629" s="8" t="str">
        <f>IF(ISNUMBER('Change in Employment'!I636), TEXT('Change in Employment'!I636, "0"), "")</f>
        <v/>
      </c>
      <c r="C629" s="8" t="str">
        <f>IF(ISNUMBER('Change in Employment'!J636),TEXT('Change in Employment'!J636, "0"),"")</f>
        <v/>
      </c>
      <c r="D629" s="8" t="str">
        <f>IF(ISNUMBER('Change in Employment'!G636),'Change in Employment'!G636,"")</f>
        <v/>
      </c>
    </row>
    <row r="630" spans="1:4">
      <c r="A630" t="str">
        <f>TEXT(IF('Change in Employment'!B637&lt;&gt;0,DATE(YEAR('Change in Employment'!B637), MONTH('Change in Employment'!B637), 1), ""), "mm/dd/yyyy")</f>
        <v/>
      </c>
      <c r="B630" s="8" t="str">
        <f>IF(ISNUMBER('Change in Employment'!I637), TEXT('Change in Employment'!I637, "0"), "")</f>
        <v/>
      </c>
      <c r="C630" s="8" t="str">
        <f>IF(ISNUMBER('Change in Employment'!J637),TEXT('Change in Employment'!J637, "0"),"")</f>
        <v/>
      </c>
      <c r="D630" s="8" t="str">
        <f>IF(ISNUMBER('Change in Employment'!G637),'Change in Employment'!G637,"")</f>
        <v/>
      </c>
    </row>
    <row r="631" spans="1:4">
      <c r="A631" t="str">
        <f>TEXT(IF('Change in Employment'!B638&lt;&gt;0,DATE(YEAR('Change in Employment'!B638), MONTH('Change in Employment'!B638), 1), ""), "mm/dd/yyyy")</f>
        <v/>
      </c>
      <c r="B631" s="8" t="str">
        <f>IF(ISNUMBER('Change in Employment'!I638), TEXT('Change in Employment'!I638, "0"), "")</f>
        <v/>
      </c>
      <c r="C631" s="8" t="str">
        <f>IF(ISNUMBER('Change in Employment'!J638),TEXT('Change in Employment'!J638, "0"),"")</f>
        <v/>
      </c>
      <c r="D631" s="8" t="str">
        <f>IF(ISNUMBER('Change in Employment'!G638),'Change in Employment'!G638,"")</f>
        <v/>
      </c>
    </row>
    <row r="632" spans="1:4">
      <c r="A632" t="str">
        <f>TEXT(IF('Change in Employment'!B639&lt;&gt;0,DATE(YEAR('Change in Employment'!B639), MONTH('Change in Employment'!B639), 1), ""), "mm/dd/yyyy")</f>
        <v/>
      </c>
      <c r="B632" s="8" t="str">
        <f>IF(ISNUMBER('Change in Employment'!I639), TEXT('Change in Employment'!I639, "0"), "")</f>
        <v/>
      </c>
      <c r="C632" s="8" t="str">
        <f>IF(ISNUMBER('Change in Employment'!J639),TEXT('Change in Employment'!J639, "0"),"")</f>
        <v/>
      </c>
      <c r="D632" s="8" t="str">
        <f>IF(ISNUMBER('Change in Employment'!G639),'Change in Employment'!G639,"")</f>
        <v/>
      </c>
    </row>
    <row r="633" spans="1:4">
      <c r="A633" t="str">
        <f>TEXT(IF('Change in Employment'!B640&lt;&gt;0,DATE(YEAR('Change in Employment'!B640), MONTH('Change in Employment'!B640), 1), ""), "mm/dd/yyyy")</f>
        <v/>
      </c>
      <c r="B633" s="8" t="str">
        <f>IF(ISNUMBER('Change in Employment'!I640), TEXT('Change in Employment'!I640, "0"), "")</f>
        <v/>
      </c>
      <c r="C633" s="8" t="str">
        <f>IF(ISNUMBER('Change in Employment'!J640),TEXT('Change in Employment'!J640, "0"),"")</f>
        <v/>
      </c>
      <c r="D633" s="8" t="str">
        <f>IF(ISNUMBER('Change in Employment'!G640),'Change in Employment'!G640,"")</f>
        <v/>
      </c>
    </row>
    <row r="634" spans="1:4">
      <c r="A634" t="str">
        <f>TEXT(IF('Change in Employment'!B641&lt;&gt;0,DATE(YEAR('Change in Employment'!B641), MONTH('Change in Employment'!B641), 1), ""), "mm/dd/yyyy")</f>
        <v/>
      </c>
      <c r="B634" s="8" t="str">
        <f>IF(ISNUMBER('Change in Employment'!I641), TEXT('Change in Employment'!I641, "0"), "")</f>
        <v/>
      </c>
      <c r="C634" s="8" t="str">
        <f>IF(ISNUMBER('Change in Employment'!J641),TEXT('Change in Employment'!J641, "0"),"")</f>
        <v/>
      </c>
      <c r="D634" s="8" t="str">
        <f>IF(ISNUMBER('Change in Employment'!G641),'Change in Employment'!G641,"")</f>
        <v/>
      </c>
    </row>
    <row r="635" spans="1:4">
      <c r="A635" t="str">
        <f>TEXT(IF('Change in Employment'!B642&lt;&gt;0,DATE(YEAR('Change in Employment'!B642), MONTH('Change in Employment'!B642), 1), ""), "mm/dd/yyyy")</f>
        <v/>
      </c>
      <c r="B635" s="8" t="str">
        <f>IF(ISNUMBER('Change in Employment'!I642), TEXT('Change in Employment'!I642, "0"), "")</f>
        <v/>
      </c>
      <c r="C635" s="8" t="str">
        <f>IF(ISNUMBER('Change in Employment'!J642),TEXT('Change in Employment'!J642, "0"),"")</f>
        <v/>
      </c>
      <c r="D635" s="8" t="str">
        <f>IF(ISNUMBER('Change in Employment'!G642),'Change in Employment'!G642,"")</f>
        <v/>
      </c>
    </row>
    <row r="636" spans="1:4">
      <c r="A636" t="str">
        <f>TEXT(IF('Change in Employment'!B643&lt;&gt;0,DATE(YEAR('Change in Employment'!B643), MONTH('Change in Employment'!B643), 1), ""), "mm/dd/yyyy")</f>
        <v/>
      </c>
      <c r="B636" s="8" t="str">
        <f>IF(ISNUMBER('Change in Employment'!I643), TEXT('Change in Employment'!I643, "0"), "")</f>
        <v/>
      </c>
      <c r="C636" s="8" t="str">
        <f>IF(ISNUMBER('Change in Employment'!J643),TEXT('Change in Employment'!J643, "0"),"")</f>
        <v/>
      </c>
      <c r="D636" s="8" t="str">
        <f>IF(ISNUMBER('Change in Employment'!G643),'Change in Employment'!G643,"")</f>
        <v/>
      </c>
    </row>
    <row r="637" spans="1:4">
      <c r="A637" t="str">
        <f>TEXT(IF('Change in Employment'!B644&lt;&gt;0,DATE(YEAR('Change in Employment'!B644), MONTH('Change in Employment'!B644), 1), ""), "mm/dd/yyyy")</f>
        <v/>
      </c>
      <c r="B637" s="8" t="str">
        <f>IF(ISNUMBER('Change in Employment'!I644), TEXT('Change in Employment'!I644, "0"), "")</f>
        <v/>
      </c>
      <c r="C637" s="8" t="str">
        <f>IF(ISNUMBER('Change in Employment'!J644),TEXT('Change in Employment'!J644, "0"),"")</f>
        <v/>
      </c>
      <c r="D637" s="8" t="str">
        <f>IF(ISNUMBER('Change in Employment'!G644),'Change in Employment'!G644,"")</f>
        <v/>
      </c>
    </row>
    <row r="638" spans="1:4">
      <c r="A638" t="str">
        <f>TEXT(IF('Change in Employment'!B645&lt;&gt;0,DATE(YEAR('Change in Employment'!B645), MONTH('Change in Employment'!B645), 1), ""), "mm/dd/yyyy")</f>
        <v/>
      </c>
      <c r="B638" s="8" t="str">
        <f>IF(ISNUMBER('Change in Employment'!I645), TEXT('Change in Employment'!I645, "0"), "")</f>
        <v/>
      </c>
      <c r="C638" s="8" t="str">
        <f>IF(ISNUMBER('Change in Employment'!J645),TEXT('Change in Employment'!J645, "0"),"")</f>
        <v/>
      </c>
      <c r="D638" s="8" t="str">
        <f>IF(ISNUMBER('Change in Employment'!G645),'Change in Employment'!G645,"")</f>
        <v/>
      </c>
    </row>
    <row r="639" spans="1:4">
      <c r="A639" t="str">
        <f>TEXT(IF('Change in Employment'!B646&lt;&gt;0,DATE(YEAR('Change in Employment'!B646), MONTH('Change in Employment'!B646), 1), ""), "mm/dd/yyyy")</f>
        <v/>
      </c>
      <c r="B639" s="8" t="str">
        <f>IF(ISNUMBER('Change in Employment'!I646), TEXT('Change in Employment'!I646, "0"), "")</f>
        <v/>
      </c>
      <c r="C639" s="8" t="str">
        <f>IF(ISNUMBER('Change in Employment'!J646),TEXT('Change in Employment'!J646, "0"),"")</f>
        <v/>
      </c>
      <c r="D639" s="8" t="str">
        <f>IF(ISNUMBER('Change in Employment'!G646),'Change in Employment'!G646,"")</f>
        <v/>
      </c>
    </row>
    <row r="640" spans="1:4">
      <c r="A640" t="str">
        <f>TEXT(IF('Change in Employment'!B647&lt;&gt;0,DATE(YEAR('Change in Employment'!B647), MONTH('Change in Employment'!B647), 1), ""), "mm/dd/yyyy")</f>
        <v/>
      </c>
      <c r="B640" s="8" t="str">
        <f>IF(ISNUMBER('Change in Employment'!I647), TEXT('Change in Employment'!I647, "0"), "")</f>
        <v/>
      </c>
      <c r="C640" s="8" t="str">
        <f>IF(ISNUMBER('Change in Employment'!J647),TEXT('Change in Employment'!J647, "0"),"")</f>
        <v/>
      </c>
      <c r="D640" s="8" t="str">
        <f>IF(ISNUMBER('Change in Employment'!G647),'Change in Employment'!G647,"")</f>
        <v/>
      </c>
    </row>
    <row r="641" spans="1:4">
      <c r="A641" t="str">
        <f>TEXT(IF('Change in Employment'!B648&lt;&gt;0,DATE(YEAR('Change in Employment'!B648), MONTH('Change in Employment'!B648), 1), ""), "mm/dd/yyyy")</f>
        <v/>
      </c>
      <c r="B641" s="8" t="str">
        <f>IF(ISNUMBER('Change in Employment'!I648), TEXT('Change in Employment'!I648, "0"), "")</f>
        <v/>
      </c>
      <c r="C641" s="8" t="str">
        <f>IF(ISNUMBER('Change in Employment'!J648),TEXT('Change in Employment'!J648, "0"),"")</f>
        <v/>
      </c>
      <c r="D641" s="8" t="str">
        <f>IF(ISNUMBER('Change in Employment'!G648),'Change in Employment'!G648,"")</f>
        <v/>
      </c>
    </row>
    <row r="642" spans="1:4">
      <c r="A642" t="str">
        <f>TEXT(IF('Change in Employment'!B649&lt;&gt;0,DATE(YEAR('Change in Employment'!B649), MONTH('Change in Employment'!B649), 1), ""), "mm/dd/yyyy")</f>
        <v/>
      </c>
      <c r="B642" s="8" t="str">
        <f>IF(ISNUMBER('Change in Employment'!I649), TEXT('Change in Employment'!I649, "0"), "")</f>
        <v/>
      </c>
      <c r="C642" s="8" t="str">
        <f>IF(ISNUMBER('Change in Employment'!J649),TEXT('Change in Employment'!J649, "0"),"")</f>
        <v/>
      </c>
      <c r="D642" s="8" t="str">
        <f>IF(ISNUMBER('Change in Employment'!G649),'Change in Employment'!G649,"")</f>
        <v/>
      </c>
    </row>
    <row r="643" spans="1:4">
      <c r="A643" t="str">
        <f>TEXT(IF('Change in Employment'!B650&lt;&gt;0,DATE(YEAR('Change in Employment'!B650), MONTH('Change in Employment'!B650), 1), ""), "mm/dd/yyyy")</f>
        <v/>
      </c>
      <c r="B643" s="8" t="str">
        <f>IF(ISNUMBER('Change in Employment'!I650), TEXT('Change in Employment'!I650, "0"), "")</f>
        <v/>
      </c>
      <c r="C643" s="8" t="str">
        <f>IF(ISNUMBER('Change in Employment'!J650),TEXT('Change in Employment'!J650, "0"),"")</f>
        <v/>
      </c>
      <c r="D643" s="8" t="str">
        <f>IF(ISNUMBER('Change in Employment'!G650),'Change in Employment'!G650,"")</f>
        <v/>
      </c>
    </row>
    <row r="644" spans="1:4">
      <c r="A644" t="str">
        <f>TEXT(IF('Change in Employment'!B651&lt;&gt;0,DATE(YEAR('Change in Employment'!B651), MONTH('Change in Employment'!B651), 1), ""), "mm/dd/yyyy")</f>
        <v/>
      </c>
      <c r="B644" s="8" t="str">
        <f>IF(ISNUMBER('Change in Employment'!I651), TEXT('Change in Employment'!I651, "0"), "")</f>
        <v/>
      </c>
      <c r="C644" s="8" t="str">
        <f>IF(ISNUMBER('Change in Employment'!J651),TEXT('Change in Employment'!J651, "0"),"")</f>
        <v/>
      </c>
      <c r="D644" s="8" t="str">
        <f>IF(ISNUMBER('Change in Employment'!G651),'Change in Employment'!G651,"")</f>
        <v/>
      </c>
    </row>
    <row r="645" spans="1:4">
      <c r="A645" t="str">
        <f>TEXT(IF('Change in Employment'!B652&lt;&gt;0,DATE(YEAR('Change in Employment'!B652), MONTH('Change in Employment'!B652), 1), ""), "mm/dd/yyyy")</f>
        <v/>
      </c>
      <c r="B645" s="8" t="str">
        <f>IF(ISNUMBER('Change in Employment'!I652), TEXT('Change in Employment'!I652, "0"), "")</f>
        <v/>
      </c>
      <c r="C645" s="8" t="str">
        <f>IF(ISNUMBER('Change in Employment'!J652),TEXT('Change in Employment'!J652, "0"),"")</f>
        <v/>
      </c>
      <c r="D645" s="8" t="str">
        <f>IF(ISNUMBER('Change in Employment'!G652),'Change in Employment'!G652,"")</f>
        <v/>
      </c>
    </row>
    <row r="646" spans="1:4">
      <c r="A646" t="str">
        <f>TEXT(IF('Change in Employment'!B653&lt;&gt;0,DATE(YEAR('Change in Employment'!B653), MONTH('Change in Employment'!B653), 1), ""), "mm/dd/yyyy")</f>
        <v/>
      </c>
      <c r="B646" s="8" t="str">
        <f>IF(ISNUMBER('Change in Employment'!I653), TEXT('Change in Employment'!I653, "0"), "")</f>
        <v/>
      </c>
      <c r="C646" s="8" t="str">
        <f>IF(ISNUMBER('Change in Employment'!J653),TEXT('Change in Employment'!J653, "0"),"")</f>
        <v/>
      </c>
      <c r="D646" s="8" t="str">
        <f>IF(ISNUMBER('Change in Employment'!G653),'Change in Employment'!G653,"")</f>
        <v/>
      </c>
    </row>
    <row r="647" spans="1:4">
      <c r="A647" t="str">
        <f>TEXT(IF('Change in Employment'!B654&lt;&gt;0,DATE(YEAR('Change in Employment'!B654), MONTH('Change in Employment'!B654), 1), ""), "mm/dd/yyyy")</f>
        <v/>
      </c>
      <c r="B647" s="8" t="str">
        <f>IF(ISNUMBER('Change in Employment'!I654), TEXT('Change in Employment'!I654, "0"), "")</f>
        <v/>
      </c>
      <c r="C647" s="8" t="str">
        <f>IF(ISNUMBER('Change in Employment'!J654),TEXT('Change in Employment'!J654, "0"),"")</f>
        <v/>
      </c>
      <c r="D647" s="8" t="str">
        <f>IF(ISNUMBER('Change in Employment'!G654),'Change in Employment'!G654,"")</f>
        <v/>
      </c>
    </row>
    <row r="648" spans="1:4">
      <c r="A648" t="str">
        <f>TEXT(IF('Change in Employment'!B655&lt;&gt;0,DATE(YEAR('Change in Employment'!B655), MONTH('Change in Employment'!B655), 1), ""), "mm/dd/yyyy")</f>
        <v/>
      </c>
      <c r="B648" s="8" t="str">
        <f>IF(ISNUMBER('Change in Employment'!I655), TEXT('Change in Employment'!I655, "0"), "")</f>
        <v/>
      </c>
      <c r="C648" s="8" t="str">
        <f>IF(ISNUMBER('Change in Employment'!J655),TEXT('Change in Employment'!J655, "0"),"")</f>
        <v/>
      </c>
      <c r="D648" s="8" t="str">
        <f>IF(ISNUMBER('Change in Employment'!G655),'Change in Employment'!G655,"")</f>
        <v/>
      </c>
    </row>
    <row r="649" spans="1:4">
      <c r="A649" t="str">
        <f>TEXT(IF('Change in Employment'!B656&lt;&gt;0,DATE(YEAR('Change in Employment'!B656), MONTH('Change in Employment'!B656), 1), ""), "mm/dd/yyyy")</f>
        <v/>
      </c>
      <c r="B649" s="8" t="str">
        <f>IF(ISNUMBER('Change in Employment'!I656), TEXT('Change in Employment'!I656, "0"), "")</f>
        <v/>
      </c>
      <c r="C649" s="8" t="str">
        <f>IF(ISNUMBER('Change in Employment'!J656),TEXT('Change in Employment'!J656, "0"),"")</f>
        <v/>
      </c>
      <c r="D649" s="8" t="str">
        <f>IF(ISNUMBER('Change in Employment'!G656),'Change in Employment'!G656,"")</f>
        <v/>
      </c>
    </row>
    <row r="650" spans="1:4">
      <c r="A650" t="str">
        <f>TEXT(IF('Change in Employment'!B657&lt;&gt;0,DATE(YEAR('Change in Employment'!B657), MONTH('Change in Employment'!B657), 1), ""), "mm/dd/yyyy")</f>
        <v/>
      </c>
      <c r="B650" s="8" t="str">
        <f>IF(ISNUMBER('Change in Employment'!I657), TEXT('Change in Employment'!I657, "0"), "")</f>
        <v/>
      </c>
      <c r="C650" s="8" t="str">
        <f>IF(ISNUMBER('Change in Employment'!J657),TEXT('Change in Employment'!J657, "0"),"")</f>
        <v/>
      </c>
      <c r="D650" s="8" t="str">
        <f>IF(ISNUMBER('Change in Employment'!G657),'Change in Employment'!G657,"")</f>
        <v/>
      </c>
    </row>
    <row r="651" spans="1:4">
      <c r="A651" t="str">
        <f>TEXT(IF('Change in Employment'!B658&lt;&gt;0,DATE(YEAR('Change in Employment'!B658), MONTH('Change in Employment'!B658), 1), ""), "mm/dd/yyyy")</f>
        <v/>
      </c>
      <c r="B651" s="8" t="str">
        <f>IF(ISNUMBER('Change in Employment'!I658), TEXT('Change in Employment'!I658, "0"), "")</f>
        <v/>
      </c>
      <c r="C651" s="8" t="str">
        <f>IF(ISNUMBER('Change in Employment'!J658),TEXT('Change in Employment'!J658, "0"),"")</f>
        <v/>
      </c>
      <c r="D651" s="8" t="str">
        <f>IF(ISNUMBER('Change in Employment'!G658),'Change in Employment'!G658,"")</f>
        <v/>
      </c>
    </row>
    <row r="652" spans="1:4">
      <c r="A652" t="str">
        <f>TEXT(IF('Change in Employment'!B659&lt;&gt;0,DATE(YEAR('Change in Employment'!B659), MONTH('Change in Employment'!B659), 1), ""), "mm/dd/yyyy")</f>
        <v/>
      </c>
      <c r="B652" s="8" t="str">
        <f>IF(ISNUMBER('Change in Employment'!I659), TEXT('Change in Employment'!I659, "0"), "")</f>
        <v/>
      </c>
      <c r="C652" s="8" t="str">
        <f>IF(ISNUMBER('Change in Employment'!J659),TEXT('Change in Employment'!J659, "0"),"")</f>
        <v/>
      </c>
      <c r="D652" s="8" t="str">
        <f>IF(ISNUMBER('Change in Employment'!G659),'Change in Employment'!G659,"")</f>
        <v/>
      </c>
    </row>
    <row r="653" spans="1:4">
      <c r="A653" t="str">
        <f>TEXT(IF('Change in Employment'!B660&lt;&gt;0,DATE(YEAR('Change in Employment'!B660), MONTH('Change in Employment'!B660), 1), ""), "mm/dd/yyyy")</f>
        <v/>
      </c>
      <c r="B653" s="8" t="str">
        <f>IF(ISNUMBER('Change in Employment'!I660), TEXT('Change in Employment'!I660, "0"), "")</f>
        <v/>
      </c>
      <c r="C653" s="8" t="str">
        <f>IF(ISNUMBER('Change in Employment'!J660),TEXT('Change in Employment'!J660, "0"),"")</f>
        <v/>
      </c>
      <c r="D653" s="8" t="str">
        <f>IF(ISNUMBER('Change in Employment'!G660),'Change in Employment'!G660,"")</f>
        <v/>
      </c>
    </row>
    <row r="654" spans="1:4">
      <c r="A654" t="str">
        <f>TEXT(IF('Change in Employment'!B661&lt;&gt;0,DATE(YEAR('Change in Employment'!B661), MONTH('Change in Employment'!B661), 1), ""), "mm/dd/yyyy")</f>
        <v/>
      </c>
      <c r="B654" s="8" t="str">
        <f>IF(ISNUMBER('Change in Employment'!I661), TEXT('Change in Employment'!I661, "0"), "")</f>
        <v/>
      </c>
      <c r="C654" s="8" t="str">
        <f>IF(ISNUMBER('Change in Employment'!J661),TEXT('Change in Employment'!J661, "0"),"")</f>
        <v/>
      </c>
      <c r="D654" s="8" t="str">
        <f>IF(ISNUMBER('Change in Employment'!G661),'Change in Employment'!G661,"")</f>
        <v/>
      </c>
    </row>
    <row r="655" spans="1:4">
      <c r="A655" t="str">
        <f>TEXT(IF('Change in Employment'!B662&lt;&gt;0,DATE(YEAR('Change in Employment'!B662), MONTH('Change in Employment'!B662), 1), ""), "mm/dd/yyyy")</f>
        <v/>
      </c>
      <c r="B655" s="8" t="str">
        <f>IF(ISNUMBER('Change in Employment'!I662), TEXT('Change in Employment'!I662, "0"), "")</f>
        <v/>
      </c>
      <c r="C655" s="8" t="str">
        <f>IF(ISNUMBER('Change in Employment'!J662),TEXT('Change in Employment'!J662, "0"),"")</f>
        <v/>
      </c>
      <c r="D655" s="8" t="str">
        <f>IF(ISNUMBER('Change in Employment'!G662),'Change in Employment'!G662,"")</f>
        <v/>
      </c>
    </row>
    <row r="656" spans="1:4">
      <c r="A656" t="str">
        <f>TEXT(IF('Change in Employment'!B663&lt;&gt;0,DATE(YEAR('Change in Employment'!B663), MONTH('Change in Employment'!B663), 1), ""), "mm/dd/yyyy")</f>
        <v/>
      </c>
      <c r="B656" s="8" t="str">
        <f>IF(ISNUMBER('Change in Employment'!I663), TEXT('Change in Employment'!I663, "0"), "")</f>
        <v/>
      </c>
      <c r="C656" s="8" t="str">
        <f>IF(ISNUMBER('Change in Employment'!J663),TEXT('Change in Employment'!J663, "0"),"")</f>
        <v/>
      </c>
      <c r="D656" s="8" t="str">
        <f>IF(ISNUMBER('Change in Employment'!G663),'Change in Employment'!G663,"")</f>
        <v/>
      </c>
    </row>
    <row r="657" spans="1:4">
      <c r="A657" t="str">
        <f>TEXT(IF('Change in Employment'!B664&lt;&gt;0,DATE(YEAR('Change in Employment'!B664), MONTH('Change in Employment'!B664), 1), ""), "mm/dd/yyyy")</f>
        <v/>
      </c>
      <c r="B657" s="8" t="str">
        <f>IF(ISNUMBER('Change in Employment'!I664), TEXT('Change in Employment'!I664, "0"), "")</f>
        <v/>
      </c>
      <c r="C657" s="8" t="str">
        <f>IF(ISNUMBER('Change in Employment'!J664),TEXT('Change in Employment'!J664, "0"),"")</f>
        <v/>
      </c>
      <c r="D657" s="8" t="str">
        <f>IF(ISNUMBER('Change in Employment'!G664),'Change in Employment'!G664,"")</f>
        <v/>
      </c>
    </row>
    <row r="658" spans="1:4">
      <c r="A658" t="str">
        <f>TEXT(IF('Change in Employment'!B665&lt;&gt;0,DATE(YEAR('Change in Employment'!B665), MONTH('Change in Employment'!B665), 1), ""), "mm/dd/yyyy")</f>
        <v/>
      </c>
      <c r="B658" s="8" t="str">
        <f>IF(ISNUMBER('Change in Employment'!I665), TEXT('Change in Employment'!I665, "0"), "")</f>
        <v/>
      </c>
      <c r="C658" s="8" t="str">
        <f>IF(ISNUMBER('Change in Employment'!J665),TEXT('Change in Employment'!J665, "0"),"")</f>
        <v/>
      </c>
      <c r="D658" s="8" t="str">
        <f>IF(ISNUMBER('Change in Employment'!G665),'Change in Employment'!G665,"")</f>
        <v/>
      </c>
    </row>
    <row r="659" spans="1:4">
      <c r="A659" t="str">
        <f>TEXT(IF('Change in Employment'!B666&lt;&gt;0,DATE(YEAR('Change in Employment'!B666), MONTH('Change in Employment'!B666), 1), ""), "mm/dd/yyyy")</f>
        <v/>
      </c>
      <c r="B659" s="8" t="str">
        <f>IF(ISNUMBER('Change in Employment'!I666), TEXT('Change in Employment'!I666, "0"), "")</f>
        <v/>
      </c>
      <c r="C659" s="8" t="str">
        <f>IF(ISNUMBER('Change in Employment'!J666),TEXT('Change in Employment'!J666, "0"),"")</f>
        <v/>
      </c>
      <c r="D659" s="8" t="str">
        <f>IF(ISNUMBER('Change in Employment'!G666),'Change in Employment'!G666,"")</f>
        <v/>
      </c>
    </row>
    <row r="660" spans="1:4">
      <c r="A660" t="str">
        <f>TEXT(IF('Change in Employment'!B667&lt;&gt;0,DATE(YEAR('Change in Employment'!B667), MONTH('Change in Employment'!B667), 1), ""), "mm/dd/yyyy")</f>
        <v/>
      </c>
      <c r="B660" s="8" t="str">
        <f>IF(ISNUMBER('Change in Employment'!I667), TEXT('Change in Employment'!I667, "0"), "")</f>
        <v/>
      </c>
      <c r="C660" s="8" t="str">
        <f>IF(ISNUMBER('Change in Employment'!J667),TEXT('Change in Employment'!J667, "0"),"")</f>
        <v/>
      </c>
      <c r="D660" s="8" t="str">
        <f>IF(ISNUMBER('Change in Employment'!G667),'Change in Employment'!G667,"")</f>
        <v/>
      </c>
    </row>
    <row r="661" spans="1:4">
      <c r="A661" t="str">
        <f>TEXT(IF('Change in Employment'!B668&lt;&gt;0,DATE(YEAR('Change in Employment'!B668), MONTH('Change in Employment'!B668), 1), ""), "mm/dd/yyyy")</f>
        <v/>
      </c>
      <c r="B661" s="8" t="str">
        <f>IF(ISNUMBER('Change in Employment'!I668), TEXT('Change in Employment'!I668, "0"), "")</f>
        <v/>
      </c>
      <c r="C661" s="8" t="str">
        <f>IF(ISNUMBER('Change in Employment'!J668),TEXT('Change in Employment'!J668, "0"),"")</f>
        <v/>
      </c>
      <c r="D661" s="8" t="str">
        <f>IF(ISNUMBER('Change in Employment'!G668),'Change in Employment'!G668,"")</f>
        <v/>
      </c>
    </row>
    <row r="662" spans="1:4">
      <c r="A662" t="str">
        <f>TEXT(IF('Change in Employment'!B669&lt;&gt;0,DATE(YEAR('Change in Employment'!B669), MONTH('Change in Employment'!B669), 1), ""), "mm/dd/yyyy")</f>
        <v/>
      </c>
      <c r="B662" s="8" t="str">
        <f>IF(ISNUMBER('Change in Employment'!I669), TEXT('Change in Employment'!I669, "0"), "")</f>
        <v/>
      </c>
      <c r="C662" s="8" t="str">
        <f>IF(ISNUMBER('Change in Employment'!J669),TEXT('Change in Employment'!J669, "0"),"")</f>
        <v/>
      </c>
      <c r="D662" s="8" t="str">
        <f>IF(ISNUMBER('Change in Employment'!G669),'Change in Employment'!G669,"")</f>
        <v/>
      </c>
    </row>
    <row r="663" spans="1:4">
      <c r="A663" t="str">
        <f>TEXT(IF('Change in Employment'!B670&lt;&gt;0,DATE(YEAR('Change in Employment'!B670), MONTH('Change in Employment'!B670), 1), ""), "mm/dd/yyyy")</f>
        <v/>
      </c>
      <c r="B663" s="8" t="str">
        <f>IF(ISNUMBER('Change in Employment'!I670), TEXT('Change in Employment'!I670, "0"), "")</f>
        <v/>
      </c>
      <c r="C663" s="8" t="str">
        <f>IF(ISNUMBER('Change in Employment'!J670),TEXT('Change in Employment'!J670, "0"),"")</f>
        <v/>
      </c>
      <c r="D663" s="8" t="str">
        <f>IF(ISNUMBER('Change in Employment'!G670),'Change in Employment'!G670,"")</f>
        <v/>
      </c>
    </row>
    <row r="664" spans="1:4">
      <c r="A664" t="str">
        <f>TEXT(IF('Change in Employment'!B671&lt;&gt;0,DATE(YEAR('Change in Employment'!B671), MONTH('Change in Employment'!B671), 1), ""), "mm/dd/yyyy")</f>
        <v/>
      </c>
      <c r="B664" s="8" t="str">
        <f>IF(ISNUMBER('Change in Employment'!I671), TEXT('Change in Employment'!I671, "0"), "")</f>
        <v/>
      </c>
      <c r="C664" s="8" t="str">
        <f>IF(ISNUMBER('Change in Employment'!J671),TEXT('Change in Employment'!J671, "0"),"")</f>
        <v/>
      </c>
      <c r="D664" s="8" t="str">
        <f>IF(ISNUMBER('Change in Employment'!G671),'Change in Employment'!G671,"")</f>
        <v/>
      </c>
    </row>
    <row r="665" spans="1:4">
      <c r="A665" t="str">
        <f>TEXT(IF('Change in Employment'!B672&lt;&gt;0,DATE(YEAR('Change in Employment'!B672), MONTH('Change in Employment'!B672), 1), ""), "mm/dd/yyyy")</f>
        <v/>
      </c>
      <c r="B665" s="8" t="str">
        <f>IF(ISNUMBER('Change in Employment'!I672), TEXT('Change in Employment'!I672, "0"), "")</f>
        <v/>
      </c>
      <c r="C665" s="8" t="str">
        <f>IF(ISNUMBER('Change in Employment'!J672),TEXT('Change in Employment'!J672, "0"),"")</f>
        <v/>
      </c>
      <c r="D665" s="8" t="str">
        <f>IF(ISNUMBER('Change in Employment'!G672),'Change in Employment'!G672,"")</f>
        <v/>
      </c>
    </row>
    <row r="666" spans="1:4">
      <c r="A666" t="str">
        <f>TEXT(IF('Change in Employment'!B673&lt;&gt;0,DATE(YEAR('Change in Employment'!B673), MONTH('Change in Employment'!B673), 1), ""), "mm/dd/yyyy")</f>
        <v/>
      </c>
      <c r="B666" s="8" t="str">
        <f>IF(ISNUMBER('Change in Employment'!I673), TEXT('Change in Employment'!I673, "0"), "")</f>
        <v/>
      </c>
      <c r="C666" s="8" t="str">
        <f>IF(ISNUMBER('Change in Employment'!J673),TEXT('Change in Employment'!J673, "0"),"")</f>
        <v/>
      </c>
      <c r="D666" s="8" t="str">
        <f>IF(ISNUMBER('Change in Employment'!G673),'Change in Employment'!G673,"")</f>
        <v/>
      </c>
    </row>
    <row r="667" spans="1:4">
      <c r="A667" t="str">
        <f>TEXT(IF('Change in Employment'!B674&lt;&gt;0,DATE(YEAR('Change in Employment'!B674), MONTH('Change in Employment'!B674), 1), ""), "mm/dd/yyyy")</f>
        <v/>
      </c>
      <c r="B667" s="8" t="str">
        <f>IF(ISNUMBER('Change in Employment'!I674), TEXT('Change in Employment'!I674, "0"), "")</f>
        <v/>
      </c>
      <c r="C667" s="8" t="str">
        <f>IF(ISNUMBER('Change in Employment'!J674),TEXT('Change in Employment'!J674, "0"),"")</f>
        <v/>
      </c>
      <c r="D667" s="8" t="str">
        <f>IF(ISNUMBER('Change in Employment'!G674),'Change in Employment'!G674,"")</f>
        <v/>
      </c>
    </row>
    <row r="668" spans="1:4">
      <c r="A668" t="str">
        <f>TEXT(IF('Change in Employment'!B675&lt;&gt;0,DATE(YEAR('Change in Employment'!B675), MONTH('Change in Employment'!B675), 1), ""), "mm/dd/yyyy")</f>
        <v/>
      </c>
      <c r="B668" s="8" t="str">
        <f>IF(ISNUMBER('Change in Employment'!I675), TEXT('Change in Employment'!I675, "0"), "")</f>
        <v/>
      </c>
      <c r="C668" s="8" t="str">
        <f>IF(ISNUMBER('Change in Employment'!J675),TEXT('Change in Employment'!J675, "0"),"")</f>
        <v/>
      </c>
      <c r="D668" s="8" t="str">
        <f>IF(ISNUMBER('Change in Employment'!G675),'Change in Employment'!G675,"")</f>
        <v/>
      </c>
    </row>
    <row r="669" spans="1:4">
      <c r="A669" t="str">
        <f>TEXT(IF('Change in Employment'!B676&lt;&gt;0,DATE(YEAR('Change in Employment'!B676), MONTH('Change in Employment'!B676), 1), ""), "mm/dd/yyyy")</f>
        <v/>
      </c>
      <c r="B669" s="8" t="str">
        <f>IF(ISNUMBER('Change in Employment'!I676), TEXT('Change in Employment'!I676, "0"), "")</f>
        <v/>
      </c>
      <c r="C669" s="8" t="str">
        <f>IF(ISNUMBER('Change in Employment'!J676),TEXT('Change in Employment'!J676, "0"),"")</f>
        <v/>
      </c>
      <c r="D669" s="8" t="str">
        <f>IF(ISNUMBER('Change in Employment'!G676),'Change in Employment'!G676,"")</f>
        <v/>
      </c>
    </row>
    <row r="670" spans="1:4">
      <c r="A670" t="str">
        <f>TEXT(IF('Change in Employment'!B677&lt;&gt;0,DATE(YEAR('Change in Employment'!B677), MONTH('Change in Employment'!B677), 1), ""), "mm/dd/yyyy")</f>
        <v/>
      </c>
      <c r="B670" s="8" t="str">
        <f>IF(ISNUMBER('Change in Employment'!I677), TEXT('Change in Employment'!I677, "0"), "")</f>
        <v/>
      </c>
      <c r="C670" s="8" t="str">
        <f>IF(ISNUMBER('Change in Employment'!J677),TEXT('Change in Employment'!J677, "0"),"")</f>
        <v/>
      </c>
      <c r="D670" s="8" t="str">
        <f>IF(ISNUMBER('Change in Employment'!G677),'Change in Employment'!G677,"")</f>
        <v/>
      </c>
    </row>
    <row r="671" spans="1:4">
      <c r="A671" t="str">
        <f>TEXT(IF('Change in Employment'!B678&lt;&gt;0,DATE(YEAR('Change in Employment'!B678), MONTH('Change in Employment'!B678), 1), ""), "mm/dd/yyyy")</f>
        <v/>
      </c>
      <c r="B671" s="8" t="str">
        <f>IF(ISNUMBER('Change in Employment'!I678), TEXT('Change in Employment'!I678, "0"), "")</f>
        <v/>
      </c>
      <c r="C671" s="8" t="str">
        <f>IF(ISNUMBER('Change in Employment'!J678),TEXT('Change in Employment'!J678, "0"),"")</f>
        <v/>
      </c>
      <c r="D671" s="8" t="str">
        <f>IF(ISNUMBER('Change in Employment'!G678),'Change in Employment'!G678,"")</f>
        <v/>
      </c>
    </row>
    <row r="672" spans="1:4">
      <c r="A672" t="str">
        <f>TEXT(IF('Change in Employment'!B679&lt;&gt;0,DATE(YEAR('Change in Employment'!B679), MONTH('Change in Employment'!B679), 1), ""), "mm/dd/yyyy")</f>
        <v/>
      </c>
      <c r="B672" s="8" t="str">
        <f>IF(ISNUMBER('Change in Employment'!I679), TEXT('Change in Employment'!I679, "0"), "")</f>
        <v/>
      </c>
      <c r="C672" s="8" t="str">
        <f>IF(ISNUMBER('Change in Employment'!J679),TEXT('Change in Employment'!J679, "0"),"")</f>
        <v/>
      </c>
      <c r="D672" s="8" t="str">
        <f>IF(ISNUMBER('Change in Employment'!G679),'Change in Employment'!G679,"")</f>
        <v/>
      </c>
    </row>
    <row r="673" spans="1:4">
      <c r="A673" t="str">
        <f>TEXT(IF('Change in Employment'!B680&lt;&gt;0,DATE(YEAR('Change in Employment'!B680), MONTH('Change in Employment'!B680), 1), ""), "mm/dd/yyyy")</f>
        <v/>
      </c>
      <c r="B673" s="8" t="str">
        <f>IF(ISNUMBER('Change in Employment'!I680), TEXT('Change in Employment'!I680, "0"), "")</f>
        <v/>
      </c>
      <c r="C673" s="8" t="str">
        <f>IF(ISNUMBER('Change in Employment'!J680),TEXT('Change in Employment'!J680, "0"),"")</f>
        <v/>
      </c>
      <c r="D673" s="8" t="str">
        <f>IF(ISNUMBER('Change in Employment'!G680),'Change in Employment'!G680,"")</f>
        <v/>
      </c>
    </row>
    <row r="674" spans="1:4">
      <c r="A674" t="str">
        <f>TEXT(IF('Change in Employment'!B681&lt;&gt;0,DATE(YEAR('Change in Employment'!B681), MONTH('Change in Employment'!B681), 1), ""), "mm/dd/yyyy")</f>
        <v/>
      </c>
      <c r="B674" s="8" t="str">
        <f>IF(ISNUMBER('Change in Employment'!I681), TEXT('Change in Employment'!I681, "0"), "")</f>
        <v/>
      </c>
      <c r="C674" s="8" t="str">
        <f>IF(ISNUMBER('Change in Employment'!J681),TEXT('Change in Employment'!J681, "0"),"")</f>
        <v/>
      </c>
      <c r="D674" s="8" t="str">
        <f>IF(ISNUMBER('Change in Employment'!G681),'Change in Employment'!G681,"")</f>
        <v/>
      </c>
    </row>
    <row r="675" spans="1:4">
      <c r="A675" t="str">
        <f>TEXT(IF('Change in Employment'!B682&lt;&gt;0,DATE(YEAR('Change in Employment'!B682), MONTH('Change in Employment'!B682), 1), ""), "mm/dd/yyyy")</f>
        <v/>
      </c>
      <c r="B675" s="8" t="str">
        <f>IF(ISNUMBER('Change in Employment'!I682), TEXT('Change in Employment'!I682, "0"), "")</f>
        <v/>
      </c>
      <c r="C675" s="8" t="str">
        <f>IF(ISNUMBER('Change in Employment'!J682),TEXT('Change in Employment'!J682, "0"),"")</f>
        <v/>
      </c>
      <c r="D675" s="8" t="str">
        <f>IF(ISNUMBER('Change in Employment'!G682),'Change in Employment'!G682,"")</f>
        <v/>
      </c>
    </row>
    <row r="676" spans="1:4">
      <c r="A676" t="str">
        <f>TEXT(IF('Change in Employment'!B683&lt;&gt;0,DATE(YEAR('Change in Employment'!B683), MONTH('Change in Employment'!B683), 1), ""), "mm/dd/yyyy")</f>
        <v/>
      </c>
      <c r="B676" s="8" t="str">
        <f>IF(ISNUMBER('Change in Employment'!I683), TEXT('Change in Employment'!I683, "0"), "")</f>
        <v/>
      </c>
      <c r="C676" s="8" t="str">
        <f>IF(ISNUMBER('Change in Employment'!J683),TEXT('Change in Employment'!J683, "0"),"")</f>
        <v/>
      </c>
      <c r="D676" s="8" t="str">
        <f>IF(ISNUMBER('Change in Employment'!G683),'Change in Employment'!G683,"")</f>
        <v/>
      </c>
    </row>
    <row r="677" spans="1:4">
      <c r="A677" t="str">
        <f>TEXT(IF('Change in Employment'!B684&lt;&gt;0,DATE(YEAR('Change in Employment'!B684), MONTH('Change in Employment'!B684), 1), ""), "mm/dd/yyyy")</f>
        <v/>
      </c>
      <c r="B677" s="8" t="str">
        <f>IF(ISNUMBER('Change in Employment'!I684), TEXT('Change in Employment'!I684, "0"), "")</f>
        <v/>
      </c>
      <c r="C677" s="8" t="str">
        <f>IF(ISNUMBER('Change in Employment'!J684),TEXT('Change in Employment'!J684, "0"),"")</f>
        <v/>
      </c>
      <c r="D677" s="8" t="str">
        <f>IF(ISNUMBER('Change in Employment'!G684),'Change in Employment'!G684,"")</f>
        <v/>
      </c>
    </row>
    <row r="678" spans="1:4">
      <c r="A678" t="str">
        <f>TEXT(IF('Change in Employment'!B685&lt;&gt;0,DATE(YEAR('Change in Employment'!B685), MONTH('Change in Employment'!B685), 1), ""), "mm/dd/yyyy")</f>
        <v/>
      </c>
      <c r="B678" s="8" t="str">
        <f>IF(ISNUMBER('Change in Employment'!I685), TEXT('Change in Employment'!I685, "0"), "")</f>
        <v/>
      </c>
      <c r="C678" s="8" t="str">
        <f>IF(ISNUMBER('Change in Employment'!J685),TEXT('Change in Employment'!J685, "0"),"")</f>
        <v/>
      </c>
      <c r="D678" s="8" t="str">
        <f>IF(ISNUMBER('Change in Employment'!G685),'Change in Employment'!G685,"")</f>
        <v/>
      </c>
    </row>
    <row r="679" spans="1:4">
      <c r="A679" t="str">
        <f>TEXT(IF('Change in Employment'!B686&lt;&gt;0,DATE(YEAR('Change in Employment'!B686), MONTH('Change in Employment'!B686), 1), ""), "mm/dd/yyyy")</f>
        <v/>
      </c>
      <c r="B679" s="8" t="str">
        <f>IF(ISNUMBER('Change in Employment'!I686), TEXT('Change in Employment'!I686, "0"), "")</f>
        <v/>
      </c>
      <c r="C679" s="8" t="str">
        <f>IF(ISNUMBER('Change in Employment'!J686),TEXT('Change in Employment'!J686, "0"),"")</f>
        <v/>
      </c>
      <c r="D679" s="8" t="str">
        <f>IF(ISNUMBER('Change in Employment'!G686),'Change in Employment'!G686,"")</f>
        <v/>
      </c>
    </row>
    <row r="680" spans="1:4">
      <c r="A680" t="str">
        <f>TEXT(IF('Change in Employment'!B687&lt;&gt;0,DATE(YEAR('Change in Employment'!B687), MONTH('Change in Employment'!B687), 1), ""), "mm/dd/yyyy")</f>
        <v/>
      </c>
      <c r="B680" s="8" t="str">
        <f>IF(ISNUMBER('Change in Employment'!I687), TEXT('Change in Employment'!I687, "0"), "")</f>
        <v/>
      </c>
      <c r="C680" s="8" t="str">
        <f>IF(ISNUMBER('Change in Employment'!J687),TEXT('Change in Employment'!J687, "0"),"")</f>
        <v/>
      </c>
      <c r="D680" s="8" t="str">
        <f>IF(ISNUMBER('Change in Employment'!G687),'Change in Employment'!G687,"")</f>
        <v/>
      </c>
    </row>
    <row r="681" spans="1:4">
      <c r="A681" t="str">
        <f>TEXT(IF('Change in Employment'!B688&lt;&gt;0,DATE(YEAR('Change in Employment'!B688), MONTH('Change in Employment'!B688), 1), ""), "mm/dd/yyyy")</f>
        <v/>
      </c>
      <c r="B681" s="8" t="str">
        <f>IF(ISNUMBER('Change in Employment'!I688), TEXT('Change in Employment'!I688, "0"), "")</f>
        <v/>
      </c>
      <c r="C681" s="8" t="str">
        <f>IF(ISNUMBER('Change in Employment'!J688),TEXT('Change in Employment'!J688, "0"),"")</f>
        <v/>
      </c>
      <c r="D681" s="8" t="str">
        <f>IF(ISNUMBER('Change in Employment'!G688),'Change in Employment'!G688,"")</f>
        <v/>
      </c>
    </row>
    <row r="682" spans="1:4">
      <c r="A682" t="str">
        <f>TEXT(IF('Change in Employment'!B689&lt;&gt;0,DATE(YEAR('Change in Employment'!B689), MONTH('Change in Employment'!B689), 1), ""), "mm/dd/yyyy")</f>
        <v/>
      </c>
      <c r="B682" s="8" t="str">
        <f>IF(ISNUMBER('Change in Employment'!I689), TEXT('Change in Employment'!I689, "0"), "")</f>
        <v/>
      </c>
      <c r="C682" s="8" t="str">
        <f>IF(ISNUMBER('Change in Employment'!J689),TEXT('Change in Employment'!J689, "0"),"")</f>
        <v/>
      </c>
      <c r="D682" s="8" t="str">
        <f>IF(ISNUMBER('Change in Employment'!G689),'Change in Employment'!G689,"")</f>
        <v/>
      </c>
    </row>
    <row r="683" spans="1:4">
      <c r="A683" t="str">
        <f>TEXT(IF('Change in Employment'!B690&lt;&gt;0,DATE(YEAR('Change in Employment'!B690), MONTH('Change in Employment'!B690), 1), ""), "mm/dd/yyyy")</f>
        <v/>
      </c>
      <c r="B683" s="8" t="str">
        <f>IF(ISNUMBER('Change in Employment'!I690), TEXT('Change in Employment'!I690, "0"), "")</f>
        <v/>
      </c>
      <c r="C683" s="8" t="str">
        <f>IF(ISNUMBER('Change in Employment'!J690),TEXT('Change in Employment'!J690, "0"),"")</f>
        <v/>
      </c>
      <c r="D683" s="8" t="str">
        <f>IF(ISNUMBER('Change in Employment'!G690),'Change in Employment'!G690,"")</f>
        <v/>
      </c>
    </row>
    <row r="684" spans="1:4">
      <c r="A684" t="str">
        <f>TEXT(IF('Change in Employment'!B691&lt;&gt;0,DATE(YEAR('Change in Employment'!B691), MONTH('Change in Employment'!B691), 1), ""), "mm/dd/yyyy")</f>
        <v/>
      </c>
      <c r="B684" s="8" t="str">
        <f>IF(ISNUMBER('Change in Employment'!I691), TEXT('Change in Employment'!I691, "0"), "")</f>
        <v/>
      </c>
      <c r="C684" s="8" t="str">
        <f>IF(ISNUMBER('Change in Employment'!J691),TEXT('Change in Employment'!J691, "0"),"")</f>
        <v/>
      </c>
      <c r="D684" s="8" t="str">
        <f>IF(ISNUMBER('Change in Employment'!G691),'Change in Employment'!G691,"")</f>
        <v/>
      </c>
    </row>
    <row r="685" spans="1:4">
      <c r="A685" t="str">
        <f>TEXT(IF('Change in Employment'!B692&lt;&gt;0,DATE(YEAR('Change in Employment'!B692), MONTH('Change in Employment'!B692), 1), ""), "mm/dd/yyyy")</f>
        <v/>
      </c>
      <c r="B685" s="8" t="str">
        <f>IF(ISNUMBER('Change in Employment'!I692), TEXT('Change in Employment'!I692, "0"), "")</f>
        <v/>
      </c>
      <c r="C685" s="8" t="str">
        <f>IF(ISNUMBER('Change in Employment'!J692),TEXT('Change in Employment'!J692, "0"),"")</f>
        <v/>
      </c>
      <c r="D685" s="8" t="str">
        <f>IF(ISNUMBER('Change in Employment'!G692),'Change in Employment'!G692,"")</f>
        <v/>
      </c>
    </row>
    <row r="686" spans="1:4">
      <c r="A686" t="str">
        <f>TEXT(IF('Change in Employment'!B693&lt;&gt;0,DATE(YEAR('Change in Employment'!B693), MONTH('Change in Employment'!B693), 1), ""), "mm/dd/yyyy")</f>
        <v/>
      </c>
      <c r="B686" s="8" t="str">
        <f>IF(ISNUMBER('Change in Employment'!I693), TEXT('Change in Employment'!I693, "0"), "")</f>
        <v/>
      </c>
      <c r="C686" s="8" t="str">
        <f>IF(ISNUMBER('Change in Employment'!J693),TEXT('Change in Employment'!J693, "0"),"")</f>
        <v/>
      </c>
      <c r="D686" s="8" t="str">
        <f>IF(ISNUMBER('Change in Employment'!G693),'Change in Employment'!G693,"")</f>
        <v/>
      </c>
    </row>
    <row r="687" spans="1:4">
      <c r="A687" t="str">
        <f>TEXT(IF('Change in Employment'!B694&lt;&gt;0,DATE(YEAR('Change in Employment'!B694), MONTH('Change in Employment'!B694), 1), ""), "mm/dd/yyyy")</f>
        <v/>
      </c>
      <c r="B687" s="8" t="str">
        <f>IF(ISNUMBER('Change in Employment'!I694), TEXT('Change in Employment'!I694, "0"), "")</f>
        <v/>
      </c>
      <c r="C687" s="8" t="str">
        <f>IF(ISNUMBER('Change in Employment'!J694),TEXT('Change in Employment'!J694, "0"),"")</f>
        <v/>
      </c>
      <c r="D687" s="8" t="str">
        <f>IF(ISNUMBER('Change in Employment'!G694),'Change in Employment'!G694,"")</f>
        <v/>
      </c>
    </row>
    <row r="688" spans="1:4">
      <c r="A688" t="str">
        <f>TEXT(IF('Change in Employment'!B695&lt;&gt;0,DATE(YEAR('Change in Employment'!B695), MONTH('Change in Employment'!B695), 1), ""), "mm/dd/yyyy")</f>
        <v/>
      </c>
      <c r="B688" s="8" t="str">
        <f>IF(ISNUMBER('Change in Employment'!I695), TEXT('Change in Employment'!I695, "0"), "")</f>
        <v/>
      </c>
      <c r="C688" s="8" t="str">
        <f>IF(ISNUMBER('Change in Employment'!J695),TEXT('Change in Employment'!J695, "0"),"")</f>
        <v/>
      </c>
      <c r="D688" s="8" t="str">
        <f>IF(ISNUMBER('Change in Employment'!G695),'Change in Employment'!G695,"")</f>
        <v/>
      </c>
    </row>
    <row r="689" spans="1:4">
      <c r="A689" t="str">
        <f>TEXT(IF('Change in Employment'!B696&lt;&gt;0,DATE(YEAR('Change in Employment'!B696), MONTH('Change in Employment'!B696), 1), ""), "mm/dd/yyyy")</f>
        <v/>
      </c>
      <c r="B689" s="8" t="str">
        <f>IF(ISNUMBER('Change in Employment'!I696), TEXT('Change in Employment'!I696, "0"), "")</f>
        <v/>
      </c>
      <c r="C689" s="8" t="str">
        <f>IF(ISNUMBER('Change in Employment'!J696),TEXT('Change in Employment'!J696, "0"),"")</f>
        <v/>
      </c>
      <c r="D689" s="8" t="str">
        <f>IF(ISNUMBER('Change in Employment'!G696),'Change in Employment'!G696,"")</f>
        <v/>
      </c>
    </row>
    <row r="690" spans="1:4">
      <c r="A690" t="str">
        <f>TEXT(IF('Change in Employment'!B697&lt;&gt;0,DATE(YEAR('Change in Employment'!B697), MONTH('Change in Employment'!B697), 1), ""), "mm/dd/yyyy")</f>
        <v/>
      </c>
      <c r="B690" s="8" t="str">
        <f>IF(ISNUMBER('Change in Employment'!I697), TEXT('Change in Employment'!I697, "0"), "")</f>
        <v/>
      </c>
      <c r="C690" s="8" t="str">
        <f>IF(ISNUMBER('Change in Employment'!J697),TEXT('Change in Employment'!J697, "0"),"")</f>
        <v/>
      </c>
      <c r="D690" s="8" t="str">
        <f>IF(ISNUMBER('Change in Employment'!G697),'Change in Employment'!G697,"")</f>
        <v/>
      </c>
    </row>
    <row r="691" spans="1:4">
      <c r="A691" t="str">
        <f>TEXT(IF('Change in Employment'!B698&lt;&gt;0,DATE(YEAR('Change in Employment'!B698), MONTH('Change in Employment'!B698), 1), ""), "mm/dd/yyyy")</f>
        <v/>
      </c>
      <c r="B691" s="8" t="str">
        <f>IF(ISNUMBER('Change in Employment'!I698), TEXT('Change in Employment'!I698, "0"), "")</f>
        <v/>
      </c>
      <c r="C691" s="8" t="str">
        <f>IF(ISNUMBER('Change in Employment'!J698),TEXT('Change in Employment'!J698, "0"),"")</f>
        <v/>
      </c>
      <c r="D691" s="8" t="str">
        <f>IF(ISNUMBER('Change in Employment'!G698),'Change in Employment'!G698,"")</f>
        <v/>
      </c>
    </row>
    <row r="692" spans="1:4">
      <c r="A692" t="str">
        <f>TEXT(IF('Change in Employment'!B699&lt;&gt;0,DATE(YEAR('Change in Employment'!B699), MONTH('Change in Employment'!B699), 1), ""), "mm/dd/yyyy")</f>
        <v/>
      </c>
      <c r="B692" s="8" t="str">
        <f>IF(ISNUMBER('Change in Employment'!I699), TEXT('Change in Employment'!I699, "0"), "")</f>
        <v/>
      </c>
      <c r="C692" s="8" t="str">
        <f>IF(ISNUMBER('Change in Employment'!J699),TEXT('Change in Employment'!J699, "0"),"")</f>
        <v/>
      </c>
      <c r="D692" s="8" t="str">
        <f>IF(ISNUMBER('Change in Employment'!G699),'Change in Employment'!G699,"")</f>
        <v/>
      </c>
    </row>
    <row r="693" spans="1:4">
      <c r="A693" t="str">
        <f>TEXT(IF('Change in Employment'!B700&lt;&gt;0,DATE(YEAR('Change in Employment'!B700), MONTH('Change in Employment'!B700), 1), ""), "mm/dd/yyyy")</f>
        <v/>
      </c>
      <c r="B693" s="8" t="str">
        <f>IF(ISNUMBER('Change in Employment'!I700), TEXT('Change in Employment'!I700, "0"), "")</f>
        <v/>
      </c>
      <c r="C693" s="8" t="str">
        <f>IF(ISNUMBER('Change in Employment'!J700),TEXT('Change in Employment'!J700, "0"),"")</f>
        <v/>
      </c>
      <c r="D693" s="8" t="str">
        <f>IF(ISNUMBER('Change in Employment'!G700),'Change in Employment'!G700,"")</f>
        <v/>
      </c>
    </row>
    <row r="694" spans="1:4">
      <c r="A694" t="str">
        <f>TEXT(IF('Change in Employment'!B701&lt;&gt;0,DATE(YEAR('Change in Employment'!B701), MONTH('Change in Employment'!B701), 1), ""), "mm/dd/yyyy")</f>
        <v/>
      </c>
      <c r="B694" s="8" t="str">
        <f>IF(ISNUMBER('Change in Employment'!I701), TEXT('Change in Employment'!I701, "0"), "")</f>
        <v/>
      </c>
      <c r="C694" s="8" t="str">
        <f>IF(ISNUMBER('Change in Employment'!J701),TEXT('Change in Employment'!J701, "0"),"")</f>
        <v/>
      </c>
      <c r="D694" s="8" t="str">
        <f>IF(ISNUMBER('Change in Employment'!G701),'Change in Employment'!G701,"")</f>
        <v/>
      </c>
    </row>
    <row r="695" spans="1:4">
      <c r="A695" t="str">
        <f>TEXT(IF('Change in Employment'!B702&lt;&gt;0,DATE(YEAR('Change in Employment'!B702), MONTH('Change in Employment'!B702), 1), ""), "mm/dd/yyyy")</f>
        <v/>
      </c>
      <c r="B695" s="8" t="str">
        <f>IF(ISNUMBER('Change in Employment'!I702), TEXT('Change in Employment'!I702, "0"), "")</f>
        <v/>
      </c>
      <c r="C695" s="8" t="str">
        <f>IF(ISNUMBER('Change in Employment'!J702),TEXT('Change in Employment'!J702, "0"),"")</f>
        <v/>
      </c>
      <c r="D695" s="8" t="str">
        <f>IF(ISNUMBER('Change in Employment'!G702),'Change in Employment'!G702,"")</f>
        <v/>
      </c>
    </row>
    <row r="696" spans="1:4">
      <c r="A696" t="str">
        <f>TEXT(IF('Change in Employment'!B703&lt;&gt;0,DATE(YEAR('Change in Employment'!B703), MONTH('Change in Employment'!B703), 1), ""), "mm/dd/yyyy")</f>
        <v/>
      </c>
      <c r="B696" s="8" t="str">
        <f>IF(ISNUMBER('Change in Employment'!I703), TEXT('Change in Employment'!I703, "0"), "")</f>
        <v/>
      </c>
      <c r="C696" s="8" t="str">
        <f>IF(ISNUMBER('Change in Employment'!J703),TEXT('Change in Employment'!J703, "0"),"")</f>
        <v/>
      </c>
      <c r="D696" s="8" t="str">
        <f>IF(ISNUMBER('Change in Employment'!G703),'Change in Employment'!G703,"")</f>
        <v/>
      </c>
    </row>
    <row r="697" spans="1:4">
      <c r="A697" t="str">
        <f>TEXT(IF('Change in Employment'!B704&lt;&gt;0,DATE(YEAR('Change in Employment'!B704), MONTH('Change in Employment'!B704), 1), ""), "mm/dd/yyyy")</f>
        <v/>
      </c>
      <c r="B697" s="8" t="str">
        <f>IF(ISNUMBER('Change in Employment'!I704), TEXT('Change in Employment'!I704, "0"), "")</f>
        <v/>
      </c>
      <c r="C697" s="8" t="str">
        <f>IF(ISNUMBER('Change in Employment'!J704),TEXT('Change in Employment'!J704, "0"),"")</f>
        <v/>
      </c>
      <c r="D697" s="8" t="str">
        <f>IF(ISNUMBER('Change in Employment'!G704),'Change in Employment'!G704,"")</f>
        <v/>
      </c>
    </row>
    <row r="698" spans="1:4">
      <c r="A698" t="str">
        <f>TEXT(IF('Change in Employment'!B705&lt;&gt;0,DATE(YEAR('Change in Employment'!B705), MONTH('Change in Employment'!B705), 1), ""), "mm/dd/yyyy")</f>
        <v/>
      </c>
      <c r="B698" s="8" t="str">
        <f>IF(ISNUMBER('Change in Employment'!I705), TEXT('Change in Employment'!I705, "0"), "")</f>
        <v/>
      </c>
      <c r="C698" s="8" t="str">
        <f>IF(ISNUMBER('Change in Employment'!J705),TEXT('Change in Employment'!J705, "0"),"")</f>
        <v/>
      </c>
      <c r="D698" s="8" t="str">
        <f>IF(ISNUMBER('Change in Employment'!G705),'Change in Employment'!G705,"")</f>
        <v/>
      </c>
    </row>
    <row r="699" spans="1:4">
      <c r="A699" t="str">
        <f>TEXT(IF('Change in Employment'!B706&lt;&gt;0,DATE(YEAR('Change in Employment'!B706), MONTH('Change in Employment'!B706), 1), ""), "mm/dd/yyyy")</f>
        <v/>
      </c>
      <c r="B699" s="8" t="str">
        <f>IF(ISNUMBER('Change in Employment'!I706), TEXT('Change in Employment'!I706, "0"), "")</f>
        <v/>
      </c>
      <c r="C699" s="8" t="str">
        <f>IF(ISNUMBER('Change in Employment'!J706),TEXT('Change in Employment'!J706, "0"),"")</f>
        <v/>
      </c>
      <c r="D699" s="8" t="str">
        <f>IF(ISNUMBER('Change in Employment'!G706),'Change in Employment'!G706,"")</f>
        <v/>
      </c>
    </row>
    <row r="700" spans="1:4">
      <c r="A700" t="str">
        <f>TEXT(IF('Change in Employment'!B707&lt;&gt;0,DATE(YEAR('Change in Employment'!B707), MONTH('Change in Employment'!B707), 1), ""), "mm/dd/yyyy")</f>
        <v/>
      </c>
      <c r="B700" s="8" t="str">
        <f>IF(ISNUMBER('Change in Employment'!I707), TEXT('Change in Employment'!I707, "0"), "")</f>
        <v/>
      </c>
      <c r="C700" s="8" t="str">
        <f>IF(ISNUMBER('Change in Employment'!J707),TEXT('Change in Employment'!J707, "0"),"")</f>
        <v/>
      </c>
      <c r="D700" s="8" t="str">
        <f>IF(ISNUMBER('Change in Employment'!G707),'Change in Employment'!G707,"")</f>
        <v/>
      </c>
    </row>
    <row r="701" spans="1:4">
      <c r="A701" t="str">
        <f>TEXT(IF('Change in Employment'!B708&lt;&gt;0,DATE(YEAR('Change in Employment'!B708), MONTH('Change in Employment'!B708), 1), ""), "mm/dd/yyyy")</f>
        <v/>
      </c>
      <c r="B701" s="8" t="str">
        <f>IF(ISNUMBER('Change in Employment'!I708), TEXT('Change in Employment'!I708, "0"), "")</f>
        <v/>
      </c>
      <c r="C701" s="8" t="str">
        <f>IF(ISNUMBER('Change in Employment'!J708),TEXT('Change in Employment'!J708, "0"),"")</f>
        <v/>
      </c>
      <c r="D701" s="8" t="str">
        <f>IF(ISNUMBER('Change in Employment'!G708),'Change in Employment'!G708,"")</f>
        <v/>
      </c>
    </row>
    <row r="702" spans="1:4">
      <c r="A702" t="str">
        <f>TEXT(IF('Change in Employment'!B709&lt;&gt;0,DATE(YEAR('Change in Employment'!B709), MONTH('Change in Employment'!B709), 1), ""), "mm/dd/yyyy")</f>
        <v/>
      </c>
      <c r="B702" s="8" t="str">
        <f>IF(ISNUMBER('Change in Employment'!I709), TEXT('Change in Employment'!I709, "0"), "")</f>
        <v/>
      </c>
      <c r="C702" s="8" t="str">
        <f>IF(ISNUMBER('Change in Employment'!J709),TEXT('Change in Employment'!J709, "0"),"")</f>
        <v/>
      </c>
      <c r="D702" s="8" t="str">
        <f>IF(ISNUMBER('Change in Employment'!G709),'Change in Employment'!G709,"")</f>
        <v/>
      </c>
    </row>
    <row r="703" spans="1:4">
      <c r="A703" t="str">
        <f>TEXT(IF('Change in Employment'!B710&lt;&gt;0,DATE(YEAR('Change in Employment'!B710), MONTH('Change in Employment'!B710), 1), ""), "mm/dd/yyyy")</f>
        <v/>
      </c>
      <c r="B703" s="8" t="str">
        <f>IF(ISNUMBER('Change in Employment'!I710), TEXT('Change in Employment'!I710, "0"), "")</f>
        <v/>
      </c>
      <c r="C703" s="8" t="str">
        <f>IF(ISNUMBER('Change in Employment'!J710),TEXT('Change in Employment'!J710, "0"),"")</f>
        <v/>
      </c>
      <c r="D703" s="8" t="str">
        <f>IF(ISNUMBER('Change in Employment'!G710),'Change in Employment'!G710,"")</f>
        <v/>
      </c>
    </row>
    <row r="704" spans="1:4">
      <c r="A704" t="str">
        <f>TEXT(IF('Change in Employment'!B711&lt;&gt;0,DATE(YEAR('Change in Employment'!B711), MONTH('Change in Employment'!B711), 1), ""), "mm/dd/yyyy")</f>
        <v/>
      </c>
      <c r="B704" s="8" t="str">
        <f>IF(ISNUMBER('Change in Employment'!I711), TEXT('Change in Employment'!I711, "0"), "")</f>
        <v/>
      </c>
      <c r="C704" s="8" t="str">
        <f>IF(ISNUMBER('Change in Employment'!J711),TEXT('Change in Employment'!J711, "0"),"")</f>
        <v/>
      </c>
      <c r="D704" s="8" t="str">
        <f>IF(ISNUMBER('Change in Employment'!G711),'Change in Employment'!G711,"")</f>
        <v/>
      </c>
    </row>
    <row r="705" spans="1:4">
      <c r="A705" t="str">
        <f>TEXT(IF('Change in Employment'!B712&lt;&gt;0,DATE(YEAR('Change in Employment'!B712), MONTH('Change in Employment'!B712), 1), ""), "mm/dd/yyyy")</f>
        <v/>
      </c>
      <c r="B705" s="8" t="str">
        <f>IF(ISNUMBER('Change in Employment'!I712), TEXT('Change in Employment'!I712, "0"), "")</f>
        <v/>
      </c>
      <c r="C705" s="8" t="str">
        <f>IF(ISNUMBER('Change in Employment'!J712),TEXT('Change in Employment'!J712, "0"),"")</f>
        <v/>
      </c>
      <c r="D705" s="8" t="str">
        <f>IF(ISNUMBER('Change in Employment'!G712),'Change in Employment'!G712,"")</f>
        <v/>
      </c>
    </row>
    <row r="706" spans="1:4">
      <c r="A706" t="str">
        <f>TEXT(IF('Change in Employment'!B713&lt;&gt;0,DATE(YEAR('Change in Employment'!B713), MONTH('Change in Employment'!B713), 1), ""), "mm/dd/yyyy")</f>
        <v/>
      </c>
      <c r="B706" s="8" t="str">
        <f>IF(ISNUMBER('Change in Employment'!I713), TEXT('Change in Employment'!I713, "0"), "")</f>
        <v/>
      </c>
      <c r="C706" s="8" t="str">
        <f>IF(ISNUMBER('Change in Employment'!J713),TEXT('Change in Employment'!J713, "0"),"")</f>
        <v/>
      </c>
      <c r="D706" s="8" t="str">
        <f>IF(ISNUMBER('Change in Employment'!G713),'Change in Employment'!G713,"")</f>
        <v/>
      </c>
    </row>
    <row r="707" spans="1:4">
      <c r="A707" t="str">
        <f>TEXT(IF('Change in Employment'!B714&lt;&gt;0,DATE(YEAR('Change in Employment'!B714), MONTH('Change in Employment'!B714), 1), ""), "mm/dd/yyyy")</f>
        <v/>
      </c>
      <c r="B707" s="8" t="str">
        <f>IF(ISNUMBER('Change in Employment'!I714), TEXT('Change in Employment'!I714, "0"), "")</f>
        <v/>
      </c>
      <c r="C707" s="8" t="str">
        <f>IF(ISNUMBER('Change in Employment'!J714),TEXT('Change in Employment'!J714, "0"),"")</f>
        <v/>
      </c>
      <c r="D707" s="8" t="str">
        <f>IF(ISNUMBER('Change in Employment'!G714),'Change in Employment'!G714,"")</f>
        <v/>
      </c>
    </row>
    <row r="708" spans="1:4">
      <c r="A708" t="str">
        <f>TEXT(IF('Change in Employment'!B715&lt;&gt;0,DATE(YEAR('Change in Employment'!B715), MONTH('Change in Employment'!B715), 1), ""), "mm/dd/yyyy")</f>
        <v/>
      </c>
      <c r="B708" s="8" t="str">
        <f>IF(ISNUMBER('Change in Employment'!I715), TEXT('Change in Employment'!I715, "0"), "")</f>
        <v/>
      </c>
      <c r="C708" s="8" t="str">
        <f>IF(ISNUMBER('Change in Employment'!J715),TEXT('Change in Employment'!J715, "0"),"")</f>
        <v/>
      </c>
      <c r="D708" s="8" t="str">
        <f>IF(ISNUMBER('Change in Employment'!G715),'Change in Employment'!G715,"")</f>
        <v/>
      </c>
    </row>
    <row r="709" spans="1:4">
      <c r="A709" t="str">
        <f>TEXT(IF('Change in Employment'!B716&lt;&gt;0,DATE(YEAR('Change in Employment'!B716), MONTH('Change in Employment'!B716), 1), ""), "mm/dd/yyyy")</f>
        <v/>
      </c>
      <c r="B709" s="8" t="str">
        <f>IF(ISNUMBER('Change in Employment'!I716), TEXT('Change in Employment'!I716, "0"), "")</f>
        <v/>
      </c>
      <c r="C709" s="8" t="str">
        <f>IF(ISNUMBER('Change in Employment'!J716),TEXT('Change in Employment'!J716, "0"),"")</f>
        <v/>
      </c>
      <c r="D709" s="8" t="str">
        <f>IF(ISNUMBER('Change in Employment'!G716),'Change in Employment'!G716,"")</f>
        <v/>
      </c>
    </row>
    <row r="710" spans="1:4">
      <c r="A710" t="str">
        <f>TEXT(IF('Change in Employment'!B717&lt;&gt;0,DATE(YEAR('Change in Employment'!B717), MONTH('Change in Employment'!B717), 1), ""), "mm/dd/yyyy")</f>
        <v/>
      </c>
      <c r="B710" s="8" t="str">
        <f>IF(ISNUMBER('Change in Employment'!I717), TEXT('Change in Employment'!I717, "0"), "")</f>
        <v/>
      </c>
      <c r="C710" s="8" t="str">
        <f>IF(ISNUMBER('Change in Employment'!J717),TEXT('Change in Employment'!J717, "0"),"")</f>
        <v/>
      </c>
      <c r="D710" s="8" t="str">
        <f>IF(ISNUMBER('Change in Employment'!G717),'Change in Employment'!G717,"")</f>
        <v/>
      </c>
    </row>
    <row r="711" spans="1:4">
      <c r="A711" t="str">
        <f>TEXT(IF('Change in Employment'!B718&lt;&gt;0,DATE(YEAR('Change in Employment'!B718), MONTH('Change in Employment'!B718), 1), ""), "mm/dd/yyyy")</f>
        <v/>
      </c>
      <c r="B711" s="8" t="str">
        <f>IF(ISNUMBER('Change in Employment'!I718), TEXT('Change in Employment'!I718, "0"), "")</f>
        <v/>
      </c>
      <c r="C711" s="8" t="str">
        <f>IF(ISNUMBER('Change in Employment'!J718),TEXT('Change in Employment'!J718, "0"),"")</f>
        <v/>
      </c>
      <c r="D711" s="8" t="str">
        <f>IF(ISNUMBER('Change in Employment'!G718),'Change in Employment'!G718,"")</f>
        <v/>
      </c>
    </row>
    <row r="712" spans="1:4">
      <c r="A712" t="str">
        <f>TEXT(IF('Change in Employment'!B719&lt;&gt;0,DATE(YEAR('Change in Employment'!B719), MONTH('Change in Employment'!B719), 1), ""), "mm/dd/yyyy")</f>
        <v/>
      </c>
      <c r="B712" s="8" t="str">
        <f>IF(ISNUMBER('Change in Employment'!I719), TEXT('Change in Employment'!I719, "0"), "")</f>
        <v/>
      </c>
      <c r="C712" s="8" t="str">
        <f>IF(ISNUMBER('Change in Employment'!J719),TEXT('Change in Employment'!J719, "0"),"")</f>
        <v/>
      </c>
      <c r="D712" s="8" t="str">
        <f>IF(ISNUMBER('Change in Employment'!G719),'Change in Employment'!G719,"")</f>
        <v/>
      </c>
    </row>
    <row r="713" spans="1:4">
      <c r="A713" t="str">
        <f>TEXT(IF('Change in Employment'!B720&lt;&gt;0,DATE(YEAR('Change in Employment'!B720), MONTH('Change in Employment'!B720), 1), ""), "mm/dd/yyyy")</f>
        <v/>
      </c>
      <c r="B713" s="8" t="str">
        <f>IF(ISNUMBER('Change in Employment'!I720), TEXT('Change in Employment'!I720, "0"), "")</f>
        <v/>
      </c>
      <c r="C713" s="8" t="str">
        <f>IF(ISNUMBER('Change in Employment'!J720),TEXT('Change in Employment'!J720, "0"),"")</f>
        <v/>
      </c>
      <c r="D713" s="8" t="str">
        <f>IF(ISNUMBER('Change in Employment'!G720),'Change in Employment'!G720,"")</f>
        <v/>
      </c>
    </row>
    <row r="714" spans="1:4">
      <c r="A714" t="str">
        <f>TEXT(IF('Change in Employment'!B721&lt;&gt;0,DATE(YEAR('Change in Employment'!B721), MONTH('Change in Employment'!B721), 1), ""), "mm/dd/yyyy")</f>
        <v/>
      </c>
      <c r="B714" s="8" t="str">
        <f>IF(ISNUMBER('Change in Employment'!I721), TEXT('Change in Employment'!I721, "0"), "")</f>
        <v/>
      </c>
      <c r="C714" s="8" t="str">
        <f>IF(ISNUMBER('Change in Employment'!J721),TEXT('Change in Employment'!J721, "0"),"")</f>
        <v/>
      </c>
      <c r="D714" s="8" t="str">
        <f>IF(ISNUMBER('Change in Employment'!G721),'Change in Employment'!G721,"")</f>
        <v/>
      </c>
    </row>
    <row r="715" spans="1:4">
      <c r="A715" t="str">
        <f>TEXT(IF('Change in Employment'!B722&lt;&gt;0,DATE(YEAR('Change in Employment'!B722), MONTH('Change in Employment'!B722), 1), ""), "mm/dd/yyyy")</f>
        <v/>
      </c>
      <c r="B715" s="8" t="str">
        <f>IF(ISNUMBER('Change in Employment'!I722), TEXT('Change in Employment'!I722, "0"), "")</f>
        <v/>
      </c>
      <c r="C715" s="8" t="str">
        <f>IF(ISNUMBER('Change in Employment'!J722),TEXT('Change in Employment'!J722, "0"),"")</f>
        <v/>
      </c>
      <c r="D715" s="8" t="str">
        <f>IF(ISNUMBER('Change in Employment'!G722),'Change in Employment'!G722,"")</f>
        <v/>
      </c>
    </row>
    <row r="716" spans="1:4">
      <c r="A716" t="str">
        <f>TEXT(IF('Change in Employment'!B723&lt;&gt;0,DATE(YEAR('Change in Employment'!B723), MONTH('Change in Employment'!B723), 1), ""), "mm/dd/yyyy")</f>
        <v/>
      </c>
      <c r="B716" s="8" t="str">
        <f>IF(ISNUMBER('Change in Employment'!I723), TEXT('Change in Employment'!I723, "0"), "")</f>
        <v/>
      </c>
      <c r="C716" s="8" t="str">
        <f>IF(ISNUMBER('Change in Employment'!J723),TEXT('Change in Employment'!J723, "0"),"")</f>
        <v/>
      </c>
      <c r="D716" s="8" t="str">
        <f>IF(ISNUMBER('Change in Employment'!G723),'Change in Employment'!G723,"")</f>
        <v/>
      </c>
    </row>
    <row r="717" spans="1:4">
      <c r="A717" t="str">
        <f>TEXT(IF('Change in Employment'!B724&lt;&gt;0,DATE(YEAR('Change in Employment'!B724), MONTH('Change in Employment'!B724), 1), ""), "mm/dd/yyyy")</f>
        <v/>
      </c>
      <c r="B717" s="8" t="str">
        <f>IF(ISNUMBER('Change in Employment'!I724), TEXT('Change in Employment'!I724, "0"), "")</f>
        <v/>
      </c>
      <c r="C717" s="8" t="str">
        <f>IF(ISNUMBER('Change in Employment'!J724),TEXT('Change in Employment'!J724, "0"),"")</f>
        <v/>
      </c>
      <c r="D717" s="8" t="str">
        <f>IF(ISNUMBER('Change in Employment'!G724),'Change in Employment'!G724,"")</f>
        <v/>
      </c>
    </row>
    <row r="718" spans="1:4">
      <c r="A718" t="str">
        <f>TEXT(IF('Change in Employment'!B725&lt;&gt;0,DATE(YEAR('Change in Employment'!B725), MONTH('Change in Employment'!B725), 1), ""), "mm/dd/yyyy")</f>
        <v/>
      </c>
      <c r="B718" s="8" t="str">
        <f>IF(ISNUMBER('Change in Employment'!I725), TEXT('Change in Employment'!I725, "0"), "")</f>
        <v/>
      </c>
      <c r="C718" s="8" t="str">
        <f>IF(ISNUMBER('Change in Employment'!J725),TEXT('Change in Employment'!J725, "0"),"")</f>
        <v/>
      </c>
      <c r="D718" s="8" t="str">
        <f>IF(ISNUMBER('Change in Employment'!G725),'Change in Employment'!G725,"")</f>
        <v/>
      </c>
    </row>
    <row r="719" spans="1:4">
      <c r="A719" t="str">
        <f>TEXT(IF('Change in Employment'!B726&lt;&gt;0,DATE(YEAR('Change in Employment'!B726), MONTH('Change in Employment'!B726), 1), ""), "mm/dd/yyyy")</f>
        <v/>
      </c>
      <c r="B719" s="8" t="str">
        <f>IF(ISNUMBER('Change in Employment'!I726), TEXT('Change in Employment'!I726, "0"), "")</f>
        <v/>
      </c>
      <c r="C719" s="8" t="str">
        <f>IF(ISNUMBER('Change in Employment'!J726),TEXT('Change in Employment'!J726, "0"),"")</f>
        <v/>
      </c>
      <c r="D719" s="8" t="str">
        <f>IF(ISNUMBER('Change in Employment'!G726),'Change in Employment'!G726,"")</f>
        <v/>
      </c>
    </row>
    <row r="720" spans="1:4">
      <c r="A720" t="str">
        <f>TEXT(IF('Change in Employment'!B727&lt;&gt;0,DATE(YEAR('Change in Employment'!B727), MONTH('Change in Employment'!B727), 1), ""), "mm/dd/yyyy")</f>
        <v/>
      </c>
      <c r="B720" s="8" t="str">
        <f>IF(ISNUMBER('Change in Employment'!I727), TEXT('Change in Employment'!I727, "0"), "")</f>
        <v/>
      </c>
      <c r="C720" s="8" t="str">
        <f>IF(ISNUMBER('Change in Employment'!J727),TEXT('Change in Employment'!J727, "0"),"")</f>
        <v/>
      </c>
      <c r="D720" s="8" t="str">
        <f>IF(ISNUMBER('Change in Employment'!G727),'Change in Employment'!G727,"")</f>
        <v/>
      </c>
    </row>
    <row r="721" spans="1:4">
      <c r="A721" t="str">
        <f>TEXT(IF('Change in Employment'!B728&lt;&gt;0,DATE(YEAR('Change in Employment'!B728), MONTH('Change in Employment'!B728), 1), ""), "mm/dd/yyyy")</f>
        <v/>
      </c>
      <c r="B721" s="8" t="str">
        <f>IF(ISNUMBER('Change in Employment'!I728), TEXT('Change in Employment'!I728, "0"), "")</f>
        <v/>
      </c>
      <c r="C721" s="8" t="str">
        <f>IF(ISNUMBER('Change in Employment'!J728),TEXT('Change in Employment'!J728, "0"),"")</f>
        <v/>
      </c>
      <c r="D721" s="8" t="str">
        <f>IF(ISNUMBER('Change in Employment'!G728),'Change in Employment'!G728,"")</f>
        <v/>
      </c>
    </row>
    <row r="722" spans="1:4">
      <c r="A722" t="str">
        <f>TEXT(IF('Change in Employment'!B729&lt;&gt;0,DATE(YEAR('Change in Employment'!B729), MONTH('Change in Employment'!B729), 1), ""), "mm/dd/yyyy")</f>
        <v/>
      </c>
      <c r="B722" s="8" t="str">
        <f>IF(ISNUMBER('Change in Employment'!I729), TEXT('Change in Employment'!I729, "0"), "")</f>
        <v/>
      </c>
      <c r="C722" s="8" t="str">
        <f>IF(ISNUMBER('Change in Employment'!J729),TEXT('Change in Employment'!J729, "0"),"")</f>
        <v/>
      </c>
      <c r="D722" s="8" t="str">
        <f>IF(ISNUMBER('Change in Employment'!G729),'Change in Employment'!G729,"")</f>
        <v/>
      </c>
    </row>
    <row r="723" spans="1:4">
      <c r="A723" t="str">
        <f>TEXT(IF('Change in Employment'!B730&lt;&gt;0,DATE(YEAR('Change in Employment'!B730), MONTH('Change in Employment'!B730), 1), ""), "mm/dd/yyyy")</f>
        <v/>
      </c>
      <c r="B723" s="8" t="str">
        <f>IF(ISNUMBER('Change in Employment'!I730), TEXT('Change in Employment'!I730, "0"), "")</f>
        <v/>
      </c>
      <c r="C723" s="8" t="str">
        <f>IF(ISNUMBER('Change in Employment'!J730),TEXT('Change in Employment'!J730, "0"),"")</f>
        <v/>
      </c>
      <c r="D723" s="8" t="str">
        <f>IF(ISNUMBER('Change in Employment'!G730),'Change in Employment'!G730,"")</f>
        <v/>
      </c>
    </row>
    <row r="724" spans="1:4">
      <c r="A724" t="str">
        <f>TEXT(IF('Change in Employment'!B731&lt;&gt;0,DATE(YEAR('Change in Employment'!B731), MONTH('Change in Employment'!B731), 1), ""), "mm/dd/yyyy")</f>
        <v/>
      </c>
      <c r="B724" s="8" t="str">
        <f>IF(ISNUMBER('Change in Employment'!I731), TEXT('Change in Employment'!I731, "0"), "")</f>
        <v/>
      </c>
      <c r="C724" s="8" t="str">
        <f>IF(ISNUMBER('Change in Employment'!J731),TEXT('Change in Employment'!J731, "0"),"")</f>
        <v/>
      </c>
      <c r="D724" s="8" t="str">
        <f>IF(ISNUMBER('Change in Employment'!G731),'Change in Employment'!G731,"")</f>
        <v/>
      </c>
    </row>
    <row r="725" spans="1:4">
      <c r="A725" t="str">
        <f>TEXT(IF('Change in Employment'!B732&lt;&gt;0,DATE(YEAR('Change in Employment'!B732), MONTH('Change in Employment'!B732), 1), ""), "mm/dd/yyyy")</f>
        <v/>
      </c>
      <c r="B725" s="8" t="str">
        <f>IF(ISNUMBER('Change in Employment'!I732), TEXT('Change in Employment'!I732, "0"), "")</f>
        <v/>
      </c>
      <c r="C725" s="8" t="str">
        <f>IF(ISNUMBER('Change in Employment'!J732),TEXT('Change in Employment'!J732, "0"),"")</f>
        <v/>
      </c>
      <c r="D725" s="8" t="str">
        <f>IF(ISNUMBER('Change in Employment'!G732),'Change in Employment'!G732,"")</f>
        <v/>
      </c>
    </row>
    <row r="726" spans="1:4">
      <c r="A726" t="str">
        <f>TEXT(IF('Change in Employment'!B733&lt;&gt;0,DATE(YEAR('Change in Employment'!B733), MONTH('Change in Employment'!B733), 1), ""), "mm/dd/yyyy")</f>
        <v/>
      </c>
      <c r="B726" s="8" t="str">
        <f>IF(ISNUMBER('Change in Employment'!I733), TEXT('Change in Employment'!I733, "0"), "")</f>
        <v/>
      </c>
      <c r="C726" s="8" t="str">
        <f>IF(ISNUMBER('Change in Employment'!J733),TEXT('Change in Employment'!J733, "0"),"")</f>
        <v/>
      </c>
      <c r="D726" s="8" t="str">
        <f>IF(ISNUMBER('Change in Employment'!G733),'Change in Employment'!G733,"")</f>
        <v/>
      </c>
    </row>
    <row r="727" spans="1:4">
      <c r="A727" t="str">
        <f>TEXT(IF('Change in Employment'!B734&lt;&gt;0,DATE(YEAR('Change in Employment'!B734), MONTH('Change in Employment'!B734), 1), ""), "mm/dd/yyyy")</f>
        <v/>
      </c>
      <c r="B727" s="8" t="str">
        <f>IF(ISNUMBER('Change in Employment'!I734), TEXT('Change in Employment'!I734, "0"), "")</f>
        <v/>
      </c>
      <c r="C727" s="8" t="str">
        <f>IF(ISNUMBER('Change in Employment'!J734),TEXT('Change in Employment'!J734, "0"),"")</f>
        <v/>
      </c>
      <c r="D727" s="8" t="str">
        <f>IF(ISNUMBER('Change in Employment'!G734),'Change in Employment'!G734,"")</f>
        <v/>
      </c>
    </row>
    <row r="728" spans="1:4">
      <c r="A728" t="str">
        <f>TEXT(IF('Change in Employment'!B735&lt;&gt;0,DATE(YEAR('Change in Employment'!B735), MONTH('Change in Employment'!B735), 1), ""), "mm/dd/yyyy")</f>
        <v/>
      </c>
      <c r="B728" s="8" t="str">
        <f>IF(ISNUMBER('Change in Employment'!I735), TEXT('Change in Employment'!I735, "0"), "")</f>
        <v/>
      </c>
      <c r="C728" s="8" t="str">
        <f>IF(ISNUMBER('Change in Employment'!J735),TEXT('Change in Employment'!J735, "0"),"")</f>
        <v/>
      </c>
      <c r="D728" s="8" t="str">
        <f>IF(ISNUMBER('Change in Employment'!G735),'Change in Employment'!G735,"")</f>
        <v/>
      </c>
    </row>
    <row r="729" spans="1:4">
      <c r="A729" t="str">
        <f>TEXT(IF('Change in Employment'!B736&lt;&gt;0,DATE(YEAR('Change in Employment'!B736), MONTH('Change in Employment'!B736), 1), ""), "mm/dd/yyyy")</f>
        <v/>
      </c>
      <c r="B729" s="8" t="str">
        <f>IF(ISNUMBER('Change in Employment'!I736), TEXT('Change in Employment'!I736, "0"), "")</f>
        <v/>
      </c>
      <c r="C729" s="8" t="str">
        <f>IF(ISNUMBER('Change in Employment'!J736),TEXT('Change in Employment'!J736, "0"),"")</f>
        <v/>
      </c>
      <c r="D729" s="8" t="str">
        <f>IF(ISNUMBER('Change in Employment'!G736),'Change in Employment'!G736,"")</f>
        <v/>
      </c>
    </row>
    <row r="730" spans="1:4">
      <c r="A730" t="str">
        <f>TEXT(IF('Change in Employment'!B737&lt;&gt;0,DATE(YEAR('Change in Employment'!B737), MONTH('Change in Employment'!B737), 1), ""), "mm/dd/yyyy")</f>
        <v/>
      </c>
      <c r="B730" s="8" t="str">
        <f>IF(ISNUMBER('Change in Employment'!I737), TEXT('Change in Employment'!I737, "0"), "")</f>
        <v/>
      </c>
      <c r="C730" s="8" t="str">
        <f>IF(ISNUMBER('Change in Employment'!J737),TEXT('Change in Employment'!J737, "0"),"")</f>
        <v/>
      </c>
      <c r="D730" s="8" t="str">
        <f>IF(ISNUMBER('Change in Employment'!G737),'Change in Employment'!G737,"")</f>
        <v/>
      </c>
    </row>
    <row r="731" spans="1:4">
      <c r="A731" t="str">
        <f>TEXT(IF('Change in Employment'!B738&lt;&gt;0,DATE(YEAR('Change in Employment'!B738), MONTH('Change in Employment'!B738), 1), ""), "mm/dd/yyyy")</f>
        <v/>
      </c>
      <c r="B731" s="8" t="str">
        <f>IF(ISNUMBER('Change in Employment'!I738), TEXT('Change in Employment'!I738, "0"), "")</f>
        <v/>
      </c>
      <c r="C731" s="8" t="str">
        <f>IF(ISNUMBER('Change in Employment'!J738),TEXT('Change in Employment'!J738, "0"),"")</f>
        <v/>
      </c>
      <c r="D731" s="8" t="str">
        <f>IF(ISNUMBER('Change in Employment'!G738),'Change in Employment'!G738,"")</f>
        <v/>
      </c>
    </row>
    <row r="732" spans="1:4">
      <c r="A732" t="str">
        <f>TEXT(IF('Change in Employment'!B739&lt;&gt;0,DATE(YEAR('Change in Employment'!B739), MONTH('Change in Employment'!B739), 1), ""), "mm/dd/yyyy")</f>
        <v/>
      </c>
      <c r="B732" s="8" t="str">
        <f>IF(ISNUMBER('Change in Employment'!I739), TEXT('Change in Employment'!I739, "0"), "")</f>
        <v/>
      </c>
      <c r="C732" s="8" t="str">
        <f>IF(ISNUMBER('Change in Employment'!J739),TEXT('Change in Employment'!J739, "0"),"")</f>
        <v/>
      </c>
      <c r="D732" s="8" t="str">
        <f>IF(ISNUMBER('Change in Employment'!G739),'Change in Employment'!G739,"")</f>
        <v/>
      </c>
    </row>
    <row r="733" spans="1:4">
      <c r="A733" t="str">
        <f>TEXT(IF('Change in Employment'!B740&lt;&gt;0,DATE(YEAR('Change in Employment'!B740), MONTH('Change in Employment'!B740), 1), ""), "mm/dd/yyyy")</f>
        <v/>
      </c>
      <c r="B733" s="8" t="str">
        <f>IF(ISNUMBER('Change in Employment'!I740), TEXT('Change in Employment'!I740, "0"), "")</f>
        <v/>
      </c>
      <c r="C733" s="8" t="str">
        <f>IF(ISNUMBER('Change in Employment'!J740),TEXT('Change in Employment'!J740, "0"),"")</f>
        <v/>
      </c>
      <c r="D733" s="8" t="str">
        <f>IF(ISNUMBER('Change in Employment'!G740),'Change in Employment'!G740,"")</f>
        <v/>
      </c>
    </row>
    <row r="734" spans="1:4">
      <c r="A734" t="str">
        <f>TEXT(IF('Change in Employment'!B741&lt;&gt;0,DATE(YEAR('Change in Employment'!B741), MONTH('Change in Employment'!B741), 1), ""), "mm/dd/yyyy")</f>
        <v/>
      </c>
      <c r="B734" s="8" t="str">
        <f>IF(ISNUMBER('Change in Employment'!I741), TEXT('Change in Employment'!I741, "0"), "")</f>
        <v/>
      </c>
      <c r="C734" s="8" t="str">
        <f>IF(ISNUMBER('Change in Employment'!J741),TEXT('Change in Employment'!J741, "0"),"")</f>
        <v/>
      </c>
      <c r="D734" s="8" t="str">
        <f>IF(ISNUMBER('Change in Employment'!G741),'Change in Employment'!G741,"")</f>
        <v/>
      </c>
    </row>
    <row r="735" spans="1:4">
      <c r="A735" t="str">
        <f>TEXT(IF('Change in Employment'!B742&lt;&gt;0,DATE(YEAR('Change in Employment'!B742), MONTH('Change in Employment'!B742), 1), ""), "mm/dd/yyyy")</f>
        <v/>
      </c>
      <c r="B735" s="8" t="str">
        <f>IF(ISNUMBER('Change in Employment'!I742), TEXT('Change in Employment'!I742, "0"), "")</f>
        <v/>
      </c>
      <c r="C735" s="8" t="str">
        <f>IF(ISNUMBER('Change in Employment'!J742),TEXT('Change in Employment'!J742, "0"),"")</f>
        <v/>
      </c>
      <c r="D735" s="8" t="str">
        <f>IF(ISNUMBER('Change in Employment'!G742),'Change in Employment'!G742,"")</f>
        <v/>
      </c>
    </row>
    <row r="736" spans="1:4">
      <c r="A736" t="str">
        <f>TEXT(IF('Change in Employment'!B743&lt;&gt;0,DATE(YEAR('Change in Employment'!B743), MONTH('Change in Employment'!B743), 1), ""), "mm/dd/yyyy")</f>
        <v/>
      </c>
      <c r="B736" s="8" t="str">
        <f>IF(ISNUMBER('Change in Employment'!I743), TEXT('Change in Employment'!I743, "0"), "")</f>
        <v/>
      </c>
      <c r="C736" s="8" t="str">
        <f>IF(ISNUMBER('Change in Employment'!J743),TEXT('Change in Employment'!J743, "0"),"")</f>
        <v/>
      </c>
      <c r="D736" s="8" t="str">
        <f>IF(ISNUMBER('Change in Employment'!G743),'Change in Employment'!G743,"")</f>
        <v/>
      </c>
    </row>
    <row r="737" spans="1:4">
      <c r="A737" t="str">
        <f>TEXT(IF('Change in Employment'!B744&lt;&gt;0,DATE(YEAR('Change in Employment'!B744), MONTH('Change in Employment'!B744), 1), ""), "mm/dd/yyyy")</f>
        <v/>
      </c>
      <c r="B737" s="8" t="str">
        <f>IF(ISNUMBER('Change in Employment'!I744), TEXT('Change in Employment'!I744, "0"), "")</f>
        <v/>
      </c>
      <c r="C737" s="8" t="str">
        <f>IF(ISNUMBER('Change in Employment'!J744),TEXT('Change in Employment'!J744, "0"),"")</f>
        <v/>
      </c>
      <c r="D737" s="8" t="str">
        <f>IF(ISNUMBER('Change in Employment'!G744),'Change in Employment'!G744,"")</f>
        <v/>
      </c>
    </row>
    <row r="738" spans="1:4">
      <c r="A738" t="str">
        <f>TEXT(IF('Change in Employment'!B745&lt;&gt;0,DATE(YEAR('Change in Employment'!B745), MONTH('Change in Employment'!B745), 1), ""), "mm/dd/yyyy")</f>
        <v/>
      </c>
      <c r="B738" s="8" t="str">
        <f>IF(ISNUMBER('Change in Employment'!I745), TEXT('Change in Employment'!I745, "0"), "")</f>
        <v/>
      </c>
      <c r="C738" s="8" t="str">
        <f>IF(ISNUMBER('Change in Employment'!J745),TEXT('Change in Employment'!J745, "0"),"")</f>
        <v/>
      </c>
      <c r="D738" s="8" t="str">
        <f>IF(ISNUMBER('Change in Employment'!G745),'Change in Employment'!G745,"")</f>
        <v/>
      </c>
    </row>
    <row r="739" spans="1:4">
      <c r="A739" t="str">
        <f>TEXT(IF('Change in Employment'!B746&lt;&gt;0,DATE(YEAR('Change in Employment'!B746), MONTH('Change in Employment'!B746), 1), ""), "mm/dd/yyyy")</f>
        <v/>
      </c>
      <c r="B739" s="8" t="str">
        <f>IF(ISNUMBER('Change in Employment'!I746), TEXT('Change in Employment'!I746, "0"), "")</f>
        <v/>
      </c>
      <c r="C739" s="8" t="str">
        <f>IF(ISNUMBER('Change in Employment'!J746),TEXT('Change in Employment'!J746, "0"),"")</f>
        <v/>
      </c>
      <c r="D739" s="8" t="str">
        <f>IF(ISNUMBER('Change in Employment'!G746),'Change in Employment'!G746,"")</f>
        <v/>
      </c>
    </row>
    <row r="740" spans="1:4">
      <c r="A740" t="str">
        <f>TEXT(IF('Change in Employment'!B747&lt;&gt;0,DATE(YEAR('Change in Employment'!B747), MONTH('Change in Employment'!B747), 1), ""), "mm/dd/yyyy")</f>
        <v/>
      </c>
      <c r="B740" s="8" t="str">
        <f>IF(ISNUMBER('Change in Employment'!I747), TEXT('Change in Employment'!I747, "0"), "")</f>
        <v/>
      </c>
      <c r="C740" s="8" t="str">
        <f>IF(ISNUMBER('Change in Employment'!J747),TEXT('Change in Employment'!J747, "0"),"")</f>
        <v/>
      </c>
      <c r="D740" s="8" t="str">
        <f>IF(ISNUMBER('Change in Employment'!G747),'Change in Employment'!G747,"")</f>
        <v/>
      </c>
    </row>
    <row r="741" spans="1:4">
      <c r="A741" t="str">
        <f>TEXT(IF('Change in Employment'!B748&lt;&gt;0,DATE(YEAR('Change in Employment'!B748), MONTH('Change in Employment'!B748), 1), ""), "mm/dd/yyyy")</f>
        <v/>
      </c>
      <c r="B741" s="8" t="str">
        <f>IF(ISNUMBER('Change in Employment'!I748), TEXT('Change in Employment'!I748, "0"), "")</f>
        <v/>
      </c>
      <c r="C741" s="8" t="str">
        <f>IF(ISNUMBER('Change in Employment'!J748),TEXT('Change in Employment'!J748, "0"),"")</f>
        <v/>
      </c>
      <c r="D741" s="8" t="str">
        <f>IF(ISNUMBER('Change in Employment'!G748),'Change in Employment'!G748,"")</f>
        <v/>
      </c>
    </row>
    <row r="742" spans="1:4">
      <c r="A742" t="str">
        <f>TEXT(IF('Change in Employment'!B749&lt;&gt;0,DATE(YEAR('Change in Employment'!B749), MONTH('Change in Employment'!B749), 1), ""), "mm/dd/yyyy")</f>
        <v/>
      </c>
      <c r="B742" s="8" t="str">
        <f>IF(ISNUMBER('Change in Employment'!I749), TEXT('Change in Employment'!I749, "0"), "")</f>
        <v/>
      </c>
      <c r="C742" s="8" t="str">
        <f>IF(ISNUMBER('Change in Employment'!J749),TEXT('Change in Employment'!J749, "0"),"")</f>
        <v/>
      </c>
      <c r="D742" s="8" t="str">
        <f>IF(ISNUMBER('Change in Employment'!G749),'Change in Employment'!G749,"")</f>
        <v/>
      </c>
    </row>
    <row r="743" spans="1:4">
      <c r="A743" t="str">
        <f>TEXT(IF('Change in Employment'!B750&lt;&gt;0,DATE(YEAR('Change in Employment'!B750), MONTH('Change in Employment'!B750), 1), ""), "mm/dd/yyyy")</f>
        <v/>
      </c>
      <c r="B743" s="8" t="str">
        <f>IF(ISNUMBER('Change in Employment'!I750), TEXT('Change in Employment'!I750, "0"), "")</f>
        <v/>
      </c>
      <c r="C743" s="8" t="str">
        <f>IF(ISNUMBER('Change in Employment'!J750),TEXT('Change in Employment'!J750, "0"),"")</f>
        <v/>
      </c>
      <c r="D743" s="8" t="str">
        <f>IF(ISNUMBER('Change in Employment'!G750),'Change in Employment'!G750,"")</f>
        <v/>
      </c>
    </row>
    <row r="744" spans="1:4">
      <c r="A744" t="str">
        <f>TEXT(IF('Change in Employment'!B751&lt;&gt;0,DATE(YEAR('Change in Employment'!B751), MONTH('Change in Employment'!B751), 1), ""), "mm/dd/yyyy")</f>
        <v/>
      </c>
      <c r="B744" s="8" t="str">
        <f>IF(ISNUMBER('Change in Employment'!I751), TEXT('Change in Employment'!I751, "0"), "")</f>
        <v/>
      </c>
      <c r="C744" s="8" t="str">
        <f>IF(ISNUMBER('Change in Employment'!J751),TEXT('Change in Employment'!J751, "0"),"")</f>
        <v/>
      </c>
      <c r="D744" s="8" t="str">
        <f>IF(ISNUMBER('Change in Employment'!G751),'Change in Employment'!G751,"")</f>
        <v/>
      </c>
    </row>
    <row r="745" spans="1:4">
      <c r="A745" t="str">
        <f>TEXT(IF('Change in Employment'!B752&lt;&gt;0,DATE(YEAR('Change in Employment'!B752), MONTH('Change in Employment'!B752), 1), ""), "mm/dd/yyyy")</f>
        <v/>
      </c>
      <c r="B745" s="8" t="str">
        <f>IF(ISNUMBER('Change in Employment'!I752), TEXT('Change in Employment'!I752, "0"), "")</f>
        <v/>
      </c>
      <c r="C745" s="8" t="str">
        <f>IF(ISNUMBER('Change in Employment'!J752),TEXT('Change in Employment'!J752, "0"),"")</f>
        <v/>
      </c>
      <c r="D745" s="8" t="str">
        <f>IF(ISNUMBER('Change in Employment'!G752),'Change in Employment'!G752,"")</f>
        <v/>
      </c>
    </row>
    <row r="746" spans="1:4">
      <c r="A746" t="str">
        <f>TEXT(IF('Change in Employment'!B753&lt;&gt;0,DATE(YEAR('Change in Employment'!B753), MONTH('Change in Employment'!B753), 1), ""), "mm/dd/yyyy")</f>
        <v/>
      </c>
      <c r="B746" s="8" t="str">
        <f>IF(ISNUMBER('Change in Employment'!I753), TEXT('Change in Employment'!I753, "0"), "")</f>
        <v/>
      </c>
      <c r="C746" s="8" t="str">
        <f>IF(ISNUMBER('Change in Employment'!J753),TEXT('Change in Employment'!J753, "0"),"")</f>
        <v/>
      </c>
      <c r="D746" s="8" t="str">
        <f>IF(ISNUMBER('Change in Employment'!G753),'Change in Employment'!G753,"")</f>
        <v/>
      </c>
    </row>
    <row r="747" spans="1:4">
      <c r="A747" t="str">
        <f>TEXT(IF('Change in Employment'!B754&lt;&gt;0,DATE(YEAR('Change in Employment'!B754), MONTH('Change in Employment'!B754), 1), ""), "mm/dd/yyyy")</f>
        <v/>
      </c>
      <c r="B747" s="8" t="str">
        <f>IF(ISNUMBER('Change in Employment'!I754), TEXT('Change in Employment'!I754, "0"), "")</f>
        <v/>
      </c>
      <c r="C747" s="8" t="str">
        <f>IF(ISNUMBER('Change in Employment'!J754),TEXT('Change in Employment'!J754, "0"),"")</f>
        <v/>
      </c>
      <c r="D747" s="8" t="str">
        <f>IF(ISNUMBER('Change in Employment'!G754),'Change in Employment'!G754,"")</f>
        <v/>
      </c>
    </row>
    <row r="748" spans="1:4">
      <c r="A748" t="str">
        <f>TEXT(IF('Change in Employment'!B755&lt;&gt;0,DATE(YEAR('Change in Employment'!B755), MONTH('Change in Employment'!B755), 1), ""), "mm/dd/yyyy")</f>
        <v/>
      </c>
      <c r="B748" s="8" t="str">
        <f>IF(ISNUMBER('Change in Employment'!I755), TEXT('Change in Employment'!I755, "0"), "")</f>
        <v/>
      </c>
      <c r="C748" s="8" t="str">
        <f>IF(ISNUMBER('Change in Employment'!J755),TEXT('Change in Employment'!J755, "0"),"")</f>
        <v/>
      </c>
      <c r="D748" s="8" t="str">
        <f>IF(ISNUMBER('Change in Employment'!G755),'Change in Employment'!G755,"")</f>
        <v/>
      </c>
    </row>
    <row r="749" spans="1:4">
      <c r="A749" t="str">
        <f>TEXT(IF('Change in Employment'!B756&lt;&gt;0,DATE(YEAR('Change in Employment'!B756), MONTH('Change in Employment'!B756), 1), ""), "mm/dd/yyyy")</f>
        <v/>
      </c>
      <c r="B749" s="8" t="str">
        <f>IF(ISNUMBER('Change in Employment'!I756), TEXT('Change in Employment'!I756, "0"), "")</f>
        <v/>
      </c>
      <c r="C749" s="8" t="str">
        <f>IF(ISNUMBER('Change in Employment'!J756),TEXT('Change in Employment'!J756, "0"),"")</f>
        <v/>
      </c>
      <c r="D749" s="8" t="str">
        <f>IF(ISNUMBER('Change in Employment'!G756),'Change in Employment'!G756,"")</f>
        <v/>
      </c>
    </row>
    <row r="750" spans="1:4">
      <c r="A750" t="str">
        <f>TEXT(IF('Change in Employment'!B757&lt;&gt;0,DATE(YEAR('Change in Employment'!B757), MONTH('Change in Employment'!B757), 1), ""), "mm/dd/yyyy")</f>
        <v/>
      </c>
      <c r="B750" s="8" t="str">
        <f>IF(ISNUMBER('Change in Employment'!I757), TEXT('Change in Employment'!I757, "0"), "")</f>
        <v/>
      </c>
      <c r="C750" s="8" t="str">
        <f>IF(ISNUMBER('Change in Employment'!J757),TEXT('Change in Employment'!J757, "0"),"")</f>
        <v/>
      </c>
      <c r="D750" s="8" t="str">
        <f>IF(ISNUMBER('Change in Employment'!G757),'Change in Employment'!G757,"")</f>
        <v/>
      </c>
    </row>
    <row r="751" spans="1:4">
      <c r="A751" t="str">
        <f>TEXT(IF('Change in Employment'!B758&lt;&gt;0,DATE(YEAR('Change in Employment'!B758), MONTH('Change in Employment'!B758), 1), ""), "mm/dd/yyyy")</f>
        <v/>
      </c>
      <c r="B751" s="8" t="str">
        <f>IF(ISNUMBER('Change in Employment'!I758), TEXT('Change in Employment'!I758, "0"), "")</f>
        <v/>
      </c>
      <c r="C751" s="8" t="str">
        <f>IF(ISNUMBER('Change in Employment'!J758),TEXT('Change in Employment'!J758, "0"),"")</f>
        <v/>
      </c>
      <c r="D751" s="8" t="str">
        <f>IF(ISNUMBER('Change in Employment'!G758),'Change in Employment'!G758,"")</f>
        <v/>
      </c>
    </row>
    <row r="752" spans="1:4">
      <c r="A752" t="str">
        <f>TEXT(IF('Change in Employment'!B759&lt;&gt;0,DATE(YEAR('Change in Employment'!B759), MONTH('Change in Employment'!B759), 1), ""), "mm/dd/yyyy")</f>
        <v/>
      </c>
      <c r="B752" s="8" t="str">
        <f>IF(ISNUMBER('Change in Employment'!I759), TEXT('Change in Employment'!I759, "0"), "")</f>
        <v/>
      </c>
      <c r="C752" s="8" t="str">
        <f>IF(ISNUMBER('Change in Employment'!J759),TEXT('Change in Employment'!J759, "0"),"")</f>
        <v/>
      </c>
      <c r="D752" s="8" t="str">
        <f>IF(ISNUMBER('Change in Employment'!G759),'Change in Employment'!G759,"")</f>
        <v/>
      </c>
    </row>
    <row r="753" spans="1:4">
      <c r="A753" t="str">
        <f>TEXT(IF('Change in Employment'!B760&lt;&gt;0,DATE(YEAR('Change in Employment'!B760), MONTH('Change in Employment'!B760), 1), ""), "mm/dd/yyyy")</f>
        <v/>
      </c>
      <c r="B753" s="8" t="str">
        <f>IF(ISNUMBER('Change in Employment'!I760), TEXT('Change in Employment'!I760, "0"), "")</f>
        <v/>
      </c>
      <c r="C753" s="8" t="str">
        <f>IF(ISNUMBER('Change in Employment'!J760),TEXT('Change in Employment'!J760, "0"),"")</f>
        <v/>
      </c>
      <c r="D753" s="8" t="str">
        <f>IF(ISNUMBER('Change in Employment'!G760),'Change in Employment'!G760,"")</f>
        <v/>
      </c>
    </row>
    <row r="754" spans="1:4">
      <c r="A754" t="str">
        <f>TEXT(IF('Change in Employment'!B761&lt;&gt;0,DATE(YEAR('Change in Employment'!B761), MONTH('Change in Employment'!B761), 1), ""), "mm/dd/yyyy")</f>
        <v/>
      </c>
      <c r="B754" s="8" t="str">
        <f>IF(ISNUMBER('Change in Employment'!I761), TEXT('Change in Employment'!I761, "0"), "")</f>
        <v/>
      </c>
      <c r="C754" s="8" t="str">
        <f>IF(ISNUMBER('Change in Employment'!J761),TEXT('Change in Employment'!J761, "0"),"")</f>
        <v/>
      </c>
      <c r="D754" s="8" t="str">
        <f>IF(ISNUMBER('Change in Employment'!G761),'Change in Employment'!G761,"")</f>
        <v/>
      </c>
    </row>
    <row r="755" spans="1:4">
      <c r="A755" t="str">
        <f>TEXT(IF('Change in Employment'!B762&lt;&gt;0,DATE(YEAR('Change in Employment'!B762), MONTH('Change in Employment'!B762), 1), ""), "mm/dd/yyyy")</f>
        <v/>
      </c>
      <c r="B755" s="8" t="str">
        <f>IF(ISNUMBER('Change in Employment'!I762), TEXT('Change in Employment'!I762, "0"), "")</f>
        <v/>
      </c>
      <c r="C755" s="8" t="str">
        <f>IF(ISNUMBER('Change in Employment'!J762),TEXT('Change in Employment'!J762, "0"),"")</f>
        <v/>
      </c>
      <c r="D755" s="8" t="str">
        <f>IF(ISNUMBER('Change in Employment'!G762),'Change in Employment'!G762,"")</f>
        <v/>
      </c>
    </row>
    <row r="756" spans="1:4">
      <c r="A756" t="str">
        <f>TEXT(IF('Change in Employment'!B763&lt;&gt;0,DATE(YEAR('Change in Employment'!B763), MONTH('Change in Employment'!B763), 1), ""), "mm/dd/yyyy")</f>
        <v/>
      </c>
      <c r="B756" s="8" t="str">
        <f>IF(ISNUMBER('Change in Employment'!I763), TEXT('Change in Employment'!I763, "0"), "")</f>
        <v/>
      </c>
      <c r="C756" s="8" t="str">
        <f>IF(ISNUMBER('Change in Employment'!J763),TEXT('Change in Employment'!J763, "0"),"")</f>
        <v/>
      </c>
      <c r="D756" s="8" t="str">
        <f>IF(ISNUMBER('Change in Employment'!G763),'Change in Employment'!G763,"")</f>
        <v/>
      </c>
    </row>
    <row r="757" spans="1:4">
      <c r="A757" t="str">
        <f>TEXT(IF('Change in Employment'!B764&lt;&gt;0,DATE(YEAR('Change in Employment'!B764), MONTH('Change in Employment'!B764), 1), ""), "mm/dd/yyyy")</f>
        <v/>
      </c>
      <c r="B757" s="8" t="str">
        <f>IF(ISNUMBER('Change in Employment'!I764), TEXT('Change in Employment'!I764, "0"), "")</f>
        <v/>
      </c>
      <c r="C757" s="8" t="str">
        <f>IF(ISNUMBER('Change in Employment'!J764),TEXT('Change in Employment'!J764, "0"),"")</f>
        <v/>
      </c>
      <c r="D757" s="8" t="str">
        <f>IF(ISNUMBER('Change in Employment'!G764),'Change in Employment'!G764,"")</f>
        <v/>
      </c>
    </row>
    <row r="758" spans="1:4">
      <c r="A758" t="str">
        <f>TEXT(IF('Change in Employment'!B765&lt;&gt;0,DATE(YEAR('Change in Employment'!B765), MONTH('Change in Employment'!B765), 1), ""), "mm/dd/yyyy")</f>
        <v/>
      </c>
      <c r="B758" s="8" t="str">
        <f>IF(ISNUMBER('Change in Employment'!I765), TEXT('Change in Employment'!I765, "0"), "")</f>
        <v/>
      </c>
      <c r="C758" s="8" t="str">
        <f>IF(ISNUMBER('Change in Employment'!J765),TEXT('Change in Employment'!J765, "0"),"")</f>
        <v/>
      </c>
      <c r="D758" s="8" t="str">
        <f>IF(ISNUMBER('Change in Employment'!G765),'Change in Employment'!G765,"")</f>
        <v/>
      </c>
    </row>
    <row r="759" spans="1:4">
      <c r="A759" t="str">
        <f>TEXT(IF('Change in Employment'!B766&lt;&gt;0,DATE(YEAR('Change in Employment'!B766), MONTH('Change in Employment'!B766), 1), ""), "mm/dd/yyyy")</f>
        <v/>
      </c>
      <c r="B759" s="8" t="str">
        <f>IF(ISNUMBER('Change in Employment'!I766), TEXT('Change in Employment'!I766, "0"), "")</f>
        <v/>
      </c>
      <c r="C759" s="8" t="str">
        <f>IF(ISNUMBER('Change in Employment'!J766),TEXT('Change in Employment'!J766, "0"),"")</f>
        <v/>
      </c>
      <c r="D759" s="8" t="str">
        <f>IF(ISNUMBER('Change in Employment'!G766),'Change in Employment'!G766,"")</f>
        <v/>
      </c>
    </row>
    <row r="760" spans="1:4">
      <c r="A760" t="str">
        <f>TEXT(IF('Change in Employment'!B767&lt;&gt;0,DATE(YEAR('Change in Employment'!B767), MONTH('Change in Employment'!B767), 1), ""), "mm/dd/yyyy")</f>
        <v/>
      </c>
      <c r="B760" s="8" t="str">
        <f>IF(ISNUMBER('Change in Employment'!I767), TEXT('Change in Employment'!I767, "0"), "")</f>
        <v/>
      </c>
      <c r="C760" s="8" t="str">
        <f>IF(ISNUMBER('Change in Employment'!J767),TEXT('Change in Employment'!J767, "0"),"")</f>
        <v/>
      </c>
      <c r="D760" s="8" t="str">
        <f>IF(ISNUMBER('Change in Employment'!G767),'Change in Employment'!G767,"")</f>
        <v/>
      </c>
    </row>
    <row r="761" spans="1:4">
      <c r="A761" t="str">
        <f>TEXT(IF('Change in Employment'!B768&lt;&gt;0,DATE(YEAR('Change in Employment'!B768), MONTH('Change in Employment'!B768), 1), ""), "mm/dd/yyyy")</f>
        <v/>
      </c>
      <c r="B761" s="8" t="str">
        <f>IF(ISNUMBER('Change in Employment'!I768), TEXT('Change in Employment'!I768, "0"), "")</f>
        <v/>
      </c>
      <c r="C761" s="8" t="str">
        <f>IF(ISNUMBER('Change in Employment'!J768),TEXT('Change in Employment'!J768, "0"),"")</f>
        <v/>
      </c>
      <c r="D761" s="8" t="str">
        <f>IF(ISNUMBER('Change in Employment'!G768),'Change in Employment'!G768,"")</f>
        <v/>
      </c>
    </row>
    <row r="762" spans="1:4">
      <c r="A762" t="str">
        <f>TEXT(IF('Change in Employment'!B769&lt;&gt;0,DATE(YEAR('Change in Employment'!B769), MONTH('Change in Employment'!B769), 1), ""), "mm/dd/yyyy")</f>
        <v/>
      </c>
      <c r="B762" s="8" t="str">
        <f>IF(ISNUMBER('Change in Employment'!I769), TEXT('Change in Employment'!I769, "0"), "")</f>
        <v/>
      </c>
      <c r="C762" s="8" t="str">
        <f>IF(ISNUMBER('Change in Employment'!J769),TEXT('Change in Employment'!J769, "0"),"")</f>
        <v/>
      </c>
      <c r="D762" s="8" t="str">
        <f>IF(ISNUMBER('Change in Employment'!G769),'Change in Employment'!G769,"")</f>
        <v/>
      </c>
    </row>
    <row r="763" spans="1:4">
      <c r="A763" t="str">
        <f>TEXT(IF('Change in Employment'!B770&lt;&gt;0,DATE(YEAR('Change in Employment'!B770), MONTH('Change in Employment'!B770), 1), ""), "mm/dd/yyyy")</f>
        <v/>
      </c>
      <c r="B763" s="8" t="str">
        <f>IF(ISNUMBER('Change in Employment'!I770), TEXT('Change in Employment'!I770, "0"), "")</f>
        <v/>
      </c>
      <c r="C763" s="8" t="str">
        <f>IF(ISNUMBER('Change in Employment'!J770),TEXT('Change in Employment'!J770, "0"),"")</f>
        <v/>
      </c>
      <c r="D763" s="8" t="str">
        <f>IF(ISNUMBER('Change in Employment'!G770),'Change in Employment'!G770,"")</f>
        <v/>
      </c>
    </row>
    <row r="764" spans="1:4">
      <c r="A764" t="str">
        <f>TEXT(IF('Change in Employment'!B771&lt;&gt;0,DATE(YEAR('Change in Employment'!B771), MONTH('Change in Employment'!B771), 1), ""), "mm/dd/yyyy")</f>
        <v/>
      </c>
      <c r="B764" s="8" t="str">
        <f>IF(ISNUMBER('Change in Employment'!I771), TEXT('Change in Employment'!I771, "0"), "")</f>
        <v/>
      </c>
      <c r="C764" s="8" t="str">
        <f>IF(ISNUMBER('Change in Employment'!J771),TEXT('Change in Employment'!J771, "0"),"")</f>
        <v/>
      </c>
      <c r="D764" s="8" t="str">
        <f>IF(ISNUMBER('Change in Employment'!G771),'Change in Employment'!G771,"")</f>
        <v/>
      </c>
    </row>
    <row r="765" spans="1:4">
      <c r="A765" t="str">
        <f>TEXT(IF('Change in Employment'!B772&lt;&gt;0,DATE(YEAR('Change in Employment'!B772), MONTH('Change in Employment'!B772), 1), ""), "mm/dd/yyyy")</f>
        <v/>
      </c>
      <c r="B765" s="8" t="str">
        <f>IF(ISNUMBER('Change in Employment'!I772), TEXT('Change in Employment'!I772, "0"), "")</f>
        <v/>
      </c>
      <c r="C765" s="8" t="str">
        <f>IF(ISNUMBER('Change in Employment'!J772),TEXT('Change in Employment'!J772, "0"),"")</f>
        <v/>
      </c>
      <c r="D765" s="8" t="str">
        <f>IF(ISNUMBER('Change in Employment'!G772),'Change in Employment'!G772,"")</f>
        <v/>
      </c>
    </row>
    <row r="766" spans="1:4">
      <c r="A766" t="str">
        <f>TEXT(IF('Change in Employment'!B773&lt;&gt;0,DATE(YEAR('Change in Employment'!B773), MONTH('Change in Employment'!B773), 1), ""), "mm/dd/yyyy")</f>
        <v/>
      </c>
      <c r="B766" s="8" t="str">
        <f>IF(ISNUMBER('Change in Employment'!I773), TEXT('Change in Employment'!I773, "0"), "")</f>
        <v/>
      </c>
      <c r="C766" s="8" t="str">
        <f>IF(ISNUMBER('Change in Employment'!J773),TEXT('Change in Employment'!J773, "0"),"")</f>
        <v/>
      </c>
      <c r="D766" s="8" t="str">
        <f>IF(ISNUMBER('Change in Employment'!G773),'Change in Employment'!G773,"")</f>
        <v/>
      </c>
    </row>
    <row r="767" spans="1:4">
      <c r="A767" t="str">
        <f>TEXT(IF('Change in Employment'!B774&lt;&gt;0,DATE(YEAR('Change in Employment'!B774), MONTH('Change in Employment'!B774), 1), ""), "mm/dd/yyyy")</f>
        <v/>
      </c>
      <c r="B767" s="8" t="str">
        <f>IF(ISNUMBER('Change in Employment'!I774), TEXT('Change in Employment'!I774, "0"), "")</f>
        <v/>
      </c>
      <c r="C767" s="8" t="str">
        <f>IF(ISNUMBER('Change in Employment'!J774),TEXT('Change in Employment'!J774, "0"),"")</f>
        <v/>
      </c>
      <c r="D767" s="8" t="str">
        <f>IF(ISNUMBER('Change in Employment'!G774),'Change in Employment'!G774,"")</f>
        <v/>
      </c>
    </row>
    <row r="768" spans="1:4">
      <c r="A768" t="str">
        <f>TEXT(IF('Change in Employment'!B775&lt;&gt;0,DATE(YEAR('Change in Employment'!B775), MONTH('Change in Employment'!B775), 1), ""), "mm/dd/yyyy")</f>
        <v/>
      </c>
      <c r="B768" s="8" t="str">
        <f>IF(ISNUMBER('Change in Employment'!I775), TEXT('Change in Employment'!I775, "0"), "")</f>
        <v/>
      </c>
      <c r="C768" s="8" t="str">
        <f>IF(ISNUMBER('Change in Employment'!J775),TEXT('Change in Employment'!J775, "0"),"")</f>
        <v/>
      </c>
      <c r="D768" s="8" t="str">
        <f>IF(ISNUMBER('Change in Employment'!G775),'Change in Employment'!G775,"")</f>
        <v/>
      </c>
    </row>
    <row r="769" spans="1:4">
      <c r="A769" t="str">
        <f>TEXT(IF('Change in Employment'!B776&lt;&gt;0,DATE(YEAR('Change in Employment'!B776), MONTH('Change in Employment'!B776), 1), ""), "mm/dd/yyyy")</f>
        <v/>
      </c>
      <c r="B769" s="8" t="str">
        <f>IF(ISNUMBER('Change in Employment'!I776), TEXT('Change in Employment'!I776, "0"), "")</f>
        <v/>
      </c>
      <c r="C769" s="8" t="str">
        <f>IF(ISNUMBER('Change in Employment'!J776),TEXT('Change in Employment'!J776, "0"),"")</f>
        <v/>
      </c>
      <c r="D769" s="8" t="str">
        <f>IF(ISNUMBER('Change in Employment'!G776),'Change in Employment'!G776,"")</f>
        <v/>
      </c>
    </row>
    <row r="770" spans="1:4">
      <c r="A770" t="str">
        <f>TEXT(IF('Change in Employment'!B777&lt;&gt;0,DATE(YEAR('Change in Employment'!B777), MONTH('Change in Employment'!B777), 1), ""), "mm/dd/yyyy")</f>
        <v/>
      </c>
      <c r="B770" s="8" t="str">
        <f>IF(ISNUMBER('Change in Employment'!I777), TEXT('Change in Employment'!I777, "0"), "")</f>
        <v/>
      </c>
      <c r="C770" s="8" t="str">
        <f>IF(ISNUMBER('Change in Employment'!J777),TEXT('Change in Employment'!J777, "0"),"")</f>
        <v/>
      </c>
      <c r="D770" s="8" t="str">
        <f>IF(ISNUMBER('Change in Employment'!G777),'Change in Employment'!G777,"")</f>
        <v/>
      </c>
    </row>
    <row r="771" spans="1:4">
      <c r="A771" t="str">
        <f>TEXT(IF('Change in Employment'!B778&lt;&gt;0,DATE(YEAR('Change in Employment'!B778), MONTH('Change in Employment'!B778), 1), ""), "mm/dd/yyyy")</f>
        <v/>
      </c>
      <c r="B771" s="8" t="str">
        <f>IF(ISNUMBER('Change in Employment'!I778), TEXT('Change in Employment'!I778, "0"), "")</f>
        <v/>
      </c>
      <c r="C771" s="8" t="str">
        <f>IF(ISNUMBER('Change in Employment'!J778),TEXT('Change in Employment'!J778, "0"),"")</f>
        <v/>
      </c>
      <c r="D771" s="8" t="str">
        <f>IF(ISNUMBER('Change in Employment'!G778),'Change in Employment'!G778,"")</f>
        <v/>
      </c>
    </row>
    <row r="772" spans="1:4">
      <c r="A772" t="str">
        <f>TEXT(IF('Change in Employment'!B779&lt;&gt;0,DATE(YEAR('Change in Employment'!B779), MONTH('Change in Employment'!B779), 1), ""), "mm/dd/yyyy")</f>
        <v/>
      </c>
      <c r="B772" s="8" t="str">
        <f>IF(ISNUMBER('Change in Employment'!I779), TEXT('Change in Employment'!I779, "0"), "")</f>
        <v/>
      </c>
      <c r="C772" s="8" t="str">
        <f>IF(ISNUMBER('Change in Employment'!J779),TEXT('Change in Employment'!J779, "0"),"")</f>
        <v/>
      </c>
      <c r="D772" s="8" t="str">
        <f>IF(ISNUMBER('Change in Employment'!G779),'Change in Employment'!G779,"")</f>
        <v/>
      </c>
    </row>
    <row r="773" spans="1:4">
      <c r="A773" t="str">
        <f>TEXT(IF('Change in Employment'!B780&lt;&gt;0,DATE(YEAR('Change in Employment'!B780), MONTH('Change in Employment'!B780), 1), ""), "mm/dd/yyyy")</f>
        <v/>
      </c>
      <c r="B773" s="8" t="str">
        <f>IF(ISNUMBER('Change in Employment'!I780), TEXT('Change in Employment'!I780, "0"), "")</f>
        <v/>
      </c>
      <c r="C773" s="8" t="str">
        <f>IF(ISNUMBER('Change in Employment'!J780),TEXT('Change in Employment'!J780, "0"),"")</f>
        <v/>
      </c>
      <c r="D773" s="8" t="str">
        <f>IF(ISNUMBER('Change in Employment'!G780),'Change in Employment'!G780,"")</f>
        <v/>
      </c>
    </row>
    <row r="774" spans="1:4">
      <c r="A774" t="str">
        <f>TEXT(IF('Change in Employment'!B781&lt;&gt;0,DATE(YEAR('Change in Employment'!B781), MONTH('Change in Employment'!B781), 1), ""), "mm/dd/yyyy")</f>
        <v/>
      </c>
      <c r="B774" s="8" t="str">
        <f>IF(ISNUMBER('Change in Employment'!I781), TEXT('Change in Employment'!I781, "0"), "")</f>
        <v/>
      </c>
      <c r="C774" s="8" t="str">
        <f>IF(ISNUMBER('Change in Employment'!J781),TEXT('Change in Employment'!J781, "0"),"")</f>
        <v/>
      </c>
      <c r="D774" s="8" t="str">
        <f>IF(ISNUMBER('Change in Employment'!G781),'Change in Employment'!G781,"")</f>
        <v/>
      </c>
    </row>
    <row r="775" spans="1:4">
      <c r="A775" t="str">
        <f>TEXT(IF('Change in Employment'!B782&lt;&gt;0,DATE(YEAR('Change in Employment'!B782), MONTH('Change in Employment'!B782), 1), ""), "mm/dd/yyyy")</f>
        <v/>
      </c>
      <c r="B775" s="8" t="str">
        <f>IF(ISNUMBER('Change in Employment'!I782), TEXT('Change in Employment'!I782, "0"), "")</f>
        <v/>
      </c>
      <c r="C775" s="8" t="str">
        <f>IF(ISNUMBER('Change in Employment'!J782),TEXT('Change in Employment'!J782, "0"),"")</f>
        <v/>
      </c>
      <c r="D775" s="8" t="str">
        <f>IF(ISNUMBER('Change in Employment'!G782),'Change in Employment'!G782,"")</f>
        <v/>
      </c>
    </row>
    <row r="776" spans="1:4">
      <c r="A776" t="str">
        <f>TEXT(IF('Change in Employment'!B783&lt;&gt;0,DATE(YEAR('Change in Employment'!B783), MONTH('Change in Employment'!B783), 1), ""), "mm/dd/yyyy")</f>
        <v/>
      </c>
      <c r="B776" s="8" t="str">
        <f>IF(ISNUMBER('Change in Employment'!I783), TEXT('Change in Employment'!I783, "0"), "")</f>
        <v/>
      </c>
      <c r="C776" s="8" t="str">
        <f>IF(ISNUMBER('Change in Employment'!J783),TEXT('Change in Employment'!J783, "0"),"")</f>
        <v/>
      </c>
      <c r="D776" s="8" t="str">
        <f>IF(ISNUMBER('Change in Employment'!G783),'Change in Employment'!G783,"")</f>
        <v/>
      </c>
    </row>
    <row r="777" spans="1:4">
      <c r="A777" t="str">
        <f>TEXT(IF('Change in Employment'!B784&lt;&gt;0,DATE(YEAR('Change in Employment'!B784), MONTH('Change in Employment'!B784), 1), ""), "mm/dd/yyyy")</f>
        <v/>
      </c>
      <c r="B777" s="8" t="str">
        <f>IF(ISNUMBER('Change in Employment'!I784), TEXT('Change in Employment'!I784, "0"), "")</f>
        <v/>
      </c>
      <c r="C777" s="8" t="str">
        <f>IF(ISNUMBER('Change in Employment'!J784),TEXT('Change in Employment'!J784, "0"),"")</f>
        <v/>
      </c>
      <c r="D777" s="8" t="str">
        <f>IF(ISNUMBER('Change in Employment'!G784),'Change in Employment'!G784,"")</f>
        <v/>
      </c>
    </row>
    <row r="778" spans="1:4">
      <c r="A778" t="str">
        <f>TEXT(IF('Change in Employment'!B785&lt;&gt;0,DATE(YEAR('Change in Employment'!B785), MONTH('Change in Employment'!B785), 1), ""), "mm/dd/yyyy")</f>
        <v/>
      </c>
      <c r="B778" s="8" t="str">
        <f>IF(ISNUMBER('Change in Employment'!I785), TEXT('Change in Employment'!I785, "0"), "")</f>
        <v/>
      </c>
      <c r="C778" s="8" t="str">
        <f>IF(ISNUMBER('Change in Employment'!J785),TEXT('Change in Employment'!J785, "0"),"")</f>
        <v/>
      </c>
      <c r="D778" s="8" t="str">
        <f>IF(ISNUMBER('Change in Employment'!G785),'Change in Employment'!G785,"")</f>
        <v/>
      </c>
    </row>
    <row r="779" spans="1:4">
      <c r="A779" t="str">
        <f>TEXT(IF('Change in Employment'!B786&lt;&gt;0,DATE(YEAR('Change in Employment'!B786), MONTH('Change in Employment'!B786), 1), ""), "mm/dd/yyyy")</f>
        <v/>
      </c>
      <c r="B779" s="8" t="str">
        <f>IF(ISNUMBER('Change in Employment'!I786), TEXT('Change in Employment'!I786, "0"), "")</f>
        <v/>
      </c>
      <c r="C779" s="8" t="str">
        <f>IF(ISNUMBER('Change in Employment'!J786),TEXT('Change in Employment'!J786, "0"),"")</f>
        <v/>
      </c>
      <c r="D779" s="8" t="str">
        <f>IF(ISNUMBER('Change in Employment'!G786),'Change in Employment'!G786,"")</f>
        <v/>
      </c>
    </row>
    <row r="780" spans="1:4">
      <c r="A780" t="str">
        <f>TEXT(IF('Change in Employment'!B787&lt;&gt;0,DATE(YEAR('Change in Employment'!B787), MONTH('Change in Employment'!B787), 1), ""), "mm/dd/yyyy")</f>
        <v/>
      </c>
      <c r="B780" s="8" t="str">
        <f>IF(ISNUMBER('Change in Employment'!I787), TEXT('Change in Employment'!I787, "0"), "")</f>
        <v/>
      </c>
      <c r="C780" s="8" t="str">
        <f>IF(ISNUMBER('Change in Employment'!J787),TEXT('Change in Employment'!J787, "0"),"")</f>
        <v/>
      </c>
      <c r="D780" s="8" t="str">
        <f>IF(ISNUMBER('Change in Employment'!G787),'Change in Employment'!G787,"")</f>
        <v/>
      </c>
    </row>
    <row r="781" spans="1:4">
      <c r="A781" t="str">
        <f>TEXT(IF('Change in Employment'!B788&lt;&gt;0,DATE(YEAR('Change in Employment'!B788), MONTH('Change in Employment'!B788), 1), ""), "mm/dd/yyyy")</f>
        <v/>
      </c>
      <c r="B781" s="8" t="str">
        <f>IF(ISNUMBER('Change in Employment'!I788), TEXT('Change in Employment'!I788, "0"), "")</f>
        <v/>
      </c>
      <c r="C781" s="8" t="str">
        <f>IF(ISNUMBER('Change in Employment'!J788),TEXT('Change in Employment'!J788, "0"),"")</f>
        <v/>
      </c>
      <c r="D781" s="8" t="str">
        <f>IF(ISNUMBER('Change in Employment'!G788),'Change in Employment'!G788,"")</f>
        <v/>
      </c>
    </row>
    <row r="782" spans="1:4">
      <c r="A782" t="str">
        <f>TEXT(IF('Change in Employment'!B789&lt;&gt;0,DATE(YEAR('Change in Employment'!B789), MONTH('Change in Employment'!B789), 1), ""), "mm/dd/yyyy")</f>
        <v/>
      </c>
      <c r="B782" s="8" t="str">
        <f>IF(ISNUMBER('Change in Employment'!I789), TEXT('Change in Employment'!I789, "0"), "")</f>
        <v/>
      </c>
      <c r="C782" s="8" t="str">
        <f>IF(ISNUMBER('Change in Employment'!J789),TEXT('Change in Employment'!J789, "0"),"")</f>
        <v/>
      </c>
      <c r="D782" s="8" t="str">
        <f>IF(ISNUMBER('Change in Employment'!G789),'Change in Employment'!G789,"")</f>
        <v/>
      </c>
    </row>
    <row r="783" spans="1:4">
      <c r="A783" t="str">
        <f>TEXT(IF('Change in Employment'!B790&lt;&gt;0,DATE(YEAR('Change in Employment'!B790), MONTH('Change in Employment'!B790), 1), ""), "mm/dd/yyyy")</f>
        <v/>
      </c>
      <c r="B783" s="8" t="str">
        <f>IF(ISNUMBER('Change in Employment'!I790), TEXT('Change in Employment'!I790, "0"), "")</f>
        <v/>
      </c>
      <c r="C783" s="8" t="str">
        <f>IF(ISNUMBER('Change in Employment'!J790),TEXT('Change in Employment'!J790, "0"),"")</f>
        <v/>
      </c>
      <c r="D783" s="8" t="str">
        <f>IF(ISNUMBER('Change in Employment'!G790),'Change in Employment'!G790,"")</f>
        <v/>
      </c>
    </row>
    <row r="784" spans="1:4">
      <c r="A784" t="str">
        <f>TEXT(IF('Change in Employment'!B791&lt;&gt;0,DATE(YEAR('Change in Employment'!B791), MONTH('Change in Employment'!B791), 1), ""), "mm/dd/yyyy")</f>
        <v/>
      </c>
      <c r="B784" s="8" t="str">
        <f>IF(ISNUMBER('Change in Employment'!I791), TEXT('Change in Employment'!I791, "0"), "")</f>
        <v/>
      </c>
      <c r="C784" s="8" t="str">
        <f>IF(ISNUMBER('Change in Employment'!J791),TEXT('Change in Employment'!J791, "0"),"")</f>
        <v/>
      </c>
      <c r="D784" s="8" t="str">
        <f>IF(ISNUMBER('Change in Employment'!G791),'Change in Employment'!G791,"")</f>
        <v/>
      </c>
    </row>
    <row r="785" spans="1:4">
      <c r="A785" t="str">
        <f>TEXT(IF('Change in Employment'!B792&lt;&gt;0,DATE(YEAR('Change in Employment'!B792), MONTH('Change in Employment'!B792), 1), ""), "mm/dd/yyyy")</f>
        <v/>
      </c>
      <c r="B785" s="8" t="str">
        <f>IF(ISNUMBER('Change in Employment'!I792), TEXT('Change in Employment'!I792, "0"), "")</f>
        <v/>
      </c>
      <c r="C785" s="8" t="str">
        <f>IF(ISNUMBER('Change in Employment'!J792),TEXT('Change in Employment'!J792, "0"),"")</f>
        <v/>
      </c>
      <c r="D785" s="8" t="str">
        <f>IF(ISNUMBER('Change in Employment'!G792),'Change in Employment'!G792,"")</f>
        <v/>
      </c>
    </row>
    <row r="786" spans="1:4">
      <c r="A786" t="str">
        <f>TEXT(IF('Change in Employment'!B793&lt;&gt;0,DATE(YEAR('Change in Employment'!B793), MONTH('Change in Employment'!B793), 1), ""), "mm/dd/yyyy")</f>
        <v/>
      </c>
      <c r="B786" s="8" t="str">
        <f>IF(ISNUMBER('Change in Employment'!I793), TEXT('Change in Employment'!I793, "0"), "")</f>
        <v/>
      </c>
      <c r="C786" s="8" t="str">
        <f>IF(ISNUMBER('Change in Employment'!J793),TEXT('Change in Employment'!J793, "0"),"")</f>
        <v/>
      </c>
      <c r="D786" s="8" t="str">
        <f>IF(ISNUMBER('Change in Employment'!G793),'Change in Employment'!G793,"")</f>
        <v/>
      </c>
    </row>
    <row r="787" spans="1:4">
      <c r="A787" t="str">
        <f>TEXT(IF('Change in Employment'!B794&lt;&gt;0,DATE(YEAR('Change in Employment'!B794), MONTH('Change in Employment'!B794), 1), ""), "mm/dd/yyyy")</f>
        <v/>
      </c>
      <c r="B787" s="8" t="str">
        <f>IF(ISNUMBER('Change in Employment'!I794), TEXT('Change in Employment'!I794, "0"), "")</f>
        <v/>
      </c>
      <c r="C787" s="8" t="str">
        <f>IF(ISNUMBER('Change in Employment'!J794),TEXT('Change in Employment'!J794, "0"),"")</f>
        <v/>
      </c>
      <c r="D787" s="8" t="str">
        <f>IF(ISNUMBER('Change in Employment'!G794),'Change in Employment'!G794,"")</f>
        <v/>
      </c>
    </row>
    <row r="788" spans="1:4">
      <c r="A788" t="str">
        <f>TEXT(IF('Change in Employment'!B795&lt;&gt;0,DATE(YEAR('Change in Employment'!B795), MONTH('Change in Employment'!B795), 1), ""), "mm/dd/yyyy")</f>
        <v/>
      </c>
      <c r="B788" s="8" t="str">
        <f>IF(ISNUMBER('Change in Employment'!I795), TEXT('Change in Employment'!I795, "0"), "")</f>
        <v/>
      </c>
      <c r="C788" s="8" t="str">
        <f>IF(ISNUMBER('Change in Employment'!J795),TEXT('Change in Employment'!J795, "0"),"")</f>
        <v/>
      </c>
      <c r="D788" s="8" t="str">
        <f>IF(ISNUMBER('Change in Employment'!G795),'Change in Employment'!G795,"")</f>
        <v/>
      </c>
    </row>
    <row r="789" spans="1:4">
      <c r="A789" t="str">
        <f>TEXT(IF('Change in Employment'!B796&lt;&gt;0,DATE(YEAR('Change in Employment'!B796), MONTH('Change in Employment'!B796), 1), ""), "mm/dd/yyyy")</f>
        <v/>
      </c>
      <c r="B789" s="8" t="str">
        <f>IF(ISNUMBER('Change in Employment'!I796), TEXT('Change in Employment'!I796, "0"), "")</f>
        <v/>
      </c>
      <c r="C789" s="8" t="str">
        <f>IF(ISNUMBER('Change in Employment'!J796),TEXT('Change in Employment'!J796, "0"),"")</f>
        <v/>
      </c>
      <c r="D789" s="8" t="str">
        <f>IF(ISNUMBER('Change in Employment'!G796),'Change in Employment'!G796,"")</f>
        <v/>
      </c>
    </row>
    <row r="790" spans="1:4">
      <c r="A790" t="str">
        <f>TEXT(IF('Change in Employment'!B797&lt;&gt;0,DATE(YEAR('Change in Employment'!B797), MONTH('Change in Employment'!B797), 1), ""), "mm/dd/yyyy")</f>
        <v/>
      </c>
      <c r="B790" s="8" t="str">
        <f>IF(ISNUMBER('Change in Employment'!I797), TEXT('Change in Employment'!I797, "0"), "")</f>
        <v/>
      </c>
      <c r="C790" s="8" t="str">
        <f>IF(ISNUMBER('Change in Employment'!J797),TEXT('Change in Employment'!J797, "0"),"")</f>
        <v/>
      </c>
      <c r="D790" s="8" t="str">
        <f>IF(ISNUMBER('Change in Employment'!G797),'Change in Employment'!G797,"")</f>
        <v/>
      </c>
    </row>
    <row r="791" spans="1:4">
      <c r="A791" t="str">
        <f>TEXT(IF('Change in Employment'!B798&lt;&gt;0,DATE(YEAR('Change in Employment'!B798), MONTH('Change in Employment'!B798), 1), ""), "mm/dd/yyyy")</f>
        <v/>
      </c>
      <c r="B791" s="8" t="str">
        <f>IF(ISNUMBER('Change in Employment'!I798), TEXT('Change in Employment'!I798, "0"), "")</f>
        <v/>
      </c>
      <c r="C791" s="8" t="str">
        <f>IF(ISNUMBER('Change in Employment'!J798),TEXT('Change in Employment'!J798, "0"),"")</f>
        <v/>
      </c>
      <c r="D791" s="8" t="str">
        <f>IF(ISNUMBER('Change in Employment'!G798),'Change in Employment'!G798,"")</f>
        <v/>
      </c>
    </row>
    <row r="792" spans="1:4">
      <c r="A792" t="str">
        <f>TEXT(IF('Change in Employment'!B799&lt;&gt;0,DATE(YEAR('Change in Employment'!B799), MONTH('Change in Employment'!B799), 1), ""), "mm/dd/yyyy")</f>
        <v/>
      </c>
      <c r="B792" s="8" t="str">
        <f>IF(ISNUMBER('Change in Employment'!I799), TEXT('Change in Employment'!I799, "0"), "")</f>
        <v/>
      </c>
      <c r="C792" s="8" t="str">
        <f>IF(ISNUMBER('Change in Employment'!J799),TEXT('Change in Employment'!J799, "0"),"")</f>
        <v/>
      </c>
      <c r="D792" s="8" t="str">
        <f>IF(ISNUMBER('Change in Employment'!G799),'Change in Employment'!G799,"")</f>
        <v/>
      </c>
    </row>
    <row r="793" spans="1:4">
      <c r="A793" t="str">
        <f>TEXT(IF('Change in Employment'!B800&lt;&gt;0,DATE(YEAR('Change in Employment'!B800), MONTH('Change in Employment'!B800), 1), ""), "mm/dd/yyyy")</f>
        <v/>
      </c>
      <c r="B793" s="8" t="str">
        <f>IF(ISNUMBER('Change in Employment'!I800), TEXT('Change in Employment'!I800, "0"), "")</f>
        <v/>
      </c>
      <c r="C793" s="8" t="str">
        <f>IF(ISNUMBER('Change in Employment'!J800),TEXT('Change in Employment'!J800, "0"),"")</f>
        <v/>
      </c>
      <c r="D793" s="8" t="str">
        <f>IF(ISNUMBER('Change in Employment'!G800),'Change in Employment'!G800,"")</f>
        <v/>
      </c>
    </row>
    <row r="794" spans="1:4">
      <c r="A794" t="str">
        <f>TEXT(IF('Change in Employment'!B801&lt;&gt;0,DATE(YEAR('Change in Employment'!B801), MONTH('Change in Employment'!B801), 1), ""), "mm/dd/yyyy")</f>
        <v/>
      </c>
      <c r="B794" s="8" t="str">
        <f>IF(ISNUMBER('Change in Employment'!I801), TEXT('Change in Employment'!I801, "0"), "")</f>
        <v/>
      </c>
      <c r="C794" s="8" t="str">
        <f>IF(ISNUMBER('Change in Employment'!J801),TEXT('Change in Employment'!J801, "0"),"")</f>
        <v/>
      </c>
      <c r="D794" s="8" t="str">
        <f>IF(ISNUMBER('Change in Employment'!G801),'Change in Employment'!G801,"")</f>
        <v/>
      </c>
    </row>
    <row r="795" spans="1:4">
      <c r="A795" t="str">
        <f>TEXT(IF('Change in Employment'!B802&lt;&gt;0,DATE(YEAR('Change in Employment'!B802), MONTH('Change in Employment'!B802), 1), ""), "mm/dd/yyyy")</f>
        <v/>
      </c>
      <c r="B795" s="8" t="str">
        <f>IF(ISNUMBER('Change in Employment'!I802), TEXT('Change in Employment'!I802, "0"), "")</f>
        <v/>
      </c>
      <c r="C795" s="8" t="str">
        <f>IF(ISNUMBER('Change in Employment'!J802),TEXT('Change in Employment'!J802, "0"),"")</f>
        <v/>
      </c>
      <c r="D795" s="8" t="str">
        <f>IF(ISNUMBER('Change in Employment'!G802),'Change in Employment'!G802,"")</f>
        <v/>
      </c>
    </row>
    <row r="796" spans="1:4">
      <c r="A796" t="str">
        <f>TEXT(IF('Change in Employment'!B803&lt;&gt;0,DATE(YEAR('Change in Employment'!B803), MONTH('Change in Employment'!B803), 1), ""), "mm/dd/yyyy")</f>
        <v/>
      </c>
      <c r="B796" s="8" t="str">
        <f>IF(ISNUMBER('Change in Employment'!I803), TEXT('Change in Employment'!I803, "0"), "")</f>
        <v/>
      </c>
      <c r="C796" s="8" t="str">
        <f>IF(ISNUMBER('Change in Employment'!J803),TEXT('Change in Employment'!J803, "0"),"")</f>
        <v/>
      </c>
      <c r="D796" s="8" t="str">
        <f>IF(ISNUMBER('Change in Employment'!G803),'Change in Employment'!G803,"")</f>
        <v/>
      </c>
    </row>
    <row r="797" spans="1:4">
      <c r="A797" t="str">
        <f>TEXT(IF('Change in Employment'!B804&lt;&gt;0,DATE(YEAR('Change in Employment'!B804), MONTH('Change in Employment'!B804), 1), ""), "mm/dd/yyyy")</f>
        <v/>
      </c>
      <c r="B797" s="8" t="str">
        <f>IF(ISNUMBER('Change in Employment'!I804), TEXT('Change in Employment'!I804, "0"), "")</f>
        <v/>
      </c>
      <c r="C797" s="8" t="str">
        <f>IF(ISNUMBER('Change in Employment'!J804),TEXT('Change in Employment'!J804, "0"),"")</f>
        <v/>
      </c>
      <c r="D797" s="8" t="str">
        <f>IF(ISNUMBER('Change in Employment'!G804),'Change in Employment'!G804,"")</f>
        <v/>
      </c>
    </row>
    <row r="798" spans="1:4">
      <c r="A798" t="str">
        <f>TEXT(IF('Change in Employment'!B805&lt;&gt;0,DATE(YEAR('Change in Employment'!B805), MONTH('Change in Employment'!B805), 1), ""), "mm/dd/yyyy")</f>
        <v/>
      </c>
      <c r="B798" s="8" t="str">
        <f>IF(ISNUMBER('Change in Employment'!I805), TEXT('Change in Employment'!I805, "0"), "")</f>
        <v/>
      </c>
      <c r="C798" s="8" t="str">
        <f>IF(ISNUMBER('Change in Employment'!J805),TEXT('Change in Employment'!J805, "0"),"")</f>
        <v/>
      </c>
      <c r="D798" s="8" t="str">
        <f>IF(ISNUMBER('Change in Employment'!G805),'Change in Employment'!G805,"")</f>
        <v/>
      </c>
    </row>
    <row r="799" spans="1:4">
      <c r="A799" t="str">
        <f>TEXT(IF('Change in Employment'!B806&lt;&gt;0,DATE(YEAR('Change in Employment'!B806), MONTH('Change in Employment'!B806), 1), ""), "mm/dd/yyyy")</f>
        <v/>
      </c>
      <c r="B799" s="8" t="str">
        <f>IF(ISNUMBER('Change in Employment'!I806), TEXT('Change in Employment'!I806, "0"), "")</f>
        <v/>
      </c>
      <c r="C799" s="8" t="str">
        <f>IF(ISNUMBER('Change in Employment'!J806),TEXT('Change in Employment'!J806, "0"),"")</f>
        <v/>
      </c>
      <c r="D799" s="8" t="str">
        <f>IF(ISNUMBER('Change in Employment'!G806),'Change in Employment'!G806,"")</f>
        <v/>
      </c>
    </row>
    <row r="800" spans="1:4">
      <c r="A800" t="str">
        <f>TEXT(IF('Change in Employment'!B807&lt;&gt;0,DATE(YEAR('Change in Employment'!B807), MONTH('Change in Employment'!B807), 1), ""), "mm/dd/yyyy")</f>
        <v/>
      </c>
      <c r="B800" s="8" t="str">
        <f>IF(ISNUMBER('Change in Employment'!I807), TEXT('Change in Employment'!I807, "0"), "")</f>
        <v/>
      </c>
      <c r="C800" s="8" t="str">
        <f>IF(ISNUMBER('Change in Employment'!J807),TEXT('Change in Employment'!J807, "0"),"")</f>
        <v/>
      </c>
      <c r="D800" s="8" t="str">
        <f>IF(ISNUMBER('Change in Employment'!G807),'Change in Employment'!G807,"")</f>
        <v/>
      </c>
    </row>
    <row r="801" spans="1:4">
      <c r="A801" t="str">
        <f>TEXT(IF('Change in Employment'!B808&lt;&gt;0,DATE(YEAR('Change in Employment'!B808), MONTH('Change in Employment'!B808), 1), ""), "mm/dd/yyyy")</f>
        <v/>
      </c>
      <c r="B801" s="8" t="str">
        <f>IF(ISNUMBER('Change in Employment'!I808), TEXT('Change in Employment'!I808, "0"), "")</f>
        <v/>
      </c>
      <c r="C801" s="8" t="str">
        <f>IF(ISNUMBER('Change in Employment'!J808),TEXT('Change in Employment'!J808, "0"),"")</f>
        <v/>
      </c>
      <c r="D801" s="8" t="str">
        <f>IF(ISNUMBER('Change in Employment'!G808),'Change in Employment'!G808,"")</f>
        <v/>
      </c>
    </row>
    <row r="802" spans="1:4">
      <c r="A802" t="str">
        <f>TEXT(IF('Change in Employment'!B809&lt;&gt;0,DATE(YEAR('Change in Employment'!B809), MONTH('Change in Employment'!B809), 1), ""), "mm/dd/yyyy")</f>
        <v/>
      </c>
      <c r="B802" s="8" t="str">
        <f>IF(ISNUMBER('Change in Employment'!I809), TEXT('Change in Employment'!I809, "0"), "")</f>
        <v/>
      </c>
      <c r="C802" s="8" t="str">
        <f>IF(ISNUMBER('Change in Employment'!J809),TEXT('Change in Employment'!J809, "0"),"")</f>
        <v/>
      </c>
      <c r="D802" s="8" t="str">
        <f>IF(ISNUMBER('Change in Employment'!G809),'Change in Employment'!G809,"")</f>
        <v/>
      </c>
    </row>
    <row r="803" spans="1:4">
      <c r="A803" t="str">
        <f>TEXT(IF('Change in Employment'!B810&lt;&gt;0,DATE(YEAR('Change in Employment'!B810), MONTH('Change in Employment'!B810), 1), ""), "mm/dd/yyyy")</f>
        <v/>
      </c>
      <c r="B803" s="8" t="str">
        <f>IF(ISNUMBER('Change in Employment'!I810), TEXT('Change in Employment'!I810, "0"), "")</f>
        <v/>
      </c>
      <c r="C803" s="8" t="str">
        <f>IF(ISNUMBER('Change in Employment'!J810),TEXT('Change in Employment'!J810, "0"),"")</f>
        <v/>
      </c>
      <c r="D803" s="8" t="str">
        <f>IF(ISNUMBER('Change in Employment'!G810),'Change in Employment'!G810,"")</f>
        <v/>
      </c>
    </row>
    <row r="804" spans="1:4">
      <c r="A804" t="str">
        <f>TEXT(IF('Change in Employment'!B811&lt;&gt;0,DATE(YEAR('Change in Employment'!B811), MONTH('Change in Employment'!B811), 1), ""), "mm/dd/yyyy")</f>
        <v/>
      </c>
      <c r="B804" s="8" t="str">
        <f>IF(ISNUMBER('Change in Employment'!I811), TEXT('Change in Employment'!I811, "0"), "")</f>
        <v/>
      </c>
      <c r="C804" s="8" t="str">
        <f>IF(ISNUMBER('Change in Employment'!J811),TEXT('Change in Employment'!J811, "0"),"")</f>
        <v/>
      </c>
      <c r="D804" s="8" t="str">
        <f>IF(ISNUMBER('Change in Employment'!G811),'Change in Employment'!G811,"")</f>
        <v/>
      </c>
    </row>
    <row r="805" spans="1:4">
      <c r="A805" t="str">
        <f>TEXT(IF('Change in Employment'!B812&lt;&gt;0,DATE(YEAR('Change in Employment'!B812), MONTH('Change in Employment'!B812), 1), ""), "mm/dd/yyyy")</f>
        <v/>
      </c>
      <c r="B805" s="8" t="str">
        <f>IF(ISNUMBER('Change in Employment'!I812), TEXT('Change in Employment'!I812, "0"), "")</f>
        <v/>
      </c>
      <c r="C805" s="8" t="str">
        <f>IF(ISNUMBER('Change in Employment'!J812),TEXT('Change in Employment'!J812, "0"),"")</f>
        <v/>
      </c>
      <c r="D805" s="8" t="str">
        <f>IF(ISNUMBER('Change in Employment'!G812),'Change in Employment'!G812,"")</f>
        <v/>
      </c>
    </row>
    <row r="806" spans="1:4">
      <c r="A806" t="str">
        <f>TEXT(IF('Change in Employment'!B813&lt;&gt;0,DATE(YEAR('Change in Employment'!B813), MONTH('Change in Employment'!B813), 1), ""), "mm/dd/yyyy")</f>
        <v/>
      </c>
      <c r="B806" s="8" t="str">
        <f>IF(ISNUMBER('Change in Employment'!I813), TEXT('Change in Employment'!I813, "0"), "")</f>
        <v/>
      </c>
      <c r="C806" s="8" t="str">
        <f>IF(ISNUMBER('Change in Employment'!J813),TEXT('Change in Employment'!J813, "0"),"")</f>
        <v/>
      </c>
      <c r="D806" s="8" t="str">
        <f>IF(ISNUMBER('Change in Employment'!G813),'Change in Employment'!G813,"")</f>
        <v/>
      </c>
    </row>
    <row r="807" spans="1:4">
      <c r="A807" t="str">
        <f>TEXT(IF('Change in Employment'!B814&lt;&gt;0,DATE(YEAR('Change in Employment'!B814), MONTH('Change in Employment'!B814), 1), ""), "mm/dd/yyyy")</f>
        <v/>
      </c>
      <c r="B807" s="8" t="str">
        <f>IF(ISNUMBER('Change in Employment'!I814), TEXT('Change in Employment'!I814, "0"), "")</f>
        <v/>
      </c>
      <c r="C807" s="8" t="str">
        <f>IF(ISNUMBER('Change in Employment'!J814),TEXT('Change in Employment'!J814, "0"),"")</f>
        <v/>
      </c>
      <c r="D807" s="8" t="str">
        <f>IF(ISNUMBER('Change in Employment'!G814),'Change in Employment'!G814,"")</f>
        <v/>
      </c>
    </row>
    <row r="808" spans="1:4">
      <c r="A808" t="str">
        <f>TEXT(IF('Change in Employment'!B815&lt;&gt;0,DATE(YEAR('Change in Employment'!B815), MONTH('Change in Employment'!B815), 1), ""), "mm/dd/yyyy")</f>
        <v/>
      </c>
      <c r="B808" s="8" t="str">
        <f>IF(ISNUMBER('Change in Employment'!I815), TEXT('Change in Employment'!I815, "0"), "")</f>
        <v/>
      </c>
      <c r="C808" s="8" t="str">
        <f>IF(ISNUMBER('Change in Employment'!J815),TEXT('Change in Employment'!J815, "0"),"")</f>
        <v/>
      </c>
      <c r="D808" s="8" t="str">
        <f>IF(ISNUMBER('Change in Employment'!G815),'Change in Employment'!G815,"")</f>
        <v/>
      </c>
    </row>
    <row r="809" spans="1:4">
      <c r="A809" t="str">
        <f>TEXT(IF('Change in Employment'!B816&lt;&gt;0,DATE(YEAR('Change in Employment'!B816), MONTH('Change in Employment'!B816), 1), ""), "mm/dd/yyyy")</f>
        <v/>
      </c>
      <c r="B809" s="8" t="str">
        <f>IF(ISNUMBER('Change in Employment'!I816), TEXT('Change in Employment'!I816, "0"), "")</f>
        <v/>
      </c>
      <c r="C809" s="8" t="str">
        <f>IF(ISNUMBER('Change in Employment'!J816),TEXT('Change in Employment'!J816, "0"),"")</f>
        <v/>
      </c>
      <c r="D809" s="8" t="str">
        <f>IF(ISNUMBER('Change in Employment'!G816),'Change in Employment'!G816,"")</f>
        <v/>
      </c>
    </row>
    <row r="810" spans="1:4">
      <c r="A810" t="str">
        <f>TEXT(IF('Change in Employment'!B817&lt;&gt;0,DATE(YEAR('Change in Employment'!B817), MONTH('Change in Employment'!B817), 1), ""), "mm/dd/yyyy")</f>
        <v/>
      </c>
      <c r="B810" s="8" t="str">
        <f>IF(ISNUMBER('Change in Employment'!I817), TEXT('Change in Employment'!I817, "0"), "")</f>
        <v/>
      </c>
      <c r="C810" s="8" t="str">
        <f>IF(ISNUMBER('Change in Employment'!J817),TEXT('Change in Employment'!J817, "0"),"")</f>
        <v/>
      </c>
      <c r="D810" s="8" t="str">
        <f>IF(ISNUMBER('Change in Employment'!G817),'Change in Employment'!G817,"")</f>
        <v/>
      </c>
    </row>
    <row r="811" spans="1:4">
      <c r="A811" t="str">
        <f>TEXT(IF('Change in Employment'!B818&lt;&gt;0,DATE(YEAR('Change in Employment'!B818), MONTH('Change in Employment'!B818), 1), ""), "mm/dd/yyyy")</f>
        <v/>
      </c>
      <c r="B811" s="8" t="str">
        <f>IF(ISNUMBER('Change in Employment'!I818), TEXT('Change in Employment'!I818, "0"), "")</f>
        <v/>
      </c>
      <c r="C811" s="8" t="str">
        <f>IF(ISNUMBER('Change in Employment'!J818),TEXT('Change in Employment'!J818, "0"),"")</f>
        <v/>
      </c>
      <c r="D811" s="8" t="str">
        <f>IF(ISNUMBER('Change in Employment'!G818),'Change in Employment'!G818,"")</f>
        <v/>
      </c>
    </row>
    <row r="812" spans="1:4">
      <c r="A812" t="str">
        <f>TEXT(IF('Change in Employment'!B819&lt;&gt;0,DATE(YEAR('Change in Employment'!B819), MONTH('Change in Employment'!B819), 1), ""), "mm/dd/yyyy")</f>
        <v/>
      </c>
      <c r="B812" s="8" t="str">
        <f>IF(ISNUMBER('Change in Employment'!I819), TEXT('Change in Employment'!I819, "0"), "")</f>
        <v/>
      </c>
      <c r="C812" s="8" t="str">
        <f>IF(ISNUMBER('Change in Employment'!J819),TEXT('Change in Employment'!J819, "0"),"")</f>
        <v/>
      </c>
      <c r="D812" s="8" t="str">
        <f>IF(ISNUMBER('Change in Employment'!G819),'Change in Employment'!G819,"")</f>
        <v/>
      </c>
    </row>
    <row r="813" spans="1:4">
      <c r="A813" t="str">
        <f>TEXT(IF('Change in Employment'!B820&lt;&gt;0,DATE(YEAR('Change in Employment'!B820), MONTH('Change in Employment'!B820), 1), ""), "mm/dd/yyyy")</f>
        <v/>
      </c>
      <c r="B813" s="8" t="str">
        <f>IF(ISNUMBER('Change in Employment'!I820), TEXT('Change in Employment'!I820, "0"), "")</f>
        <v/>
      </c>
      <c r="C813" s="8" t="str">
        <f>IF(ISNUMBER('Change in Employment'!J820),TEXT('Change in Employment'!J820, "0"),"")</f>
        <v/>
      </c>
      <c r="D813" s="8" t="str">
        <f>IF(ISNUMBER('Change in Employment'!G820),'Change in Employment'!G820,"")</f>
        <v/>
      </c>
    </row>
    <row r="814" spans="1:4">
      <c r="A814" t="str">
        <f>TEXT(IF('Change in Employment'!B821&lt;&gt;0,DATE(YEAR('Change in Employment'!B821), MONTH('Change in Employment'!B821), 1), ""), "mm/dd/yyyy")</f>
        <v/>
      </c>
      <c r="B814" s="8" t="str">
        <f>IF(ISNUMBER('Change in Employment'!I821), TEXT('Change in Employment'!I821, "0"), "")</f>
        <v/>
      </c>
      <c r="C814" s="8" t="str">
        <f>IF(ISNUMBER('Change in Employment'!J821),TEXT('Change in Employment'!J821, "0"),"")</f>
        <v/>
      </c>
      <c r="D814" s="8" t="str">
        <f>IF(ISNUMBER('Change in Employment'!G821),'Change in Employment'!G821,"")</f>
        <v/>
      </c>
    </row>
    <row r="815" spans="1:4">
      <c r="A815" t="str">
        <f>TEXT(IF('Change in Employment'!B822&lt;&gt;0,DATE(YEAR('Change in Employment'!B822), MONTH('Change in Employment'!B822), 1), ""), "mm/dd/yyyy")</f>
        <v/>
      </c>
      <c r="B815" s="8" t="str">
        <f>IF(ISNUMBER('Change in Employment'!I822), TEXT('Change in Employment'!I822, "0"), "")</f>
        <v/>
      </c>
      <c r="C815" s="8" t="str">
        <f>IF(ISNUMBER('Change in Employment'!J822),TEXT('Change in Employment'!J822, "0"),"")</f>
        <v/>
      </c>
      <c r="D815" s="8" t="str">
        <f>IF(ISNUMBER('Change in Employment'!G822),'Change in Employment'!G822,"")</f>
        <v/>
      </c>
    </row>
    <row r="816" spans="1:4">
      <c r="A816" t="str">
        <f>TEXT(IF('Change in Employment'!B823&lt;&gt;0,DATE(YEAR('Change in Employment'!B823), MONTH('Change in Employment'!B823), 1), ""), "mm/dd/yyyy")</f>
        <v/>
      </c>
      <c r="B816" s="8" t="str">
        <f>IF(ISNUMBER('Change in Employment'!I823), TEXT('Change in Employment'!I823, "0"), "")</f>
        <v/>
      </c>
      <c r="C816" s="8" t="str">
        <f>IF(ISNUMBER('Change in Employment'!J823),TEXT('Change in Employment'!J823, "0"),"")</f>
        <v/>
      </c>
      <c r="D816" s="8" t="str">
        <f>IF(ISNUMBER('Change in Employment'!G823),'Change in Employment'!G823,"")</f>
        <v/>
      </c>
    </row>
    <row r="817" spans="1:4">
      <c r="A817" t="str">
        <f>TEXT(IF('Change in Employment'!B824&lt;&gt;0,DATE(YEAR('Change in Employment'!B824), MONTH('Change in Employment'!B824), 1), ""), "mm/dd/yyyy")</f>
        <v/>
      </c>
      <c r="B817" s="8" t="str">
        <f>IF(ISNUMBER('Change in Employment'!I824), TEXT('Change in Employment'!I824, "0"), "")</f>
        <v/>
      </c>
      <c r="C817" s="8" t="str">
        <f>IF(ISNUMBER('Change in Employment'!J824),TEXT('Change in Employment'!J824, "0"),"")</f>
        <v/>
      </c>
      <c r="D817" s="8" t="str">
        <f>IF(ISNUMBER('Change in Employment'!G824),'Change in Employment'!G824,"")</f>
        <v/>
      </c>
    </row>
    <row r="818" spans="1:4">
      <c r="A818" t="str">
        <f>TEXT(IF('Change in Employment'!B825&lt;&gt;0,DATE(YEAR('Change in Employment'!B825), MONTH('Change in Employment'!B825), 1), ""), "mm/dd/yyyy")</f>
        <v/>
      </c>
      <c r="B818" s="8" t="str">
        <f>IF(ISNUMBER('Change in Employment'!I825), TEXT('Change in Employment'!I825, "0"), "")</f>
        <v/>
      </c>
      <c r="C818" s="8" t="str">
        <f>IF(ISNUMBER('Change in Employment'!J825),TEXT('Change in Employment'!J825, "0"),"")</f>
        <v/>
      </c>
      <c r="D818" s="8" t="str">
        <f>IF(ISNUMBER('Change in Employment'!G825),'Change in Employment'!G825,"")</f>
        <v/>
      </c>
    </row>
    <row r="819" spans="1:4">
      <c r="A819" t="str">
        <f>TEXT(IF('Change in Employment'!B826&lt;&gt;0,DATE(YEAR('Change in Employment'!B826), MONTH('Change in Employment'!B826), 1), ""), "mm/dd/yyyy")</f>
        <v/>
      </c>
      <c r="B819" s="8" t="str">
        <f>IF(ISNUMBER('Change in Employment'!I826), TEXT('Change in Employment'!I826, "0"), "")</f>
        <v/>
      </c>
      <c r="C819" s="8" t="str">
        <f>IF(ISNUMBER('Change in Employment'!J826),TEXT('Change in Employment'!J826, "0"),"")</f>
        <v/>
      </c>
      <c r="D819" s="8" t="str">
        <f>IF(ISNUMBER('Change in Employment'!G826),'Change in Employment'!G826,"")</f>
        <v/>
      </c>
    </row>
    <row r="820" spans="1:4">
      <c r="A820" t="str">
        <f>TEXT(IF('Change in Employment'!B827&lt;&gt;0,DATE(YEAR('Change in Employment'!B827), MONTH('Change in Employment'!B827), 1), ""), "mm/dd/yyyy")</f>
        <v/>
      </c>
      <c r="B820" s="8" t="str">
        <f>IF(ISNUMBER('Change in Employment'!I827), TEXT('Change in Employment'!I827, "0"), "")</f>
        <v/>
      </c>
      <c r="C820" s="8" t="str">
        <f>IF(ISNUMBER('Change in Employment'!J827),TEXT('Change in Employment'!J827, "0"),"")</f>
        <v/>
      </c>
      <c r="D820" s="8" t="str">
        <f>IF(ISNUMBER('Change in Employment'!G827),'Change in Employment'!G827,"")</f>
        <v/>
      </c>
    </row>
    <row r="821" spans="1:4">
      <c r="A821" t="str">
        <f>TEXT(IF('Change in Employment'!B828&lt;&gt;0,DATE(YEAR('Change in Employment'!B828), MONTH('Change in Employment'!B828), 1), ""), "mm/dd/yyyy")</f>
        <v/>
      </c>
      <c r="B821" s="8" t="str">
        <f>IF(ISNUMBER('Change in Employment'!I828), TEXT('Change in Employment'!I828, "0"), "")</f>
        <v/>
      </c>
      <c r="C821" s="8" t="str">
        <f>IF(ISNUMBER('Change in Employment'!J828),TEXT('Change in Employment'!J828, "0"),"")</f>
        <v/>
      </c>
      <c r="D821" s="8" t="str">
        <f>IF(ISNUMBER('Change in Employment'!G828),'Change in Employment'!G828,"")</f>
        <v/>
      </c>
    </row>
    <row r="822" spans="1:4">
      <c r="A822" t="str">
        <f>TEXT(IF('Change in Employment'!B829&lt;&gt;0,DATE(YEAR('Change in Employment'!B829), MONTH('Change in Employment'!B829), 1), ""), "mm/dd/yyyy")</f>
        <v/>
      </c>
      <c r="B822" s="8" t="str">
        <f>IF(ISNUMBER('Change in Employment'!I829), TEXT('Change in Employment'!I829, "0"), "")</f>
        <v/>
      </c>
      <c r="C822" s="8" t="str">
        <f>IF(ISNUMBER('Change in Employment'!J829),TEXT('Change in Employment'!J829, "0"),"")</f>
        <v/>
      </c>
      <c r="D822" s="8" t="str">
        <f>IF(ISNUMBER('Change in Employment'!G829),'Change in Employment'!G829,"")</f>
        <v/>
      </c>
    </row>
    <row r="823" spans="1:4">
      <c r="A823" t="str">
        <f>TEXT(IF('Change in Employment'!B830&lt;&gt;0,DATE(YEAR('Change in Employment'!B830), MONTH('Change in Employment'!B830), 1), ""), "mm/dd/yyyy")</f>
        <v/>
      </c>
      <c r="B823" s="8" t="str">
        <f>IF(ISNUMBER('Change in Employment'!I830), TEXT('Change in Employment'!I830, "0"), "")</f>
        <v/>
      </c>
      <c r="C823" s="8" t="str">
        <f>IF(ISNUMBER('Change in Employment'!J830),TEXT('Change in Employment'!J830, "0"),"")</f>
        <v/>
      </c>
      <c r="D823" s="8" t="str">
        <f>IF(ISNUMBER('Change in Employment'!G830),'Change in Employment'!G830,"")</f>
        <v/>
      </c>
    </row>
    <row r="824" spans="1:4">
      <c r="A824" t="str">
        <f>TEXT(IF('Change in Employment'!B831&lt;&gt;0,DATE(YEAR('Change in Employment'!B831), MONTH('Change in Employment'!B831), 1), ""), "mm/dd/yyyy")</f>
        <v/>
      </c>
      <c r="B824" s="8" t="str">
        <f>IF(ISNUMBER('Change in Employment'!I831), TEXT('Change in Employment'!I831, "0"), "")</f>
        <v/>
      </c>
      <c r="C824" s="8" t="str">
        <f>IF(ISNUMBER('Change in Employment'!J831),TEXT('Change in Employment'!J831, "0"),"")</f>
        <v/>
      </c>
      <c r="D824" s="8" t="str">
        <f>IF(ISNUMBER('Change in Employment'!G831),'Change in Employment'!G831,"")</f>
        <v/>
      </c>
    </row>
    <row r="825" spans="1:4">
      <c r="A825" t="str">
        <f>TEXT(IF('Change in Employment'!B832&lt;&gt;0,DATE(YEAR('Change in Employment'!B832), MONTH('Change in Employment'!B832), 1), ""), "mm/dd/yyyy")</f>
        <v/>
      </c>
      <c r="B825" s="8" t="str">
        <f>IF(ISNUMBER('Change in Employment'!I832), TEXT('Change in Employment'!I832, "0"), "")</f>
        <v/>
      </c>
      <c r="C825" s="8" t="str">
        <f>IF(ISNUMBER('Change in Employment'!J832),TEXT('Change in Employment'!J832, "0"),"")</f>
        <v/>
      </c>
      <c r="D825" s="8" t="str">
        <f>IF(ISNUMBER('Change in Employment'!G832),'Change in Employment'!G832,"")</f>
        <v/>
      </c>
    </row>
    <row r="826" spans="1:4">
      <c r="A826" t="str">
        <f>TEXT(IF('Change in Employment'!B833&lt;&gt;0,DATE(YEAR('Change in Employment'!B833), MONTH('Change in Employment'!B833), 1), ""), "mm/dd/yyyy")</f>
        <v/>
      </c>
      <c r="B826" s="8" t="str">
        <f>IF(ISNUMBER('Change in Employment'!I833), TEXT('Change in Employment'!I833, "0"), "")</f>
        <v/>
      </c>
      <c r="C826" s="8" t="str">
        <f>IF(ISNUMBER('Change in Employment'!J833),TEXT('Change in Employment'!J833, "0"),"")</f>
        <v/>
      </c>
      <c r="D826" s="8" t="str">
        <f>IF(ISNUMBER('Change in Employment'!G833),'Change in Employment'!G833,"")</f>
        <v/>
      </c>
    </row>
    <row r="827" spans="1:4">
      <c r="A827" t="str">
        <f>TEXT(IF('Change in Employment'!B834&lt;&gt;0,DATE(YEAR('Change in Employment'!B834), MONTH('Change in Employment'!B834), 1), ""), "mm/dd/yyyy")</f>
        <v/>
      </c>
      <c r="B827" s="8" t="str">
        <f>IF(ISNUMBER('Change in Employment'!I834), TEXT('Change in Employment'!I834, "0"), "")</f>
        <v/>
      </c>
      <c r="C827" s="8" t="str">
        <f>IF(ISNUMBER('Change in Employment'!J834),TEXT('Change in Employment'!J834, "0"),"")</f>
        <v/>
      </c>
      <c r="D827" s="8" t="str">
        <f>IF(ISNUMBER('Change in Employment'!G834),'Change in Employment'!G834,"")</f>
        <v/>
      </c>
    </row>
    <row r="828" spans="1:4">
      <c r="A828" t="str">
        <f>TEXT(IF('Change in Employment'!B835&lt;&gt;0,DATE(YEAR('Change in Employment'!B835), MONTH('Change in Employment'!B835), 1), ""), "mm/dd/yyyy")</f>
        <v/>
      </c>
      <c r="B828" s="8" t="str">
        <f>IF(ISNUMBER('Change in Employment'!I835), TEXT('Change in Employment'!I835, "0"), "")</f>
        <v/>
      </c>
      <c r="C828" s="8" t="str">
        <f>IF(ISNUMBER('Change in Employment'!J835),TEXT('Change in Employment'!J835, "0"),"")</f>
        <v/>
      </c>
      <c r="D828" s="8" t="str">
        <f>IF(ISNUMBER('Change in Employment'!G835),'Change in Employment'!G835,"")</f>
        <v/>
      </c>
    </row>
    <row r="829" spans="1:4">
      <c r="A829" t="str">
        <f>TEXT(IF('Change in Employment'!B836&lt;&gt;0,DATE(YEAR('Change in Employment'!B836), MONTH('Change in Employment'!B836), 1), ""), "mm/dd/yyyy")</f>
        <v/>
      </c>
      <c r="B829" s="8" t="str">
        <f>IF(ISNUMBER('Change in Employment'!I836), TEXT('Change in Employment'!I836, "0"), "")</f>
        <v/>
      </c>
      <c r="C829" s="8" t="str">
        <f>IF(ISNUMBER('Change in Employment'!J836),TEXT('Change in Employment'!J836, "0"),"")</f>
        <v/>
      </c>
      <c r="D829" s="8" t="str">
        <f>IF(ISNUMBER('Change in Employment'!G836),'Change in Employment'!G836,"")</f>
        <v/>
      </c>
    </row>
    <row r="830" spans="1:4">
      <c r="A830" t="str">
        <f>TEXT(IF('Change in Employment'!B837&lt;&gt;0,DATE(YEAR('Change in Employment'!B837), MONTH('Change in Employment'!B837), 1), ""), "mm/dd/yyyy")</f>
        <v/>
      </c>
      <c r="B830" s="8" t="str">
        <f>IF(ISNUMBER('Change in Employment'!I837), TEXT('Change in Employment'!I837, "0"), "")</f>
        <v/>
      </c>
      <c r="C830" s="8" t="str">
        <f>IF(ISNUMBER('Change in Employment'!J837),TEXT('Change in Employment'!J837, "0"),"")</f>
        <v/>
      </c>
      <c r="D830" s="8" t="str">
        <f>IF(ISNUMBER('Change in Employment'!G837),'Change in Employment'!G837,"")</f>
        <v/>
      </c>
    </row>
    <row r="831" spans="1:4">
      <c r="A831" t="str">
        <f>TEXT(IF('Change in Employment'!B838&lt;&gt;0,DATE(YEAR('Change in Employment'!B838), MONTH('Change in Employment'!B838), 1), ""), "mm/dd/yyyy")</f>
        <v/>
      </c>
      <c r="B831" s="8" t="str">
        <f>IF(ISNUMBER('Change in Employment'!I838), TEXT('Change in Employment'!I838, "0"), "")</f>
        <v/>
      </c>
      <c r="C831" s="8" t="str">
        <f>IF(ISNUMBER('Change in Employment'!J838),TEXT('Change in Employment'!J838, "0"),"")</f>
        <v/>
      </c>
      <c r="D831" s="8" t="str">
        <f>IF(ISNUMBER('Change in Employment'!G838),'Change in Employment'!G838,"")</f>
        <v/>
      </c>
    </row>
    <row r="832" spans="1:4">
      <c r="A832" t="str">
        <f>TEXT(IF('Change in Employment'!B839&lt;&gt;0,DATE(YEAR('Change in Employment'!B839), MONTH('Change in Employment'!B839), 1), ""), "mm/dd/yyyy")</f>
        <v/>
      </c>
      <c r="B832" s="8" t="str">
        <f>IF(ISNUMBER('Change in Employment'!I839), TEXT('Change in Employment'!I839, "0"), "")</f>
        <v/>
      </c>
      <c r="C832" s="8" t="str">
        <f>IF(ISNUMBER('Change in Employment'!J839),TEXT('Change in Employment'!J839, "0"),"")</f>
        <v/>
      </c>
      <c r="D832" s="8" t="str">
        <f>IF(ISNUMBER('Change in Employment'!G839),'Change in Employment'!G839,"")</f>
        <v/>
      </c>
    </row>
    <row r="833" spans="1:4">
      <c r="A833" t="str">
        <f>TEXT(IF('Change in Employment'!B840&lt;&gt;0,DATE(YEAR('Change in Employment'!B840), MONTH('Change in Employment'!B840), 1), ""), "mm/dd/yyyy")</f>
        <v/>
      </c>
      <c r="B833" s="8" t="str">
        <f>IF(ISNUMBER('Change in Employment'!I840), TEXT('Change in Employment'!I840, "0"), "")</f>
        <v/>
      </c>
      <c r="C833" s="8" t="str">
        <f>IF(ISNUMBER('Change in Employment'!J840),TEXT('Change in Employment'!J840, "0"),"")</f>
        <v/>
      </c>
      <c r="D833" s="8" t="str">
        <f>IF(ISNUMBER('Change in Employment'!G840),'Change in Employment'!G840,"")</f>
        <v/>
      </c>
    </row>
    <row r="834" spans="1:4">
      <c r="A834" t="str">
        <f>TEXT(IF('Change in Employment'!B841&lt;&gt;0,DATE(YEAR('Change in Employment'!B841), MONTH('Change in Employment'!B841), 1), ""), "mm/dd/yyyy")</f>
        <v/>
      </c>
      <c r="B834" s="8" t="str">
        <f>IF(ISNUMBER('Change in Employment'!I841), TEXT('Change in Employment'!I841, "0"), "")</f>
        <v/>
      </c>
      <c r="C834" s="8" t="str">
        <f>IF(ISNUMBER('Change in Employment'!J841),TEXT('Change in Employment'!J841, "0"),"")</f>
        <v/>
      </c>
      <c r="D834" s="8" t="str">
        <f>IF(ISNUMBER('Change in Employment'!G841),'Change in Employment'!G841,"")</f>
        <v/>
      </c>
    </row>
    <row r="835" spans="1:4">
      <c r="A835" t="str">
        <f>TEXT(IF('Change in Employment'!B842&lt;&gt;0,DATE(YEAR('Change in Employment'!B842), MONTH('Change in Employment'!B842), 1), ""), "mm/dd/yyyy")</f>
        <v/>
      </c>
      <c r="B835" s="8" t="str">
        <f>IF(ISNUMBER('Change in Employment'!I842), TEXT('Change in Employment'!I842, "0"), "")</f>
        <v/>
      </c>
      <c r="C835" s="8" t="str">
        <f>IF(ISNUMBER('Change in Employment'!J842),TEXT('Change in Employment'!J842, "0"),"")</f>
        <v/>
      </c>
      <c r="D835" s="8" t="str">
        <f>IF(ISNUMBER('Change in Employment'!G842),'Change in Employment'!G842,"")</f>
        <v/>
      </c>
    </row>
    <row r="836" spans="1:4">
      <c r="A836" t="str">
        <f>TEXT(IF('Change in Employment'!B843&lt;&gt;0,DATE(YEAR('Change in Employment'!B843), MONTH('Change in Employment'!B843), 1), ""), "mm/dd/yyyy")</f>
        <v/>
      </c>
      <c r="B836" s="8" t="str">
        <f>IF(ISNUMBER('Change in Employment'!I843), TEXT('Change in Employment'!I843, "0"), "")</f>
        <v/>
      </c>
      <c r="C836" s="8" t="str">
        <f>IF(ISNUMBER('Change in Employment'!J843),TEXT('Change in Employment'!J843, "0"),"")</f>
        <v/>
      </c>
      <c r="D836" s="8" t="str">
        <f>IF(ISNUMBER('Change in Employment'!G843),'Change in Employment'!G843,"")</f>
        <v/>
      </c>
    </row>
    <row r="837" spans="1:4">
      <c r="A837" t="str">
        <f>TEXT(IF('Change in Employment'!B844&lt;&gt;0,DATE(YEAR('Change in Employment'!B844), MONTH('Change in Employment'!B844), 1), ""), "mm/dd/yyyy")</f>
        <v/>
      </c>
      <c r="B837" s="8" t="str">
        <f>IF(ISNUMBER('Change in Employment'!I844), TEXT('Change in Employment'!I844, "0"), "")</f>
        <v/>
      </c>
      <c r="C837" s="8" t="str">
        <f>IF(ISNUMBER('Change in Employment'!J844),TEXT('Change in Employment'!J844, "0"),"")</f>
        <v/>
      </c>
      <c r="D837" s="8" t="str">
        <f>IF(ISNUMBER('Change in Employment'!G844),'Change in Employment'!G844,"")</f>
        <v/>
      </c>
    </row>
    <row r="838" spans="1:4">
      <c r="A838" t="str">
        <f>TEXT(IF('Change in Employment'!B845&lt;&gt;0,DATE(YEAR('Change in Employment'!B845), MONTH('Change in Employment'!B845), 1), ""), "mm/dd/yyyy")</f>
        <v/>
      </c>
      <c r="B838" s="8" t="str">
        <f>IF(ISNUMBER('Change in Employment'!I845), TEXT('Change in Employment'!I845, "0"), "")</f>
        <v/>
      </c>
      <c r="C838" s="8" t="str">
        <f>IF(ISNUMBER('Change in Employment'!J845),TEXT('Change in Employment'!J845, "0"),"")</f>
        <v/>
      </c>
      <c r="D838" s="8" t="str">
        <f>IF(ISNUMBER('Change in Employment'!G845),'Change in Employment'!G845,"")</f>
        <v/>
      </c>
    </row>
    <row r="839" spans="1:4">
      <c r="A839" t="str">
        <f>TEXT(IF('Change in Employment'!B846&lt;&gt;0,DATE(YEAR('Change in Employment'!B846), MONTH('Change in Employment'!B846), 1), ""), "mm/dd/yyyy")</f>
        <v/>
      </c>
      <c r="B839" s="8" t="str">
        <f>IF(ISNUMBER('Change in Employment'!I846), TEXT('Change in Employment'!I846, "0"), "")</f>
        <v/>
      </c>
      <c r="C839" s="8" t="str">
        <f>IF(ISNUMBER('Change in Employment'!J846),TEXT('Change in Employment'!J846, "0"),"")</f>
        <v/>
      </c>
      <c r="D839" s="8" t="str">
        <f>IF(ISNUMBER('Change in Employment'!G846),'Change in Employment'!G846,"")</f>
        <v/>
      </c>
    </row>
    <row r="840" spans="1:4">
      <c r="A840" t="str">
        <f>TEXT(IF('Change in Employment'!B847&lt;&gt;0,DATE(YEAR('Change in Employment'!B847), MONTH('Change in Employment'!B847), 1), ""), "mm/dd/yyyy")</f>
        <v/>
      </c>
      <c r="B840" s="8" t="str">
        <f>IF(ISNUMBER('Change in Employment'!I847), TEXT('Change in Employment'!I847, "0"), "")</f>
        <v/>
      </c>
      <c r="C840" s="8" t="str">
        <f>IF(ISNUMBER('Change in Employment'!J847),TEXT('Change in Employment'!J847, "0"),"")</f>
        <v/>
      </c>
      <c r="D840" s="8" t="str">
        <f>IF(ISNUMBER('Change in Employment'!G847),'Change in Employment'!G847,"")</f>
        <v/>
      </c>
    </row>
    <row r="841" spans="1:4">
      <c r="A841" t="str">
        <f>TEXT(IF('Change in Employment'!B848&lt;&gt;0,DATE(YEAR('Change in Employment'!B848), MONTH('Change in Employment'!B848), 1), ""), "mm/dd/yyyy")</f>
        <v/>
      </c>
      <c r="B841" s="8" t="str">
        <f>IF(ISNUMBER('Change in Employment'!I848), TEXT('Change in Employment'!I848, "0"), "")</f>
        <v/>
      </c>
      <c r="C841" s="8" t="str">
        <f>IF(ISNUMBER('Change in Employment'!J848),TEXT('Change in Employment'!J848, "0"),"")</f>
        <v/>
      </c>
      <c r="D841" s="8" t="str">
        <f>IF(ISNUMBER('Change in Employment'!G848),'Change in Employment'!G848,"")</f>
        <v/>
      </c>
    </row>
    <row r="842" spans="1:4">
      <c r="A842" t="str">
        <f>TEXT(IF('Change in Employment'!B849&lt;&gt;0,DATE(YEAR('Change in Employment'!B849), MONTH('Change in Employment'!B849), 1), ""), "mm/dd/yyyy")</f>
        <v/>
      </c>
      <c r="B842" s="8" t="str">
        <f>IF(ISNUMBER('Change in Employment'!I849), TEXT('Change in Employment'!I849, "0"), "")</f>
        <v/>
      </c>
      <c r="C842" s="8" t="str">
        <f>IF(ISNUMBER('Change in Employment'!J849),TEXT('Change in Employment'!J849, "0"),"")</f>
        <v/>
      </c>
      <c r="D842" s="8" t="str">
        <f>IF(ISNUMBER('Change in Employment'!G849),'Change in Employment'!G849,"")</f>
        <v/>
      </c>
    </row>
    <row r="843" spans="1:4">
      <c r="A843" t="str">
        <f>TEXT(IF('Change in Employment'!B850&lt;&gt;0,DATE(YEAR('Change in Employment'!B850), MONTH('Change in Employment'!B850), 1), ""), "mm/dd/yyyy")</f>
        <v/>
      </c>
      <c r="B843" s="8" t="str">
        <f>IF(ISNUMBER('Change in Employment'!I850), TEXT('Change in Employment'!I850, "0"), "")</f>
        <v/>
      </c>
      <c r="C843" s="8" t="str">
        <f>IF(ISNUMBER('Change in Employment'!J850),TEXT('Change in Employment'!J850, "0"),"")</f>
        <v/>
      </c>
      <c r="D843" s="8" t="str">
        <f>IF(ISNUMBER('Change in Employment'!G850),'Change in Employment'!G850,"")</f>
        <v/>
      </c>
    </row>
    <row r="844" spans="1:4">
      <c r="A844" t="str">
        <f>TEXT(IF('Change in Employment'!B851&lt;&gt;0,DATE(YEAR('Change in Employment'!B851), MONTH('Change in Employment'!B851), 1), ""), "mm/dd/yyyy")</f>
        <v/>
      </c>
      <c r="B844" s="8" t="str">
        <f>IF(ISNUMBER('Change in Employment'!I851), TEXT('Change in Employment'!I851, "0"), "")</f>
        <v/>
      </c>
      <c r="C844" s="8" t="str">
        <f>IF(ISNUMBER('Change in Employment'!J851),TEXT('Change in Employment'!J851, "0"),"")</f>
        <v/>
      </c>
      <c r="D844" s="8" t="str">
        <f>IF(ISNUMBER('Change in Employment'!G851),'Change in Employment'!G851,"")</f>
        <v/>
      </c>
    </row>
    <row r="845" spans="1:4">
      <c r="A845" t="str">
        <f>TEXT(IF('Change in Employment'!B852&lt;&gt;0,DATE(YEAR('Change in Employment'!B852), MONTH('Change in Employment'!B852), 1), ""), "mm/dd/yyyy")</f>
        <v/>
      </c>
      <c r="B845" s="8" t="str">
        <f>IF(ISNUMBER('Change in Employment'!I852), TEXT('Change in Employment'!I852, "0"), "")</f>
        <v/>
      </c>
      <c r="C845" s="8" t="str">
        <f>IF(ISNUMBER('Change in Employment'!J852),TEXT('Change in Employment'!J852, "0"),"")</f>
        <v/>
      </c>
      <c r="D845" s="8" t="str">
        <f>IF(ISNUMBER('Change in Employment'!G852),'Change in Employment'!G852,"")</f>
        <v/>
      </c>
    </row>
    <row r="846" spans="1:4">
      <c r="A846" t="str">
        <f>TEXT(IF('Change in Employment'!B853&lt;&gt;0,DATE(YEAR('Change in Employment'!B853), MONTH('Change in Employment'!B853), 1), ""), "mm/dd/yyyy")</f>
        <v/>
      </c>
      <c r="B846" s="8" t="str">
        <f>IF(ISNUMBER('Change in Employment'!I853), TEXT('Change in Employment'!I853, "0"), "")</f>
        <v/>
      </c>
      <c r="C846" s="8" t="str">
        <f>IF(ISNUMBER('Change in Employment'!J853),TEXT('Change in Employment'!J853, "0"),"")</f>
        <v/>
      </c>
      <c r="D846" s="8" t="str">
        <f>IF(ISNUMBER('Change in Employment'!G853),'Change in Employment'!G853,"")</f>
        <v/>
      </c>
    </row>
    <row r="847" spans="1:4">
      <c r="A847" t="str">
        <f>TEXT(IF('Change in Employment'!B854&lt;&gt;0,DATE(YEAR('Change in Employment'!B854), MONTH('Change in Employment'!B854), 1), ""), "mm/dd/yyyy")</f>
        <v/>
      </c>
      <c r="B847" s="8" t="str">
        <f>IF(ISNUMBER('Change in Employment'!I854), TEXT('Change in Employment'!I854, "0"), "")</f>
        <v/>
      </c>
      <c r="C847" s="8" t="str">
        <f>IF(ISNUMBER('Change in Employment'!J854),TEXT('Change in Employment'!J854, "0"),"")</f>
        <v/>
      </c>
      <c r="D847" s="8" t="str">
        <f>IF(ISNUMBER('Change in Employment'!G854),'Change in Employment'!G854,"")</f>
        <v/>
      </c>
    </row>
    <row r="848" spans="1:4">
      <c r="A848" t="str">
        <f>TEXT(IF('Change in Employment'!B855&lt;&gt;0,DATE(YEAR('Change in Employment'!B855), MONTH('Change in Employment'!B855), 1), ""), "mm/dd/yyyy")</f>
        <v/>
      </c>
      <c r="B848" s="8" t="str">
        <f>IF(ISNUMBER('Change in Employment'!I855), TEXT('Change in Employment'!I855, "0"), "")</f>
        <v/>
      </c>
      <c r="C848" s="8" t="str">
        <f>IF(ISNUMBER('Change in Employment'!J855),TEXT('Change in Employment'!J855, "0"),"")</f>
        <v/>
      </c>
      <c r="D848" s="8" t="str">
        <f>IF(ISNUMBER('Change in Employment'!G855),'Change in Employment'!G855,"")</f>
        <v/>
      </c>
    </row>
    <row r="849" spans="1:4">
      <c r="A849" t="str">
        <f>TEXT(IF('Change in Employment'!B856&lt;&gt;0,DATE(YEAR('Change in Employment'!B856), MONTH('Change in Employment'!B856), 1), ""), "mm/dd/yyyy")</f>
        <v/>
      </c>
      <c r="B849" s="8" t="str">
        <f>IF(ISNUMBER('Change in Employment'!I856), TEXT('Change in Employment'!I856, "0"), "")</f>
        <v/>
      </c>
      <c r="C849" s="8" t="str">
        <f>IF(ISNUMBER('Change in Employment'!J856),TEXT('Change in Employment'!J856, "0"),"")</f>
        <v/>
      </c>
      <c r="D849" s="8" t="str">
        <f>IF(ISNUMBER('Change in Employment'!G856),'Change in Employment'!G856,"")</f>
        <v/>
      </c>
    </row>
    <row r="850" spans="1:4">
      <c r="A850" t="str">
        <f>TEXT(IF('Change in Employment'!B857&lt;&gt;0,DATE(YEAR('Change in Employment'!B857), MONTH('Change in Employment'!B857), 1), ""), "mm/dd/yyyy")</f>
        <v/>
      </c>
      <c r="B850" s="8" t="str">
        <f>IF(ISNUMBER('Change in Employment'!I857), TEXT('Change in Employment'!I857, "0"), "")</f>
        <v/>
      </c>
      <c r="C850" s="8" t="str">
        <f>IF(ISNUMBER('Change in Employment'!J857),TEXT('Change in Employment'!J857, "0"),"")</f>
        <v/>
      </c>
      <c r="D850" s="8" t="str">
        <f>IF(ISNUMBER('Change in Employment'!G857),'Change in Employment'!G857,"")</f>
        <v/>
      </c>
    </row>
    <row r="851" spans="1:4">
      <c r="A851" t="str">
        <f>TEXT(IF('Change in Employment'!B858&lt;&gt;0,DATE(YEAR('Change in Employment'!B858), MONTH('Change in Employment'!B858), 1), ""), "mm/dd/yyyy")</f>
        <v/>
      </c>
      <c r="B851" s="8" t="str">
        <f>IF(ISNUMBER('Change in Employment'!I858), TEXT('Change in Employment'!I858, "0"), "")</f>
        <v/>
      </c>
      <c r="C851" s="8" t="str">
        <f>IF(ISNUMBER('Change in Employment'!J858),TEXT('Change in Employment'!J858, "0"),"")</f>
        <v/>
      </c>
      <c r="D851" s="8" t="str">
        <f>IF(ISNUMBER('Change in Employment'!G858),'Change in Employment'!G858,"")</f>
        <v/>
      </c>
    </row>
    <row r="852" spans="1:4">
      <c r="A852" t="str">
        <f>TEXT(IF('Change in Employment'!B859&lt;&gt;0,DATE(YEAR('Change in Employment'!B859), MONTH('Change in Employment'!B859), 1), ""), "mm/dd/yyyy")</f>
        <v/>
      </c>
      <c r="B852" s="8" t="str">
        <f>IF(ISNUMBER('Change in Employment'!I859), TEXT('Change in Employment'!I859, "0"), "")</f>
        <v/>
      </c>
      <c r="C852" s="8" t="str">
        <f>IF(ISNUMBER('Change in Employment'!J859),TEXT('Change in Employment'!J859, "0"),"")</f>
        <v/>
      </c>
      <c r="D852" s="8" t="str">
        <f>IF(ISNUMBER('Change in Employment'!G859),'Change in Employment'!G859,"")</f>
        <v/>
      </c>
    </row>
    <row r="853" spans="1:4">
      <c r="A853" t="str">
        <f>TEXT(IF('Change in Employment'!B860&lt;&gt;0,DATE(YEAR('Change in Employment'!B860), MONTH('Change in Employment'!B860), 1), ""), "mm/dd/yyyy")</f>
        <v/>
      </c>
      <c r="B853" s="8" t="str">
        <f>IF(ISNUMBER('Change in Employment'!I860), TEXT('Change in Employment'!I860, "0"), "")</f>
        <v/>
      </c>
      <c r="C853" s="8" t="str">
        <f>IF(ISNUMBER('Change in Employment'!J860),TEXT('Change in Employment'!J860, "0"),"")</f>
        <v/>
      </c>
      <c r="D853" s="8" t="str">
        <f>IF(ISNUMBER('Change in Employment'!G860),'Change in Employment'!G860,"")</f>
        <v/>
      </c>
    </row>
    <row r="854" spans="1:4">
      <c r="A854" t="str">
        <f>TEXT(IF('Change in Employment'!B861&lt;&gt;0,DATE(YEAR('Change in Employment'!B861), MONTH('Change in Employment'!B861), 1), ""), "mm/dd/yyyy")</f>
        <v/>
      </c>
      <c r="B854" s="8" t="str">
        <f>IF(ISNUMBER('Change in Employment'!I861), TEXT('Change in Employment'!I861, "0"), "")</f>
        <v/>
      </c>
      <c r="C854" s="8" t="str">
        <f>IF(ISNUMBER('Change in Employment'!J861),TEXT('Change in Employment'!J861, "0"),"")</f>
        <v/>
      </c>
      <c r="D854" s="8" t="str">
        <f>IF(ISNUMBER('Change in Employment'!G861),'Change in Employment'!G861,"")</f>
        <v/>
      </c>
    </row>
    <row r="855" spans="1:4">
      <c r="A855" t="str">
        <f>TEXT(IF('Change in Employment'!B862&lt;&gt;0,DATE(YEAR('Change in Employment'!B862), MONTH('Change in Employment'!B862), 1), ""), "mm/dd/yyyy")</f>
        <v/>
      </c>
      <c r="B855" s="8" t="str">
        <f>IF(ISNUMBER('Change in Employment'!I862), TEXT('Change in Employment'!I862, "0"), "")</f>
        <v/>
      </c>
      <c r="C855" s="8" t="str">
        <f>IF(ISNUMBER('Change in Employment'!J862),TEXT('Change in Employment'!J862, "0"),"")</f>
        <v/>
      </c>
      <c r="D855" s="8" t="str">
        <f>IF(ISNUMBER('Change in Employment'!G862),'Change in Employment'!G862,"")</f>
        <v/>
      </c>
    </row>
    <row r="856" spans="1:4">
      <c r="A856" t="str">
        <f>TEXT(IF('Change in Employment'!B863&lt;&gt;0,DATE(YEAR('Change in Employment'!B863), MONTH('Change in Employment'!B863), 1), ""), "mm/dd/yyyy")</f>
        <v/>
      </c>
      <c r="B856" s="8" t="str">
        <f>IF(ISNUMBER('Change in Employment'!I863), TEXT('Change in Employment'!I863, "0"), "")</f>
        <v/>
      </c>
      <c r="C856" s="8" t="str">
        <f>IF(ISNUMBER('Change in Employment'!J863),TEXT('Change in Employment'!J863, "0"),"")</f>
        <v/>
      </c>
      <c r="D856" s="8" t="str">
        <f>IF(ISNUMBER('Change in Employment'!G863),'Change in Employment'!G863,"")</f>
        <v/>
      </c>
    </row>
    <row r="857" spans="1:4">
      <c r="A857" t="str">
        <f>TEXT(IF('Change in Employment'!B864&lt;&gt;0,DATE(YEAR('Change in Employment'!B864), MONTH('Change in Employment'!B864), 1), ""), "mm/dd/yyyy")</f>
        <v/>
      </c>
      <c r="B857" s="8" t="str">
        <f>IF(ISNUMBER('Change in Employment'!I864), TEXT('Change in Employment'!I864, "0"), "")</f>
        <v/>
      </c>
      <c r="C857" s="8" t="str">
        <f>IF(ISNUMBER('Change in Employment'!J864),TEXT('Change in Employment'!J864, "0"),"")</f>
        <v/>
      </c>
      <c r="D857" s="8" t="str">
        <f>IF(ISNUMBER('Change in Employment'!G864),'Change in Employment'!G864,"")</f>
        <v/>
      </c>
    </row>
    <row r="858" spans="1:4">
      <c r="A858" t="str">
        <f>TEXT(IF('Change in Employment'!B865&lt;&gt;0,DATE(YEAR('Change in Employment'!B865), MONTH('Change in Employment'!B865), 1), ""), "mm/dd/yyyy")</f>
        <v/>
      </c>
      <c r="B858" s="8" t="str">
        <f>IF(ISNUMBER('Change in Employment'!I865), TEXT('Change in Employment'!I865, "0"), "")</f>
        <v/>
      </c>
      <c r="C858" s="8" t="str">
        <f>IF(ISNUMBER('Change in Employment'!J865),TEXT('Change in Employment'!J865, "0"),"")</f>
        <v/>
      </c>
      <c r="D858" s="8" t="str">
        <f>IF(ISNUMBER('Change in Employment'!G865),'Change in Employment'!G865,"")</f>
        <v/>
      </c>
    </row>
    <row r="859" spans="1:4">
      <c r="A859" t="str">
        <f>TEXT(IF('Change in Employment'!B866&lt;&gt;0,DATE(YEAR('Change in Employment'!B866), MONTH('Change in Employment'!B866), 1), ""), "mm/dd/yyyy")</f>
        <v/>
      </c>
      <c r="B859" s="8" t="str">
        <f>IF(ISNUMBER('Change in Employment'!I866), TEXT('Change in Employment'!I866, "0"), "")</f>
        <v/>
      </c>
      <c r="C859" s="8" t="str">
        <f>IF(ISNUMBER('Change in Employment'!J866),TEXT('Change in Employment'!J866, "0"),"")</f>
        <v/>
      </c>
      <c r="D859" s="8" t="str">
        <f>IF(ISNUMBER('Change in Employment'!G866),'Change in Employment'!G866,"")</f>
        <v/>
      </c>
    </row>
    <row r="860" spans="1:4">
      <c r="A860" t="str">
        <f>TEXT(IF('Change in Employment'!B867&lt;&gt;0,DATE(YEAR('Change in Employment'!B867), MONTH('Change in Employment'!B867), 1), ""), "mm/dd/yyyy")</f>
        <v/>
      </c>
      <c r="B860" s="8" t="str">
        <f>IF(ISNUMBER('Change in Employment'!I867), TEXT('Change in Employment'!I867, "0"), "")</f>
        <v/>
      </c>
      <c r="C860" s="8" t="str">
        <f>IF(ISNUMBER('Change in Employment'!J867),TEXT('Change in Employment'!J867, "0"),"")</f>
        <v/>
      </c>
      <c r="D860" s="8" t="str">
        <f>IF(ISNUMBER('Change in Employment'!G867),'Change in Employment'!G867,"")</f>
        <v/>
      </c>
    </row>
    <row r="861" spans="1:4">
      <c r="A861" t="str">
        <f>TEXT(IF('Change in Employment'!B868&lt;&gt;0,DATE(YEAR('Change in Employment'!B868), MONTH('Change in Employment'!B868), 1), ""), "mm/dd/yyyy")</f>
        <v/>
      </c>
      <c r="B861" s="8" t="str">
        <f>IF(ISNUMBER('Change in Employment'!I868), TEXT('Change in Employment'!I868, "0"), "")</f>
        <v/>
      </c>
      <c r="C861" s="8" t="str">
        <f>IF(ISNUMBER('Change in Employment'!J868),TEXT('Change in Employment'!J868, "0"),"")</f>
        <v/>
      </c>
      <c r="D861" s="8" t="str">
        <f>IF(ISNUMBER('Change in Employment'!G868),'Change in Employment'!G868,"")</f>
        <v/>
      </c>
    </row>
    <row r="862" spans="1:4">
      <c r="A862" t="str">
        <f>TEXT(IF('Change in Employment'!B869&lt;&gt;0,DATE(YEAR('Change in Employment'!B869), MONTH('Change in Employment'!B869), 1), ""), "mm/dd/yyyy")</f>
        <v/>
      </c>
      <c r="B862" s="8" t="str">
        <f>IF(ISNUMBER('Change in Employment'!I869), TEXT('Change in Employment'!I869, "0"), "")</f>
        <v/>
      </c>
      <c r="C862" s="8" t="str">
        <f>IF(ISNUMBER('Change in Employment'!J869),TEXT('Change in Employment'!J869, "0"),"")</f>
        <v/>
      </c>
      <c r="D862" s="8" t="str">
        <f>IF(ISNUMBER('Change in Employment'!G869),'Change in Employment'!G869,"")</f>
        <v/>
      </c>
    </row>
    <row r="863" spans="1:4">
      <c r="A863" t="str">
        <f>TEXT(IF('Change in Employment'!B870&lt;&gt;0,DATE(YEAR('Change in Employment'!B870), MONTH('Change in Employment'!B870), 1), ""), "mm/dd/yyyy")</f>
        <v/>
      </c>
      <c r="B863" s="8" t="str">
        <f>IF(ISNUMBER('Change in Employment'!I870), TEXT('Change in Employment'!I870, "0"), "")</f>
        <v/>
      </c>
      <c r="C863" s="8" t="str">
        <f>IF(ISNUMBER('Change in Employment'!J870),TEXT('Change in Employment'!J870, "0"),"")</f>
        <v/>
      </c>
      <c r="D863" s="8" t="str">
        <f>IF(ISNUMBER('Change in Employment'!G870),'Change in Employment'!G870,"")</f>
        <v/>
      </c>
    </row>
    <row r="864" spans="1:4">
      <c r="A864" t="str">
        <f>TEXT(IF('Change in Employment'!B871&lt;&gt;0,DATE(YEAR('Change in Employment'!B871), MONTH('Change in Employment'!B871), 1), ""), "mm/dd/yyyy")</f>
        <v/>
      </c>
      <c r="B864" s="8" t="str">
        <f>IF(ISNUMBER('Change in Employment'!I871), TEXT('Change in Employment'!I871, "0"), "")</f>
        <v/>
      </c>
      <c r="C864" s="8" t="str">
        <f>IF(ISNUMBER('Change in Employment'!J871),TEXT('Change in Employment'!J871, "0"),"")</f>
        <v/>
      </c>
      <c r="D864" s="8" t="str">
        <f>IF(ISNUMBER('Change in Employment'!G871),'Change in Employment'!G871,"")</f>
        <v/>
      </c>
    </row>
    <row r="865" spans="1:4">
      <c r="A865" t="str">
        <f>TEXT(IF('Change in Employment'!B872&lt;&gt;0,DATE(YEAR('Change in Employment'!B872), MONTH('Change in Employment'!B872), 1), ""), "mm/dd/yyyy")</f>
        <v/>
      </c>
      <c r="B865" s="8" t="str">
        <f>IF(ISNUMBER('Change in Employment'!I872), TEXT('Change in Employment'!I872, "0"), "")</f>
        <v/>
      </c>
      <c r="C865" s="8" t="str">
        <f>IF(ISNUMBER('Change in Employment'!J872),TEXT('Change in Employment'!J872, "0"),"")</f>
        <v/>
      </c>
      <c r="D865" s="8" t="str">
        <f>IF(ISNUMBER('Change in Employment'!G872),'Change in Employment'!G872,"")</f>
        <v/>
      </c>
    </row>
    <row r="866" spans="1:4">
      <c r="A866" t="str">
        <f>TEXT(IF('Change in Employment'!B873&lt;&gt;0,DATE(YEAR('Change in Employment'!B873), MONTH('Change in Employment'!B873), 1), ""), "mm/dd/yyyy")</f>
        <v/>
      </c>
      <c r="B866" s="8" t="str">
        <f>IF(ISNUMBER('Change in Employment'!I873), TEXT('Change in Employment'!I873, "0"), "")</f>
        <v/>
      </c>
      <c r="C866" s="8" t="str">
        <f>IF(ISNUMBER('Change in Employment'!J873),TEXT('Change in Employment'!J873, "0"),"")</f>
        <v/>
      </c>
      <c r="D866" s="8" t="str">
        <f>IF(ISNUMBER('Change in Employment'!G873),'Change in Employment'!G873,"")</f>
        <v/>
      </c>
    </row>
    <row r="867" spans="1:4">
      <c r="A867" t="str">
        <f>TEXT(IF('Change in Employment'!B874&lt;&gt;0,DATE(YEAR('Change in Employment'!B874), MONTH('Change in Employment'!B874), 1), ""), "mm/dd/yyyy")</f>
        <v/>
      </c>
      <c r="B867" s="8" t="str">
        <f>IF(ISNUMBER('Change in Employment'!I874), TEXT('Change in Employment'!I874, "0"), "")</f>
        <v/>
      </c>
      <c r="C867" s="8" t="str">
        <f>IF(ISNUMBER('Change in Employment'!J874),TEXT('Change in Employment'!J874, "0"),"")</f>
        <v/>
      </c>
      <c r="D867" s="8" t="str">
        <f>IF(ISNUMBER('Change in Employment'!G874),'Change in Employment'!G874,"")</f>
        <v/>
      </c>
    </row>
    <row r="868" spans="1:4">
      <c r="A868" t="str">
        <f>TEXT(IF('Change in Employment'!B875&lt;&gt;0,DATE(YEAR('Change in Employment'!B875), MONTH('Change in Employment'!B875), 1), ""), "mm/dd/yyyy")</f>
        <v/>
      </c>
      <c r="B868" s="8" t="str">
        <f>IF(ISNUMBER('Change in Employment'!I875), TEXT('Change in Employment'!I875, "0"), "")</f>
        <v/>
      </c>
      <c r="C868" s="8" t="str">
        <f>IF(ISNUMBER('Change in Employment'!J875),TEXT('Change in Employment'!J875, "0"),"")</f>
        <v/>
      </c>
      <c r="D868" s="8" t="str">
        <f>IF(ISNUMBER('Change in Employment'!G875),'Change in Employment'!G875,"")</f>
        <v/>
      </c>
    </row>
    <row r="869" spans="1:4">
      <c r="A869" t="str">
        <f>TEXT(IF('Change in Employment'!B876&lt;&gt;0,DATE(YEAR('Change in Employment'!B876), MONTH('Change in Employment'!B876), 1), ""), "mm/dd/yyyy")</f>
        <v/>
      </c>
      <c r="B869" s="8" t="str">
        <f>IF(ISNUMBER('Change in Employment'!I876), TEXT('Change in Employment'!I876, "0"), "")</f>
        <v/>
      </c>
      <c r="C869" s="8" t="str">
        <f>IF(ISNUMBER('Change in Employment'!J876),TEXT('Change in Employment'!J876, "0"),"")</f>
        <v/>
      </c>
      <c r="D869" s="8" t="str">
        <f>IF(ISNUMBER('Change in Employment'!G876),'Change in Employment'!G876,"")</f>
        <v/>
      </c>
    </row>
    <row r="870" spans="1:4">
      <c r="A870" t="str">
        <f>TEXT(IF('Change in Employment'!B877&lt;&gt;0,DATE(YEAR('Change in Employment'!B877), MONTH('Change in Employment'!B877), 1), ""), "mm/dd/yyyy")</f>
        <v/>
      </c>
      <c r="B870" s="8" t="str">
        <f>IF(ISNUMBER('Change in Employment'!I877), TEXT('Change in Employment'!I877, "0"), "")</f>
        <v/>
      </c>
      <c r="C870" s="8" t="str">
        <f>IF(ISNUMBER('Change in Employment'!J877),TEXT('Change in Employment'!J877, "0"),"")</f>
        <v/>
      </c>
      <c r="D870" s="8" t="str">
        <f>IF(ISNUMBER('Change in Employment'!G877),'Change in Employment'!G877,"")</f>
        <v/>
      </c>
    </row>
    <row r="871" spans="1:4">
      <c r="A871" t="str">
        <f>TEXT(IF('Change in Employment'!B878&lt;&gt;0,DATE(YEAR('Change in Employment'!B878), MONTH('Change in Employment'!B878), 1), ""), "mm/dd/yyyy")</f>
        <v/>
      </c>
      <c r="B871" s="8" t="str">
        <f>IF(ISNUMBER('Change in Employment'!I878), TEXT('Change in Employment'!I878, "0"), "")</f>
        <v/>
      </c>
      <c r="C871" s="8" t="str">
        <f>IF(ISNUMBER('Change in Employment'!J878),TEXT('Change in Employment'!J878, "0"),"")</f>
        <v/>
      </c>
      <c r="D871" s="8" t="str">
        <f>IF(ISNUMBER('Change in Employment'!G878),'Change in Employment'!G878,"")</f>
        <v/>
      </c>
    </row>
    <row r="872" spans="1:4">
      <c r="A872" t="str">
        <f>TEXT(IF('Change in Employment'!B879&lt;&gt;0,DATE(YEAR('Change in Employment'!B879), MONTH('Change in Employment'!B879), 1), ""), "mm/dd/yyyy")</f>
        <v/>
      </c>
      <c r="B872" s="8" t="str">
        <f>IF(ISNUMBER('Change in Employment'!I879), TEXT('Change in Employment'!I879, "0"), "")</f>
        <v/>
      </c>
      <c r="C872" s="8" t="str">
        <f>IF(ISNUMBER('Change in Employment'!J879),TEXT('Change in Employment'!J879, "0"),"")</f>
        <v/>
      </c>
      <c r="D872" s="8" t="str">
        <f>IF(ISNUMBER('Change in Employment'!G879),'Change in Employment'!G879,"")</f>
        <v/>
      </c>
    </row>
    <row r="873" spans="1:4">
      <c r="A873" t="str">
        <f>TEXT(IF('Change in Employment'!B880&lt;&gt;0,DATE(YEAR('Change in Employment'!B880), MONTH('Change in Employment'!B880), 1), ""), "mm/dd/yyyy")</f>
        <v/>
      </c>
      <c r="B873" s="8" t="str">
        <f>IF(ISNUMBER('Change in Employment'!I880), TEXT('Change in Employment'!I880, "0"), "")</f>
        <v/>
      </c>
      <c r="C873" s="8" t="str">
        <f>IF(ISNUMBER('Change in Employment'!J880),TEXT('Change in Employment'!J880, "0"),"")</f>
        <v/>
      </c>
      <c r="D873" s="8" t="str">
        <f>IF(ISNUMBER('Change in Employment'!G880),'Change in Employment'!G880,"")</f>
        <v/>
      </c>
    </row>
    <row r="874" spans="1:4">
      <c r="A874" t="str">
        <f>TEXT(IF('Change in Employment'!B881&lt;&gt;0,DATE(YEAR('Change in Employment'!B881), MONTH('Change in Employment'!B881), 1), ""), "mm/dd/yyyy")</f>
        <v/>
      </c>
      <c r="B874" s="8" t="str">
        <f>IF(ISNUMBER('Change in Employment'!I881), TEXT('Change in Employment'!I881, "0"), "")</f>
        <v/>
      </c>
      <c r="C874" s="8" t="str">
        <f>IF(ISNUMBER('Change in Employment'!J881),TEXT('Change in Employment'!J881, "0"),"")</f>
        <v/>
      </c>
      <c r="D874" s="8" t="str">
        <f>IF(ISNUMBER('Change in Employment'!G881),'Change in Employment'!G881,"")</f>
        <v/>
      </c>
    </row>
    <row r="875" spans="1:4">
      <c r="A875" t="str">
        <f>TEXT(IF('Change in Employment'!B882&lt;&gt;0,DATE(YEAR('Change in Employment'!B882), MONTH('Change in Employment'!B882), 1), ""), "mm/dd/yyyy")</f>
        <v/>
      </c>
      <c r="B875" s="8" t="str">
        <f>IF(ISNUMBER('Change in Employment'!I882), TEXT('Change in Employment'!I882, "0"), "")</f>
        <v/>
      </c>
      <c r="C875" s="8" t="str">
        <f>IF(ISNUMBER('Change in Employment'!J882),TEXT('Change in Employment'!J882, "0"),"")</f>
        <v/>
      </c>
      <c r="D875" s="8" t="str">
        <f>IF(ISNUMBER('Change in Employment'!G882),'Change in Employment'!G882,"")</f>
        <v/>
      </c>
    </row>
    <row r="876" spans="1:4">
      <c r="A876" t="str">
        <f>TEXT(IF('Change in Employment'!B883&lt;&gt;0,DATE(YEAR('Change in Employment'!B883), MONTH('Change in Employment'!B883), 1), ""), "mm/dd/yyyy")</f>
        <v/>
      </c>
      <c r="B876" s="8" t="str">
        <f>IF(ISNUMBER('Change in Employment'!I883), TEXT('Change in Employment'!I883, "0"), "")</f>
        <v/>
      </c>
      <c r="C876" s="8" t="str">
        <f>IF(ISNUMBER('Change in Employment'!J883),TEXT('Change in Employment'!J883, "0"),"")</f>
        <v/>
      </c>
      <c r="D876" s="8" t="str">
        <f>IF(ISNUMBER('Change in Employment'!G883),'Change in Employment'!G883,"")</f>
        <v/>
      </c>
    </row>
    <row r="877" spans="1:4">
      <c r="A877" t="str">
        <f>TEXT(IF('Change in Employment'!B884&lt;&gt;0,DATE(YEAR('Change in Employment'!B884), MONTH('Change in Employment'!B884), 1), ""), "mm/dd/yyyy")</f>
        <v/>
      </c>
      <c r="B877" s="8" t="str">
        <f>IF(ISNUMBER('Change in Employment'!I884), TEXT('Change in Employment'!I884, "0"), "")</f>
        <v/>
      </c>
      <c r="C877" s="8" t="str">
        <f>IF(ISNUMBER('Change in Employment'!J884),TEXT('Change in Employment'!J884, "0"),"")</f>
        <v/>
      </c>
      <c r="D877" s="8" t="str">
        <f>IF(ISNUMBER('Change in Employment'!G884),'Change in Employment'!G884,"")</f>
        <v/>
      </c>
    </row>
    <row r="878" spans="1:4">
      <c r="A878" t="str">
        <f>TEXT(IF('Change in Employment'!B885&lt;&gt;0,DATE(YEAR('Change in Employment'!B885), MONTH('Change in Employment'!B885), 1), ""), "mm/dd/yyyy")</f>
        <v/>
      </c>
      <c r="B878" s="8" t="str">
        <f>IF(ISNUMBER('Change in Employment'!I885), TEXT('Change in Employment'!I885, "0"), "")</f>
        <v/>
      </c>
      <c r="C878" s="8" t="str">
        <f>IF(ISNUMBER('Change in Employment'!J885),TEXT('Change in Employment'!J885, "0"),"")</f>
        <v/>
      </c>
      <c r="D878" s="8" t="str">
        <f>IF(ISNUMBER('Change in Employment'!G885),'Change in Employment'!G885,"")</f>
        <v/>
      </c>
    </row>
    <row r="879" spans="1:4">
      <c r="A879" t="str">
        <f>TEXT(IF('Change in Employment'!B886&lt;&gt;0,DATE(YEAR('Change in Employment'!B886), MONTH('Change in Employment'!B886), 1), ""), "mm/dd/yyyy")</f>
        <v/>
      </c>
      <c r="B879" s="8" t="str">
        <f>IF(ISNUMBER('Change in Employment'!I886), TEXT('Change in Employment'!I886, "0"), "")</f>
        <v/>
      </c>
      <c r="C879" s="8" t="str">
        <f>IF(ISNUMBER('Change in Employment'!J886),TEXT('Change in Employment'!J886, "0"),"")</f>
        <v/>
      </c>
      <c r="D879" s="8" t="str">
        <f>IF(ISNUMBER('Change in Employment'!G886),'Change in Employment'!G886,"")</f>
        <v/>
      </c>
    </row>
    <row r="880" spans="1:4">
      <c r="A880" t="str">
        <f>TEXT(IF('Change in Employment'!B887&lt;&gt;0,DATE(YEAR('Change in Employment'!B887), MONTH('Change in Employment'!B887), 1), ""), "mm/dd/yyyy")</f>
        <v/>
      </c>
      <c r="B880" s="8" t="str">
        <f>IF(ISNUMBER('Change in Employment'!I887), TEXT('Change in Employment'!I887, "0"), "")</f>
        <v/>
      </c>
      <c r="C880" s="8" t="str">
        <f>IF(ISNUMBER('Change in Employment'!J887),TEXT('Change in Employment'!J887, "0"),"")</f>
        <v/>
      </c>
      <c r="D880" s="8" t="str">
        <f>IF(ISNUMBER('Change in Employment'!G887),'Change in Employment'!G887,"")</f>
        <v/>
      </c>
    </row>
    <row r="881" spans="1:4">
      <c r="A881" t="str">
        <f>TEXT(IF('Change in Employment'!B888&lt;&gt;0,DATE(YEAR('Change in Employment'!B888), MONTH('Change in Employment'!B888), 1), ""), "mm/dd/yyyy")</f>
        <v/>
      </c>
      <c r="B881" s="8" t="str">
        <f>IF(ISNUMBER('Change in Employment'!I888), TEXT('Change in Employment'!I888, "0"), "")</f>
        <v/>
      </c>
      <c r="C881" s="8" t="str">
        <f>IF(ISNUMBER('Change in Employment'!J888),TEXT('Change in Employment'!J888, "0"),"")</f>
        <v/>
      </c>
      <c r="D881" s="8" t="str">
        <f>IF(ISNUMBER('Change in Employment'!G888),'Change in Employment'!G888,"")</f>
        <v/>
      </c>
    </row>
    <row r="882" spans="1:4">
      <c r="A882" t="str">
        <f>TEXT(IF('Change in Employment'!B889&lt;&gt;0,DATE(YEAR('Change in Employment'!B889), MONTH('Change in Employment'!B889), 1), ""), "mm/dd/yyyy")</f>
        <v/>
      </c>
      <c r="B882" s="8" t="str">
        <f>IF(ISNUMBER('Change in Employment'!I889), TEXT('Change in Employment'!I889, "0"), "")</f>
        <v/>
      </c>
      <c r="C882" s="8" t="str">
        <f>IF(ISNUMBER('Change in Employment'!J889),TEXT('Change in Employment'!J889, "0"),"")</f>
        <v/>
      </c>
      <c r="D882" s="8" t="str">
        <f>IF(ISNUMBER('Change in Employment'!G889),'Change in Employment'!G889,"")</f>
        <v/>
      </c>
    </row>
    <row r="883" spans="1:4">
      <c r="A883" t="str">
        <f>TEXT(IF('Change in Employment'!B890&lt;&gt;0,DATE(YEAR('Change in Employment'!B890), MONTH('Change in Employment'!B890), 1), ""), "mm/dd/yyyy")</f>
        <v/>
      </c>
      <c r="B883" s="8" t="str">
        <f>IF(ISNUMBER('Change in Employment'!I890), TEXT('Change in Employment'!I890, "0"), "")</f>
        <v/>
      </c>
      <c r="C883" s="8" t="str">
        <f>IF(ISNUMBER('Change in Employment'!J890),TEXT('Change in Employment'!J890, "0"),"")</f>
        <v/>
      </c>
      <c r="D883" s="8" t="str">
        <f>IF(ISNUMBER('Change in Employment'!G890),'Change in Employment'!G890,"")</f>
        <v/>
      </c>
    </row>
    <row r="884" spans="1:4">
      <c r="A884" t="str">
        <f>TEXT(IF('Change in Employment'!B891&lt;&gt;0,DATE(YEAR('Change in Employment'!B891), MONTH('Change in Employment'!B891), 1), ""), "mm/dd/yyyy")</f>
        <v/>
      </c>
      <c r="B884" s="8" t="str">
        <f>IF(ISNUMBER('Change in Employment'!I891), TEXT('Change in Employment'!I891, "0"), "")</f>
        <v/>
      </c>
      <c r="C884" s="8" t="str">
        <f>IF(ISNUMBER('Change in Employment'!J891),TEXT('Change in Employment'!J891, "0"),"")</f>
        <v/>
      </c>
      <c r="D884" s="8" t="str">
        <f>IF(ISNUMBER('Change in Employment'!G891),'Change in Employment'!G891,"")</f>
        <v/>
      </c>
    </row>
    <row r="885" spans="1:4">
      <c r="A885" t="str">
        <f>TEXT(IF('Change in Employment'!B892&lt;&gt;0,DATE(YEAR('Change in Employment'!B892), MONTH('Change in Employment'!B892), 1), ""), "mm/dd/yyyy")</f>
        <v/>
      </c>
      <c r="B885" s="8" t="str">
        <f>IF(ISNUMBER('Change in Employment'!I892), TEXT('Change in Employment'!I892, "0"), "")</f>
        <v/>
      </c>
      <c r="C885" s="8" t="str">
        <f>IF(ISNUMBER('Change in Employment'!J892),TEXT('Change in Employment'!J892, "0"),"")</f>
        <v/>
      </c>
      <c r="D885" s="8" t="str">
        <f>IF(ISNUMBER('Change in Employment'!G892),'Change in Employment'!G892,"")</f>
        <v/>
      </c>
    </row>
    <row r="886" spans="1:4">
      <c r="A886" t="str">
        <f>TEXT(IF('Change in Employment'!B893&lt;&gt;0,DATE(YEAR('Change in Employment'!B893), MONTH('Change in Employment'!B893), 1), ""), "mm/dd/yyyy")</f>
        <v/>
      </c>
      <c r="B886" s="8" t="str">
        <f>IF(ISNUMBER('Change in Employment'!I893), TEXT('Change in Employment'!I893, "0"), "")</f>
        <v/>
      </c>
      <c r="C886" s="8" t="str">
        <f>IF(ISNUMBER('Change in Employment'!J893),TEXT('Change in Employment'!J893, "0"),"")</f>
        <v/>
      </c>
      <c r="D886" s="8" t="str">
        <f>IF(ISNUMBER('Change in Employment'!G893),'Change in Employment'!G893,"")</f>
        <v/>
      </c>
    </row>
    <row r="887" spans="1:4">
      <c r="A887" t="str">
        <f>TEXT(IF('Change in Employment'!B894&lt;&gt;0,DATE(YEAR('Change in Employment'!B894), MONTH('Change in Employment'!B894), 1), ""), "mm/dd/yyyy")</f>
        <v/>
      </c>
      <c r="B887" s="8" t="str">
        <f>IF(ISNUMBER('Change in Employment'!I894), TEXT('Change in Employment'!I894, "0"), "")</f>
        <v/>
      </c>
      <c r="C887" s="8" t="str">
        <f>IF(ISNUMBER('Change in Employment'!J894),TEXT('Change in Employment'!J894, "0"),"")</f>
        <v/>
      </c>
      <c r="D887" s="8" t="str">
        <f>IF(ISNUMBER('Change in Employment'!G894),'Change in Employment'!G894,"")</f>
        <v/>
      </c>
    </row>
    <row r="888" spans="1:4">
      <c r="A888" t="str">
        <f>TEXT(IF('Change in Employment'!B895&lt;&gt;0,DATE(YEAR('Change in Employment'!B895), MONTH('Change in Employment'!B895), 1), ""), "mm/dd/yyyy")</f>
        <v/>
      </c>
      <c r="B888" s="8" t="str">
        <f>IF(ISNUMBER('Change in Employment'!I895), TEXT('Change in Employment'!I895, "0"), "")</f>
        <v/>
      </c>
      <c r="C888" s="8" t="str">
        <f>IF(ISNUMBER('Change in Employment'!J895),TEXT('Change in Employment'!J895, "0"),"")</f>
        <v/>
      </c>
      <c r="D888" s="8" t="str">
        <f>IF(ISNUMBER('Change in Employment'!G895),'Change in Employment'!G895,"")</f>
        <v/>
      </c>
    </row>
    <row r="889" spans="1:4">
      <c r="A889" t="str">
        <f>TEXT(IF('Change in Employment'!B896&lt;&gt;0,DATE(YEAR('Change in Employment'!B896), MONTH('Change in Employment'!B896), 1), ""), "mm/dd/yyyy")</f>
        <v/>
      </c>
      <c r="B889" s="8" t="str">
        <f>IF(ISNUMBER('Change in Employment'!I896), TEXT('Change in Employment'!I896, "0"), "")</f>
        <v/>
      </c>
      <c r="C889" s="8" t="str">
        <f>IF(ISNUMBER('Change in Employment'!J896),TEXT('Change in Employment'!J896, "0"),"")</f>
        <v/>
      </c>
      <c r="D889" s="8" t="str">
        <f>IF(ISNUMBER('Change in Employment'!G896),'Change in Employment'!G896,"")</f>
        <v/>
      </c>
    </row>
    <row r="890" spans="1:4">
      <c r="A890" t="str">
        <f>TEXT(IF('Change in Employment'!B897&lt;&gt;0,DATE(YEAR('Change in Employment'!B897), MONTH('Change in Employment'!B897), 1), ""), "mm/dd/yyyy")</f>
        <v/>
      </c>
      <c r="B890" s="8" t="str">
        <f>IF(ISNUMBER('Change in Employment'!I897), TEXT('Change in Employment'!I897, "0"), "")</f>
        <v/>
      </c>
      <c r="C890" s="8" t="str">
        <f>IF(ISNUMBER('Change in Employment'!J897),TEXT('Change in Employment'!J897, "0"),"")</f>
        <v/>
      </c>
      <c r="D890" s="8" t="str">
        <f>IF(ISNUMBER('Change in Employment'!G897),'Change in Employment'!G897,"")</f>
        <v/>
      </c>
    </row>
    <row r="891" spans="1:4">
      <c r="A891" t="str">
        <f>TEXT(IF('Change in Employment'!B898&lt;&gt;0,DATE(YEAR('Change in Employment'!B898), MONTH('Change in Employment'!B898), 1), ""), "mm/dd/yyyy")</f>
        <v/>
      </c>
      <c r="B891" s="8" t="str">
        <f>IF(ISNUMBER('Change in Employment'!I898), TEXT('Change in Employment'!I898, "0"), "")</f>
        <v/>
      </c>
      <c r="C891" s="8" t="str">
        <f>IF(ISNUMBER('Change in Employment'!J898),TEXT('Change in Employment'!J898, "0"),"")</f>
        <v/>
      </c>
      <c r="D891" s="8" t="str">
        <f>IF(ISNUMBER('Change in Employment'!G898),'Change in Employment'!G898,"")</f>
        <v/>
      </c>
    </row>
    <row r="892" spans="1:4">
      <c r="A892" t="str">
        <f>TEXT(IF('Change in Employment'!B899&lt;&gt;0,DATE(YEAR('Change in Employment'!B899), MONTH('Change in Employment'!B899), 1), ""), "mm/dd/yyyy")</f>
        <v/>
      </c>
      <c r="B892" s="8" t="str">
        <f>IF(ISNUMBER('Change in Employment'!I899), TEXT('Change in Employment'!I899, "0"), "")</f>
        <v/>
      </c>
      <c r="C892" s="8" t="str">
        <f>IF(ISNUMBER('Change in Employment'!J899),TEXT('Change in Employment'!J899, "0"),"")</f>
        <v/>
      </c>
      <c r="D892" s="8" t="str">
        <f>IF(ISNUMBER('Change in Employment'!G899),'Change in Employment'!G899,"")</f>
        <v/>
      </c>
    </row>
    <row r="893" spans="1:4">
      <c r="A893" t="str">
        <f>TEXT(IF('Change in Employment'!B900&lt;&gt;0,DATE(YEAR('Change in Employment'!B900), MONTH('Change in Employment'!B900), 1), ""), "mm/dd/yyyy")</f>
        <v/>
      </c>
      <c r="B893" s="8" t="str">
        <f>IF(ISNUMBER('Change in Employment'!I900), TEXT('Change in Employment'!I900, "0"), "")</f>
        <v/>
      </c>
      <c r="C893" s="8" t="str">
        <f>IF(ISNUMBER('Change in Employment'!J900),TEXT('Change in Employment'!J900, "0"),"")</f>
        <v/>
      </c>
      <c r="D893" s="8" t="str">
        <f>IF(ISNUMBER('Change in Employment'!G900),'Change in Employment'!G900,"")</f>
        <v/>
      </c>
    </row>
    <row r="894" spans="1:4">
      <c r="A894" t="str">
        <f>TEXT(IF('Change in Employment'!B901&lt;&gt;0,DATE(YEAR('Change in Employment'!B901), MONTH('Change in Employment'!B901), 1), ""), "mm/dd/yyyy")</f>
        <v/>
      </c>
      <c r="B894" s="8" t="str">
        <f>IF(ISNUMBER('Change in Employment'!I901), TEXT('Change in Employment'!I901, "0"), "")</f>
        <v/>
      </c>
      <c r="C894" s="8" t="str">
        <f>IF(ISNUMBER('Change in Employment'!J901),TEXT('Change in Employment'!J901, "0"),"")</f>
        <v/>
      </c>
      <c r="D894" s="8" t="str">
        <f>IF(ISNUMBER('Change in Employment'!G901),'Change in Employment'!G901,"")</f>
        <v/>
      </c>
    </row>
    <row r="895" spans="1:4">
      <c r="A895" t="str">
        <f>TEXT(IF('Change in Employment'!B902&lt;&gt;0,DATE(YEAR('Change in Employment'!B902), MONTH('Change in Employment'!B902), 1), ""), "mm/dd/yyyy")</f>
        <v/>
      </c>
      <c r="B895" s="8" t="str">
        <f>IF(ISNUMBER('Change in Employment'!I902), TEXT('Change in Employment'!I902, "0"), "")</f>
        <v/>
      </c>
      <c r="C895" s="8" t="str">
        <f>IF(ISNUMBER('Change in Employment'!J902),TEXT('Change in Employment'!J902, "0"),"")</f>
        <v/>
      </c>
      <c r="D895" s="8" t="str">
        <f>IF(ISNUMBER('Change in Employment'!G902),'Change in Employment'!G902,"")</f>
        <v/>
      </c>
    </row>
    <row r="896" spans="1:4">
      <c r="A896" t="str">
        <f>TEXT(IF('Change in Employment'!B903&lt;&gt;0,DATE(YEAR('Change in Employment'!B903), MONTH('Change in Employment'!B903), 1), ""), "mm/dd/yyyy")</f>
        <v/>
      </c>
      <c r="B896" s="8" t="str">
        <f>IF(ISNUMBER('Change in Employment'!I903), TEXT('Change in Employment'!I903, "0"), "")</f>
        <v/>
      </c>
      <c r="C896" s="8" t="str">
        <f>IF(ISNUMBER('Change in Employment'!J903),TEXT('Change in Employment'!J903, "0"),"")</f>
        <v/>
      </c>
      <c r="D896" s="8" t="str">
        <f>IF(ISNUMBER('Change in Employment'!G903),'Change in Employment'!G903,"")</f>
        <v/>
      </c>
    </row>
    <row r="897" spans="1:4">
      <c r="A897" t="str">
        <f>TEXT(IF('Change in Employment'!B904&lt;&gt;0,DATE(YEAR('Change in Employment'!B904), MONTH('Change in Employment'!B904), 1), ""), "mm/dd/yyyy")</f>
        <v/>
      </c>
      <c r="B897" s="8" t="str">
        <f>IF(ISNUMBER('Change in Employment'!I904), TEXT('Change in Employment'!I904, "0"), "")</f>
        <v/>
      </c>
      <c r="C897" s="8" t="str">
        <f>IF(ISNUMBER('Change in Employment'!J904),TEXT('Change in Employment'!J904, "0"),"")</f>
        <v/>
      </c>
      <c r="D897" s="8" t="str">
        <f>IF(ISNUMBER('Change in Employment'!G904),'Change in Employment'!G904,"")</f>
        <v/>
      </c>
    </row>
    <row r="898" spans="1:4">
      <c r="A898" t="str">
        <f>TEXT(IF('Change in Employment'!B905&lt;&gt;0,DATE(YEAR('Change in Employment'!B905), MONTH('Change in Employment'!B905), 1), ""), "mm/dd/yyyy")</f>
        <v/>
      </c>
      <c r="B898" s="8" t="str">
        <f>IF(ISNUMBER('Change in Employment'!I905), TEXT('Change in Employment'!I905, "0"), "")</f>
        <v/>
      </c>
      <c r="C898" s="8" t="str">
        <f>IF(ISNUMBER('Change in Employment'!J905),TEXT('Change in Employment'!J905, "0"),"")</f>
        <v/>
      </c>
      <c r="D898" s="8" t="str">
        <f>IF(ISNUMBER('Change in Employment'!G905),'Change in Employment'!G905,"")</f>
        <v/>
      </c>
    </row>
    <row r="899" spans="1:4">
      <c r="A899" t="str">
        <f>TEXT(IF('Change in Employment'!B906&lt;&gt;0,DATE(YEAR('Change in Employment'!B906), MONTH('Change in Employment'!B906), 1), ""), "mm/dd/yyyy")</f>
        <v/>
      </c>
      <c r="B899" s="8" t="str">
        <f>IF(ISNUMBER('Change in Employment'!I906), TEXT('Change in Employment'!I906, "0"), "")</f>
        <v/>
      </c>
      <c r="C899" s="8" t="str">
        <f>IF(ISNUMBER('Change in Employment'!J906),TEXT('Change in Employment'!J906, "0"),"")</f>
        <v/>
      </c>
      <c r="D899" s="8" t="str">
        <f>IF(ISNUMBER('Change in Employment'!G906),'Change in Employment'!G906,"")</f>
        <v/>
      </c>
    </row>
    <row r="900" spans="1:4">
      <c r="A900" t="str">
        <f>TEXT(IF('Change in Employment'!B907&lt;&gt;0,DATE(YEAR('Change in Employment'!B907), MONTH('Change in Employment'!B907), 1), ""), "mm/dd/yyyy")</f>
        <v/>
      </c>
      <c r="B900" s="8" t="str">
        <f>IF(ISNUMBER('Change in Employment'!I907), TEXT('Change in Employment'!I907, "0"), "")</f>
        <v/>
      </c>
      <c r="C900" s="8" t="str">
        <f>IF(ISNUMBER('Change in Employment'!J907),TEXT('Change in Employment'!J907, "0"),"")</f>
        <v/>
      </c>
      <c r="D900" s="8" t="str">
        <f>IF(ISNUMBER('Change in Employment'!G907),'Change in Employment'!G907,"")</f>
        <v/>
      </c>
    </row>
    <row r="901" spans="1:4">
      <c r="A901" t="str">
        <f>TEXT(IF('Change in Employment'!B908&lt;&gt;0,DATE(YEAR('Change in Employment'!B908), MONTH('Change in Employment'!B908), 1), ""), "mm/dd/yyyy")</f>
        <v/>
      </c>
      <c r="B901" s="8" t="str">
        <f>IF(ISNUMBER('Change in Employment'!I908), TEXT('Change in Employment'!I908, "0"), "")</f>
        <v/>
      </c>
      <c r="C901" s="8" t="str">
        <f>IF(ISNUMBER('Change in Employment'!J908),TEXT('Change in Employment'!J908, "0"),"")</f>
        <v/>
      </c>
      <c r="D901" s="8" t="str">
        <f>IF(ISNUMBER('Change in Employment'!G908),'Change in Employment'!G908,"")</f>
        <v/>
      </c>
    </row>
    <row r="902" spans="1:4">
      <c r="A902" t="str">
        <f>TEXT(IF('Change in Employment'!B909&lt;&gt;0,DATE(YEAR('Change in Employment'!B909), MONTH('Change in Employment'!B909), 1), ""), "mm/dd/yyyy")</f>
        <v/>
      </c>
      <c r="B902" s="8" t="str">
        <f>IF(ISNUMBER('Change in Employment'!I909), TEXT('Change in Employment'!I909, "0"), "")</f>
        <v/>
      </c>
      <c r="C902" s="8" t="str">
        <f>IF(ISNUMBER('Change in Employment'!J909),TEXT('Change in Employment'!J909, "0"),"")</f>
        <v/>
      </c>
      <c r="D902" s="8" t="str">
        <f>IF(ISNUMBER('Change in Employment'!G909),'Change in Employment'!G909,"")</f>
        <v/>
      </c>
    </row>
    <row r="903" spans="1:4">
      <c r="A903" t="str">
        <f>TEXT(IF('Change in Employment'!B910&lt;&gt;0,DATE(YEAR('Change in Employment'!B910), MONTH('Change in Employment'!B910), 1), ""), "mm/dd/yyyy")</f>
        <v/>
      </c>
      <c r="B903" s="8" t="str">
        <f>IF(ISNUMBER('Change in Employment'!I910), TEXT('Change in Employment'!I910, "0"), "")</f>
        <v/>
      </c>
      <c r="C903" s="8" t="str">
        <f>IF(ISNUMBER('Change in Employment'!J910),TEXT('Change in Employment'!J910, "0"),"")</f>
        <v/>
      </c>
      <c r="D903" s="8" t="str">
        <f>IF(ISNUMBER('Change in Employment'!G910),'Change in Employment'!G910,"")</f>
        <v/>
      </c>
    </row>
    <row r="904" spans="1:4">
      <c r="A904" t="str">
        <f>TEXT(IF('Change in Employment'!B911&lt;&gt;0,DATE(YEAR('Change in Employment'!B911), MONTH('Change in Employment'!B911), 1), ""), "mm/dd/yyyy")</f>
        <v/>
      </c>
      <c r="B904" s="8" t="str">
        <f>IF(ISNUMBER('Change in Employment'!I911), TEXT('Change in Employment'!I911, "0"), "")</f>
        <v/>
      </c>
      <c r="C904" s="8" t="str">
        <f>IF(ISNUMBER('Change in Employment'!J911),TEXT('Change in Employment'!J911, "0"),"")</f>
        <v/>
      </c>
      <c r="D904" s="8" t="str">
        <f>IF(ISNUMBER('Change in Employment'!G911),'Change in Employment'!G911,"")</f>
        <v/>
      </c>
    </row>
    <row r="905" spans="1:4">
      <c r="A905" t="str">
        <f>TEXT(IF('Change in Employment'!B912&lt;&gt;0,DATE(YEAR('Change in Employment'!B912), MONTH('Change in Employment'!B912), 1), ""), "mm/dd/yyyy")</f>
        <v/>
      </c>
      <c r="B905" s="8" t="str">
        <f>IF(ISNUMBER('Change in Employment'!I912), TEXT('Change in Employment'!I912, "0"), "")</f>
        <v/>
      </c>
      <c r="C905" s="8" t="str">
        <f>IF(ISNUMBER('Change in Employment'!J912),TEXT('Change in Employment'!J912, "0"),"")</f>
        <v/>
      </c>
      <c r="D905" s="8" t="str">
        <f>IF(ISNUMBER('Change in Employment'!G912),'Change in Employment'!G912,"")</f>
        <v/>
      </c>
    </row>
    <row r="906" spans="1:4">
      <c r="A906" t="str">
        <f>TEXT(IF('Change in Employment'!B913&lt;&gt;0,DATE(YEAR('Change in Employment'!B913), MONTH('Change in Employment'!B913), 1), ""), "mm/dd/yyyy")</f>
        <v/>
      </c>
      <c r="B906" s="8" t="str">
        <f>IF(ISNUMBER('Change in Employment'!I913), TEXT('Change in Employment'!I913, "0"), "")</f>
        <v/>
      </c>
      <c r="C906" s="8" t="str">
        <f>IF(ISNUMBER('Change in Employment'!J913),TEXT('Change in Employment'!J913, "0"),"")</f>
        <v/>
      </c>
      <c r="D906" s="8" t="str">
        <f>IF(ISNUMBER('Change in Employment'!G913),'Change in Employment'!G913,"")</f>
        <v/>
      </c>
    </row>
    <row r="907" spans="1:4">
      <c r="A907" t="str">
        <f>TEXT(IF('Change in Employment'!B914&lt;&gt;0,DATE(YEAR('Change in Employment'!B914), MONTH('Change in Employment'!B914), 1), ""), "mm/dd/yyyy")</f>
        <v/>
      </c>
      <c r="B907" s="8" t="str">
        <f>IF(ISNUMBER('Change in Employment'!I914), TEXT('Change in Employment'!I914, "0"), "")</f>
        <v/>
      </c>
      <c r="C907" s="8" t="str">
        <f>IF(ISNUMBER('Change in Employment'!J914),TEXT('Change in Employment'!J914, "0"),"")</f>
        <v/>
      </c>
      <c r="D907" s="8" t="str">
        <f>IF(ISNUMBER('Change in Employment'!G914),'Change in Employment'!G914,"")</f>
        <v/>
      </c>
    </row>
    <row r="908" spans="1:4">
      <c r="A908" t="str">
        <f>TEXT(IF('Change in Employment'!B915&lt;&gt;0,DATE(YEAR('Change in Employment'!B915), MONTH('Change in Employment'!B915), 1), ""), "mm/dd/yyyy")</f>
        <v/>
      </c>
      <c r="B908" s="8" t="str">
        <f>IF(ISNUMBER('Change in Employment'!I915), TEXT('Change in Employment'!I915, "0"), "")</f>
        <v/>
      </c>
      <c r="C908" s="8" t="str">
        <f>IF(ISNUMBER('Change in Employment'!J915),TEXT('Change in Employment'!J915, "0"),"")</f>
        <v/>
      </c>
      <c r="D908" s="8" t="str">
        <f>IF(ISNUMBER('Change in Employment'!G915),'Change in Employment'!G915,"")</f>
        <v/>
      </c>
    </row>
    <row r="909" spans="1:4">
      <c r="A909" t="str">
        <f>TEXT(IF('Change in Employment'!B916&lt;&gt;0,DATE(YEAR('Change in Employment'!B916), MONTH('Change in Employment'!B916), 1), ""), "mm/dd/yyyy")</f>
        <v/>
      </c>
      <c r="B909" s="8" t="str">
        <f>IF(ISNUMBER('Change in Employment'!I916), TEXT('Change in Employment'!I916, "0"), "")</f>
        <v/>
      </c>
      <c r="C909" s="8" t="str">
        <f>IF(ISNUMBER('Change in Employment'!J916),TEXT('Change in Employment'!J916, "0"),"")</f>
        <v/>
      </c>
      <c r="D909" s="8" t="str">
        <f>IF(ISNUMBER('Change in Employment'!G916),'Change in Employment'!G916,"")</f>
        <v/>
      </c>
    </row>
    <row r="910" spans="1:4">
      <c r="A910" t="str">
        <f>TEXT(IF('Change in Employment'!B917&lt;&gt;0,DATE(YEAR('Change in Employment'!B917), MONTH('Change in Employment'!B917), 1), ""), "mm/dd/yyyy")</f>
        <v/>
      </c>
      <c r="B910" s="8" t="str">
        <f>IF(ISNUMBER('Change in Employment'!I917), TEXT('Change in Employment'!I917, "0"), "")</f>
        <v/>
      </c>
      <c r="C910" s="8" t="str">
        <f>IF(ISNUMBER('Change in Employment'!J917),TEXT('Change in Employment'!J917, "0"),"")</f>
        <v/>
      </c>
      <c r="D910" s="8" t="str">
        <f>IF(ISNUMBER('Change in Employment'!G917),'Change in Employment'!G917,"")</f>
        <v/>
      </c>
    </row>
    <row r="911" spans="1:4">
      <c r="A911" t="str">
        <f>TEXT(IF('Change in Employment'!B918&lt;&gt;0,DATE(YEAR('Change in Employment'!B918), MONTH('Change in Employment'!B918), 1), ""), "mm/dd/yyyy")</f>
        <v/>
      </c>
      <c r="B911" s="8" t="str">
        <f>IF(ISNUMBER('Change in Employment'!I918), TEXT('Change in Employment'!I918, "0"), "")</f>
        <v/>
      </c>
      <c r="C911" s="8" t="str">
        <f>IF(ISNUMBER('Change in Employment'!J918),TEXT('Change in Employment'!J918, "0"),"")</f>
        <v/>
      </c>
      <c r="D911" s="8" t="str">
        <f>IF(ISNUMBER('Change in Employment'!G918),'Change in Employment'!G918,"")</f>
        <v/>
      </c>
    </row>
    <row r="912" spans="1:4">
      <c r="A912" t="str">
        <f>TEXT(IF('Change in Employment'!B919&lt;&gt;0,DATE(YEAR('Change in Employment'!B919), MONTH('Change in Employment'!B919), 1), ""), "mm/dd/yyyy")</f>
        <v/>
      </c>
      <c r="B912" s="8" t="str">
        <f>IF(ISNUMBER('Change in Employment'!I919), TEXT('Change in Employment'!I919, "0"), "")</f>
        <v/>
      </c>
      <c r="C912" s="8" t="str">
        <f>IF(ISNUMBER('Change in Employment'!J919),TEXT('Change in Employment'!J919, "0"),"")</f>
        <v/>
      </c>
      <c r="D912" s="8" t="str">
        <f>IF(ISNUMBER('Change in Employment'!G919),'Change in Employment'!G919,"")</f>
        <v/>
      </c>
    </row>
    <row r="913" spans="1:4">
      <c r="A913" t="str">
        <f>TEXT(IF('Change in Employment'!B920&lt;&gt;0,DATE(YEAR('Change in Employment'!B920), MONTH('Change in Employment'!B920), 1), ""), "mm/dd/yyyy")</f>
        <v/>
      </c>
      <c r="B913" s="8" t="str">
        <f>IF(ISNUMBER('Change in Employment'!I920), TEXT('Change in Employment'!I920, "0"), "")</f>
        <v/>
      </c>
      <c r="C913" s="8" t="str">
        <f>IF(ISNUMBER('Change in Employment'!J920),TEXT('Change in Employment'!J920, "0"),"")</f>
        <v/>
      </c>
      <c r="D913" s="8" t="str">
        <f>IF(ISNUMBER('Change in Employment'!G920),'Change in Employment'!G920,"")</f>
        <v/>
      </c>
    </row>
    <row r="914" spans="1:4">
      <c r="A914" t="str">
        <f>TEXT(IF('Change in Employment'!B921&lt;&gt;0,DATE(YEAR('Change in Employment'!B921), MONTH('Change in Employment'!B921), 1), ""), "mm/dd/yyyy")</f>
        <v/>
      </c>
      <c r="B914" s="8" t="str">
        <f>IF(ISNUMBER('Change in Employment'!I921), TEXT('Change in Employment'!I921, "0"), "")</f>
        <v/>
      </c>
      <c r="C914" s="8" t="str">
        <f>IF(ISNUMBER('Change in Employment'!J921),TEXT('Change in Employment'!J921, "0"),"")</f>
        <v/>
      </c>
      <c r="D914" s="8" t="str">
        <f>IF(ISNUMBER('Change in Employment'!G921),'Change in Employment'!G921,"")</f>
        <v/>
      </c>
    </row>
    <row r="915" spans="1:4">
      <c r="A915" t="str">
        <f>TEXT(IF('Change in Employment'!B922&lt;&gt;0,DATE(YEAR('Change in Employment'!B922), MONTH('Change in Employment'!B922), 1), ""), "mm/dd/yyyy")</f>
        <v/>
      </c>
      <c r="B915" s="8" t="str">
        <f>IF(ISNUMBER('Change in Employment'!I922), TEXT('Change in Employment'!I922, "0"), "")</f>
        <v/>
      </c>
      <c r="C915" s="8" t="str">
        <f>IF(ISNUMBER('Change in Employment'!J922),TEXT('Change in Employment'!J922, "0"),"")</f>
        <v/>
      </c>
      <c r="D915" s="8" t="str">
        <f>IF(ISNUMBER('Change in Employment'!G922),'Change in Employment'!G922,"")</f>
        <v/>
      </c>
    </row>
    <row r="916" spans="1:4">
      <c r="A916" t="str">
        <f>TEXT(IF('Change in Employment'!B923&lt;&gt;0,DATE(YEAR('Change in Employment'!B923), MONTH('Change in Employment'!B923), 1), ""), "mm/dd/yyyy")</f>
        <v/>
      </c>
      <c r="B916" s="8" t="str">
        <f>IF(ISNUMBER('Change in Employment'!I923), TEXT('Change in Employment'!I923, "0"), "")</f>
        <v/>
      </c>
      <c r="C916" s="8" t="str">
        <f>IF(ISNUMBER('Change in Employment'!J923),TEXT('Change in Employment'!J923, "0"),"")</f>
        <v/>
      </c>
      <c r="D916" s="8" t="str">
        <f>IF(ISNUMBER('Change in Employment'!G923),'Change in Employment'!G923,"")</f>
        <v/>
      </c>
    </row>
    <row r="917" spans="1:4">
      <c r="A917" t="str">
        <f>TEXT(IF('Change in Employment'!B924&lt;&gt;0,DATE(YEAR('Change in Employment'!B924), MONTH('Change in Employment'!B924), 1), ""), "mm/dd/yyyy")</f>
        <v/>
      </c>
      <c r="B917" s="8" t="str">
        <f>IF(ISNUMBER('Change in Employment'!I924), TEXT('Change in Employment'!I924, "0"), "")</f>
        <v/>
      </c>
      <c r="C917" s="8" t="str">
        <f>IF(ISNUMBER('Change in Employment'!J924),TEXT('Change in Employment'!J924, "0"),"")</f>
        <v/>
      </c>
      <c r="D917" s="8" t="str">
        <f>IF(ISNUMBER('Change in Employment'!G924),'Change in Employment'!G924,"")</f>
        <v/>
      </c>
    </row>
    <row r="918" spans="1:4">
      <c r="A918" t="str">
        <f>TEXT(IF('Change in Employment'!B925&lt;&gt;0,DATE(YEAR('Change in Employment'!B925), MONTH('Change in Employment'!B925), 1), ""), "mm/dd/yyyy")</f>
        <v/>
      </c>
      <c r="B918" s="8" t="str">
        <f>IF(ISNUMBER('Change in Employment'!I925), TEXT('Change in Employment'!I925, "0"), "")</f>
        <v/>
      </c>
      <c r="C918" s="8" t="str">
        <f>IF(ISNUMBER('Change in Employment'!J925),TEXT('Change in Employment'!J925, "0"),"")</f>
        <v/>
      </c>
      <c r="D918" s="8" t="str">
        <f>IF(ISNUMBER('Change in Employment'!G925),'Change in Employment'!G925,"")</f>
        <v/>
      </c>
    </row>
    <row r="919" spans="1:4">
      <c r="A919" t="str">
        <f>TEXT(IF('Change in Employment'!B926&lt;&gt;0,DATE(YEAR('Change in Employment'!B926), MONTH('Change in Employment'!B926), 1), ""), "mm/dd/yyyy")</f>
        <v/>
      </c>
      <c r="B919" s="8" t="str">
        <f>IF(ISNUMBER('Change in Employment'!I926), TEXT('Change in Employment'!I926, "0"), "")</f>
        <v/>
      </c>
      <c r="C919" s="8" t="str">
        <f>IF(ISNUMBER('Change in Employment'!J926),TEXT('Change in Employment'!J926, "0"),"")</f>
        <v/>
      </c>
      <c r="D919" s="8" t="str">
        <f>IF(ISNUMBER('Change in Employment'!G926),'Change in Employment'!G926,"")</f>
        <v/>
      </c>
    </row>
    <row r="920" spans="1:4">
      <c r="A920" t="str">
        <f>TEXT(IF('Change in Employment'!B927&lt;&gt;0,DATE(YEAR('Change in Employment'!B927), MONTH('Change in Employment'!B927), 1), ""), "mm/dd/yyyy")</f>
        <v/>
      </c>
      <c r="B920" s="8" t="str">
        <f>IF(ISNUMBER('Change in Employment'!I927), TEXT('Change in Employment'!I927, "0"), "")</f>
        <v/>
      </c>
      <c r="C920" s="8" t="str">
        <f>IF(ISNUMBER('Change in Employment'!J927),TEXT('Change in Employment'!J927, "0"),"")</f>
        <v/>
      </c>
      <c r="D920" s="8" t="str">
        <f>IF(ISNUMBER('Change in Employment'!G927),'Change in Employment'!G927,"")</f>
        <v/>
      </c>
    </row>
    <row r="921" spans="1:4">
      <c r="A921" t="str">
        <f>TEXT(IF('Change in Employment'!B928&lt;&gt;0,DATE(YEAR('Change in Employment'!B928), MONTH('Change in Employment'!B928), 1), ""), "mm/dd/yyyy")</f>
        <v/>
      </c>
      <c r="B921" s="8" t="str">
        <f>IF(ISNUMBER('Change in Employment'!I928), TEXT('Change in Employment'!I928, "0"), "")</f>
        <v/>
      </c>
      <c r="C921" s="8" t="str">
        <f>IF(ISNUMBER('Change in Employment'!J928),TEXT('Change in Employment'!J928, "0"),"")</f>
        <v/>
      </c>
      <c r="D921" s="8" t="str">
        <f>IF(ISNUMBER('Change in Employment'!G928),'Change in Employment'!G928,"")</f>
        <v/>
      </c>
    </row>
    <row r="922" spans="1:4">
      <c r="A922" t="str">
        <f>TEXT(IF('Change in Employment'!B929&lt;&gt;0,DATE(YEAR('Change in Employment'!B929), MONTH('Change in Employment'!B929), 1), ""), "mm/dd/yyyy")</f>
        <v/>
      </c>
      <c r="B922" s="8" t="str">
        <f>IF(ISNUMBER('Change in Employment'!I929), TEXT('Change in Employment'!I929, "0"), "")</f>
        <v/>
      </c>
      <c r="C922" s="8" t="str">
        <f>IF(ISNUMBER('Change in Employment'!J929),TEXT('Change in Employment'!J929, "0"),"")</f>
        <v/>
      </c>
      <c r="D922" s="8" t="str">
        <f>IF(ISNUMBER('Change in Employment'!G929),'Change in Employment'!G929,"")</f>
        <v/>
      </c>
    </row>
    <row r="923" spans="1:4">
      <c r="A923" t="str">
        <f>TEXT(IF('Change in Employment'!B930&lt;&gt;0,DATE(YEAR('Change in Employment'!B930), MONTH('Change in Employment'!B930), 1), ""), "mm/dd/yyyy")</f>
        <v/>
      </c>
      <c r="B923" s="8" t="str">
        <f>IF(ISNUMBER('Change in Employment'!I930), TEXT('Change in Employment'!I930, "0"), "")</f>
        <v/>
      </c>
      <c r="C923" s="8" t="str">
        <f>IF(ISNUMBER('Change in Employment'!J930),TEXT('Change in Employment'!J930, "0"),"")</f>
        <v/>
      </c>
      <c r="D923" s="8" t="str">
        <f>IF(ISNUMBER('Change in Employment'!G930),'Change in Employment'!G930,"")</f>
        <v/>
      </c>
    </row>
    <row r="924" spans="1:4">
      <c r="A924" t="str">
        <f>TEXT(IF('Change in Employment'!B931&lt;&gt;0,DATE(YEAR('Change in Employment'!B931), MONTH('Change in Employment'!B931), 1), ""), "mm/dd/yyyy")</f>
        <v/>
      </c>
      <c r="B924" s="8" t="str">
        <f>IF(ISNUMBER('Change in Employment'!I931), TEXT('Change in Employment'!I931, "0"), "")</f>
        <v/>
      </c>
      <c r="C924" s="8" t="str">
        <f>IF(ISNUMBER('Change in Employment'!J931),TEXT('Change in Employment'!J931, "0"),"")</f>
        <v/>
      </c>
      <c r="D924" s="8" t="str">
        <f>IF(ISNUMBER('Change in Employment'!G931),'Change in Employment'!G931,"")</f>
        <v/>
      </c>
    </row>
    <row r="925" spans="1:4">
      <c r="A925" t="str">
        <f>TEXT(IF('Change in Employment'!B932&lt;&gt;0,DATE(YEAR('Change in Employment'!B932), MONTH('Change in Employment'!B932), 1), ""), "mm/dd/yyyy")</f>
        <v/>
      </c>
      <c r="B925" s="8" t="str">
        <f>IF(ISNUMBER('Change in Employment'!I932), TEXT('Change in Employment'!I932, "0"), "")</f>
        <v/>
      </c>
      <c r="C925" s="8" t="str">
        <f>IF(ISNUMBER('Change in Employment'!J932),TEXT('Change in Employment'!J932, "0"),"")</f>
        <v/>
      </c>
      <c r="D925" s="8" t="str">
        <f>IF(ISNUMBER('Change in Employment'!G932),'Change in Employment'!G932,"")</f>
        <v/>
      </c>
    </row>
    <row r="926" spans="1:4">
      <c r="A926" t="str">
        <f>TEXT(IF('Change in Employment'!B933&lt;&gt;0,DATE(YEAR('Change in Employment'!B933), MONTH('Change in Employment'!B933), 1), ""), "mm/dd/yyyy")</f>
        <v/>
      </c>
      <c r="B926" s="8" t="str">
        <f>IF(ISNUMBER('Change in Employment'!I933), TEXT('Change in Employment'!I933, "0"), "")</f>
        <v/>
      </c>
      <c r="C926" s="8" t="str">
        <f>IF(ISNUMBER('Change in Employment'!J933),TEXT('Change in Employment'!J933, "0"),"")</f>
        <v/>
      </c>
      <c r="D926" s="8" t="str">
        <f>IF(ISNUMBER('Change in Employment'!G933),'Change in Employment'!G933,"")</f>
        <v/>
      </c>
    </row>
    <row r="927" spans="1:4">
      <c r="A927" t="str">
        <f>TEXT(IF('Change in Employment'!B934&lt;&gt;0,DATE(YEAR('Change in Employment'!B934), MONTH('Change in Employment'!B934), 1), ""), "mm/dd/yyyy")</f>
        <v/>
      </c>
      <c r="B927" s="8" t="str">
        <f>IF(ISNUMBER('Change in Employment'!I934), TEXT('Change in Employment'!I934, "0"), "")</f>
        <v/>
      </c>
      <c r="C927" s="8" t="str">
        <f>IF(ISNUMBER('Change in Employment'!J934),TEXT('Change in Employment'!J934, "0"),"")</f>
        <v/>
      </c>
      <c r="D927" s="8" t="str">
        <f>IF(ISNUMBER('Change in Employment'!G934),'Change in Employment'!G934,"")</f>
        <v/>
      </c>
    </row>
    <row r="928" spans="1:4">
      <c r="A928" t="str">
        <f>TEXT(IF('Change in Employment'!B935&lt;&gt;0,DATE(YEAR('Change in Employment'!B935), MONTH('Change in Employment'!B935), 1), ""), "mm/dd/yyyy")</f>
        <v/>
      </c>
      <c r="B928" s="8" t="str">
        <f>IF(ISNUMBER('Change in Employment'!I935), TEXT('Change in Employment'!I935, "0"), "")</f>
        <v/>
      </c>
      <c r="C928" s="8" t="str">
        <f>IF(ISNUMBER('Change in Employment'!J935),TEXT('Change in Employment'!J935, "0"),"")</f>
        <v/>
      </c>
      <c r="D928" s="8" t="str">
        <f>IF(ISNUMBER('Change in Employment'!G935),'Change in Employment'!G935,"")</f>
        <v/>
      </c>
    </row>
    <row r="929" spans="1:4">
      <c r="A929" t="str">
        <f>TEXT(IF('Change in Employment'!B936&lt;&gt;0,DATE(YEAR('Change in Employment'!B936), MONTH('Change in Employment'!B936), 1), ""), "mm/dd/yyyy")</f>
        <v/>
      </c>
      <c r="B929" s="8" t="str">
        <f>IF(ISNUMBER('Change in Employment'!I936), TEXT('Change in Employment'!I936, "0"), "")</f>
        <v/>
      </c>
      <c r="C929" s="8" t="str">
        <f>IF(ISNUMBER('Change in Employment'!J936),TEXT('Change in Employment'!J936, "0"),"")</f>
        <v/>
      </c>
      <c r="D929" s="8" t="str">
        <f>IF(ISNUMBER('Change in Employment'!G936),'Change in Employment'!G936,"")</f>
        <v/>
      </c>
    </row>
    <row r="930" spans="1:4">
      <c r="A930" t="str">
        <f>TEXT(IF('Change in Employment'!B937&lt;&gt;0,DATE(YEAR('Change in Employment'!B937), MONTH('Change in Employment'!B937), 1), ""), "mm/dd/yyyy")</f>
        <v/>
      </c>
      <c r="B930" s="8" t="str">
        <f>IF(ISNUMBER('Change in Employment'!I937), TEXT('Change in Employment'!I937, "0"), "")</f>
        <v/>
      </c>
      <c r="C930" s="8" t="str">
        <f>IF(ISNUMBER('Change in Employment'!J937),TEXT('Change in Employment'!J937, "0"),"")</f>
        <v/>
      </c>
      <c r="D930" s="8" t="str">
        <f>IF(ISNUMBER('Change in Employment'!G937),'Change in Employment'!G937,"")</f>
        <v/>
      </c>
    </row>
    <row r="931" spans="1:4">
      <c r="A931" t="str">
        <f>TEXT(IF('Change in Employment'!B938&lt;&gt;0,DATE(YEAR('Change in Employment'!B938), MONTH('Change in Employment'!B938), 1), ""), "mm/dd/yyyy")</f>
        <v/>
      </c>
      <c r="B931" s="8" t="str">
        <f>IF(ISNUMBER('Change in Employment'!I938), TEXT('Change in Employment'!I938, "0"), "")</f>
        <v/>
      </c>
      <c r="C931" s="8" t="str">
        <f>IF(ISNUMBER('Change in Employment'!J938),TEXT('Change in Employment'!J938, "0"),"")</f>
        <v/>
      </c>
      <c r="D931" s="8" t="str">
        <f>IF(ISNUMBER('Change in Employment'!G938),'Change in Employment'!G938,"")</f>
        <v/>
      </c>
    </row>
    <row r="932" spans="1:4">
      <c r="A932" t="str">
        <f>TEXT(IF('Change in Employment'!B939&lt;&gt;0,DATE(YEAR('Change in Employment'!B939), MONTH('Change in Employment'!B939), 1), ""), "mm/dd/yyyy")</f>
        <v/>
      </c>
      <c r="B932" s="8" t="str">
        <f>IF(ISNUMBER('Change in Employment'!I939), TEXT('Change in Employment'!I939, "0"), "")</f>
        <v/>
      </c>
      <c r="C932" s="8" t="str">
        <f>IF(ISNUMBER('Change in Employment'!J939),TEXT('Change in Employment'!J939, "0"),"")</f>
        <v/>
      </c>
      <c r="D932" s="8" t="str">
        <f>IF(ISNUMBER('Change in Employment'!G939),'Change in Employment'!G939,"")</f>
        <v/>
      </c>
    </row>
    <row r="933" spans="1:4">
      <c r="A933" t="str">
        <f>TEXT(IF('Change in Employment'!B940&lt;&gt;0,DATE(YEAR('Change in Employment'!B940), MONTH('Change in Employment'!B940), 1), ""), "mm/dd/yyyy")</f>
        <v/>
      </c>
      <c r="B933" s="8" t="str">
        <f>IF(ISNUMBER('Change in Employment'!I940), TEXT('Change in Employment'!I940, "0"), "")</f>
        <v/>
      </c>
      <c r="C933" s="8" t="str">
        <f>IF(ISNUMBER('Change in Employment'!J940),TEXT('Change in Employment'!J940, "0"),"")</f>
        <v/>
      </c>
      <c r="D933" s="8" t="str">
        <f>IF(ISNUMBER('Change in Employment'!G940),'Change in Employment'!G940,"")</f>
        <v/>
      </c>
    </row>
    <row r="934" spans="1:4">
      <c r="A934" t="str">
        <f>TEXT(IF('Change in Employment'!B941&lt;&gt;0,DATE(YEAR('Change in Employment'!B941), MONTH('Change in Employment'!B941), 1), ""), "mm/dd/yyyy")</f>
        <v/>
      </c>
      <c r="B934" s="8" t="str">
        <f>IF(ISNUMBER('Change in Employment'!I941), TEXT('Change in Employment'!I941, "0"), "")</f>
        <v/>
      </c>
      <c r="C934" s="8" t="str">
        <f>IF(ISNUMBER('Change in Employment'!J941),TEXT('Change in Employment'!J941, "0"),"")</f>
        <v/>
      </c>
      <c r="D934" s="8" t="str">
        <f>IF(ISNUMBER('Change in Employment'!G941),'Change in Employment'!G941,"")</f>
        <v/>
      </c>
    </row>
    <row r="935" spans="1:4">
      <c r="A935" t="str">
        <f>TEXT(IF('Change in Employment'!B942&lt;&gt;0,DATE(YEAR('Change in Employment'!B942), MONTH('Change in Employment'!B942), 1), ""), "mm/dd/yyyy")</f>
        <v/>
      </c>
      <c r="B935" s="8" t="str">
        <f>IF(ISNUMBER('Change in Employment'!I942), TEXT('Change in Employment'!I942, "0"), "")</f>
        <v/>
      </c>
      <c r="C935" s="8" t="str">
        <f>IF(ISNUMBER('Change in Employment'!J942),TEXT('Change in Employment'!J942, "0"),"")</f>
        <v/>
      </c>
      <c r="D935" s="8" t="str">
        <f>IF(ISNUMBER('Change in Employment'!G942),'Change in Employment'!G942,"")</f>
        <v/>
      </c>
    </row>
    <row r="936" spans="1:4">
      <c r="A936" t="str">
        <f>TEXT(IF('Change in Employment'!B943&lt;&gt;0,DATE(YEAR('Change in Employment'!B943), MONTH('Change in Employment'!B943), 1), ""), "mm/dd/yyyy")</f>
        <v/>
      </c>
      <c r="B936" s="8" t="str">
        <f>IF(ISNUMBER('Change in Employment'!I943), TEXT('Change in Employment'!I943, "0"), "")</f>
        <v/>
      </c>
      <c r="C936" s="8" t="str">
        <f>IF(ISNUMBER('Change in Employment'!J943),TEXT('Change in Employment'!J943, "0"),"")</f>
        <v/>
      </c>
      <c r="D936" s="8" t="str">
        <f>IF(ISNUMBER('Change in Employment'!G943),'Change in Employment'!G943,"")</f>
        <v/>
      </c>
    </row>
    <row r="937" spans="1:4">
      <c r="A937" t="str">
        <f>TEXT(IF('Change in Employment'!B944&lt;&gt;0,DATE(YEAR('Change in Employment'!B944), MONTH('Change in Employment'!B944), 1), ""), "mm/dd/yyyy")</f>
        <v/>
      </c>
      <c r="B937" s="8" t="str">
        <f>IF(ISNUMBER('Change in Employment'!I944), TEXT('Change in Employment'!I944, "0"), "")</f>
        <v/>
      </c>
      <c r="C937" s="8" t="str">
        <f>IF(ISNUMBER('Change in Employment'!J944),TEXT('Change in Employment'!J944, "0"),"")</f>
        <v/>
      </c>
      <c r="D937" s="8" t="str">
        <f>IF(ISNUMBER('Change in Employment'!G944),'Change in Employment'!G944,"")</f>
        <v/>
      </c>
    </row>
    <row r="938" spans="1:4">
      <c r="A938" t="str">
        <f>TEXT(IF('Change in Employment'!B945&lt;&gt;0,DATE(YEAR('Change in Employment'!B945), MONTH('Change in Employment'!B945), 1), ""), "mm/dd/yyyy")</f>
        <v/>
      </c>
      <c r="B938" s="8" t="str">
        <f>IF(ISNUMBER('Change in Employment'!I945), TEXT('Change in Employment'!I945, "0"), "")</f>
        <v/>
      </c>
      <c r="C938" s="8" t="str">
        <f>IF(ISNUMBER('Change in Employment'!J945),TEXT('Change in Employment'!J945, "0"),"")</f>
        <v/>
      </c>
      <c r="D938" s="8" t="str">
        <f>IF(ISNUMBER('Change in Employment'!G945),'Change in Employment'!G945,"")</f>
        <v/>
      </c>
    </row>
    <row r="939" spans="1:4">
      <c r="A939" t="str">
        <f>TEXT(IF('Change in Employment'!B946&lt;&gt;0,DATE(YEAR('Change in Employment'!B946), MONTH('Change in Employment'!B946), 1), ""), "mm/dd/yyyy")</f>
        <v/>
      </c>
      <c r="B939" s="8" t="str">
        <f>IF(ISNUMBER('Change in Employment'!I946), TEXT('Change in Employment'!I946, "0"), "")</f>
        <v/>
      </c>
      <c r="C939" s="8" t="str">
        <f>IF(ISNUMBER('Change in Employment'!J946),TEXT('Change in Employment'!J946, "0"),"")</f>
        <v/>
      </c>
      <c r="D939" s="8" t="str">
        <f>IF(ISNUMBER('Change in Employment'!G946),'Change in Employment'!G946,"")</f>
        <v/>
      </c>
    </row>
    <row r="940" spans="1:4">
      <c r="A940" t="str">
        <f>TEXT(IF('Change in Employment'!B947&lt;&gt;0,DATE(YEAR('Change in Employment'!B947), MONTH('Change in Employment'!B947), 1), ""), "mm/dd/yyyy")</f>
        <v/>
      </c>
      <c r="B940" s="8" t="str">
        <f>IF(ISNUMBER('Change in Employment'!I947), TEXT('Change in Employment'!I947, "0"), "")</f>
        <v/>
      </c>
      <c r="C940" s="8" t="str">
        <f>IF(ISNUMBER('Change in Employment'!J947),TEXT('Change in Employment'!J947, "0"),"")</f>
        <v/>
      </c>
      <c r="D940" s="8" t="str">
        <f>IF(ISNUMBER('Change in Employment'!G947),'Change in Employment'!G947,"")</f>
        <v/>
      </c>
    </row>
    <row r="941" spans="1:4">
      <c r="A941" t="str">
        <f>TEXT(IF('Change in Employment'!B948&lt;&gt;0,DATE(YEAR('Change in Employment'!B948), MONTH('Change in Employment'!B948), 1), ""), "mm/dd/yyyy")</f>
        <v/>
      </c>
      <c r="B941" s="8" t="str">
        <f>IF(ISNUMBER('Change in Employment'!I948), TEXT('Change in Employment'!I948, "0"), "")</f>
        <v/>
      </c>
      <c r="C941" s="8" t="str">
        <f>IF(ISNUMBER('Change in Employment'!J948),TEXT('Change in Employment'!J948, "0"),"")</f>
        <v/>
      </c>
      <c r="D941" s="8" t="str">
        <f>IF(ISNUMBER('Change in Employment'!G948),'Change in Employment'!G948,"")</f>
        <v/>
      </c>
    </row>
    <row r="942" spans="1:4">
      <c r="A942" t="str">
        <f>TEXT(IF('Change in Employment'!B949&lt;&gt;0,DATE(YEAR('Change in Employment'!B949), MONTH('Change in Employment'!B949), 1), ""), "mm/dd/yyyy")</f>
        <v/>
      </c>
      <c r="B942" s="8" t="str">
        <f>IF(ISNUMBER('Change in Employment'!I949), TEXT('Change in Employment'!I949, "0"), "")</f>
        <v/>
      </c>
      <c r="C942" s="8" t="str">
        <f>IF(ISNUMBER('Change in Employment'!J949),TEXT('Change in Employment'!J949, "0"),"")</f>
        <v/>
      </c>
      <c r="D942" s="8" t="str">
        <f>IF(ISNUMBER('Change in Employment'!G949),'Change in Employment'!G949,"")</f>
        <v/>
      </c>
    </row>
    <row r="943" spans="1:4">
      <c r="A943" t="str">
        <f>TEXT(IF('Change in Employment'!B950&lt;&gt;0,DATE(YEAR('Change in Employment'!B950), MONTH('Change in Employment'!B950), 1), ""), "mm/dd/yyyy")</f>
        <v/>
      </c>
      <c r="B943" s="8" t="str">
        <f>IF(ISNUMBER('Change in Employment'!I950), TEXT('Change in Employment'!I950, "0"), "")</f>
        <v/>
      </c>
      <c r="C943" s="8" t="str">
        <f>IF(ISNUMBER('Change in Employment'!J950),TEXT('Change in Employment'!J950, "0"),"")</f>
        <v/>
      </c>
      <c r="D943" s="8" t="str">
        <f>IF(ISNUMBER('Change in Employment'!G950),'Change in Employment'!G950,"")</f>
        <v/>
      </c>
    </row>
    <row r="944" spans="1:4">
      <c r="A944" t="str">
        <f>TEXT(IF('Change in Employment'!B951&lt;&gt;0,DATE(YEAR('Change in Employment'!B951), MONTH('Change in Employment'!B951), 1), ""), "mm/dd/yyyy")</f>
        <v/>
      </c>
      <c r="B944" s="8" t="str">
        <f>IF(ISNUMBER('Change in Employment'!I951), TEXT('Change in Employment'!I951, "0"), "")</f>
        <v/>
      </c>
      <c r="C944" s="8" t="str">
        <f>IF(ISNUMBER('Change in Employment'!J951),TEXT('Change in Employment'!J951, "0"),"")</f>
        <v/>
      </c>
      <c r="D944" s="8" t="str">
        <f>IF(ISNUMBER('Change in Employment'!G951),'Change in Employment'!G951,"")</f>
        <v/>
      </c>
    </row>
    <row r="945" spans="1:4">
      <c r="A945" t="str">
        <f>TEXT(IF('Change in Employment'!B952&lt;&gt;0,DATE(YEAR('Change in Employment'!B952), MONTH('Change in Employment'!B952), 1), ""), "mm/dd/yyyy")</f>
        <v/>
      </c>
      <c r="B945" s="8" t="str">
        <f>IF(ISNUMBER('Change in Employment'!I952), TEXT('Change in Employment'!I952, "0"), "")</f>
        <v/>
      </c>
      <c r="C945" s="8" t="str">
        <f>IF(ISNUMBER('Change in Employment'!J952),TEXT('Change in Employment'!J952, "0"),"")</f>
        <v/>
      </c>
      <c r="D945" s="8" t="str">
        <f>IF(ISNUMBER('Change in Employment'!G952),'Change in Employment'!G952,"")</f>
        <v/>
      </c>
    </row>
    <row r="946" spans="1:4">
      <c r="A946" t="str">
        <f>TEXT(IF('Change in Employment'!B953&lt;&gt;0,DATE(YEAR('Change in Employment'!B953), MONTH('Change in Employment'!B953), 1), ""), "mm/dd/yyyy")</f>
        <v/>
      </c>
      <c r="B946" s="8" t="str">
        <f>IF(ISNUMBER('Change in Employment'!I953), TEXT('Change in Employment'!I953, "0"), "")</f>
        <v/>
      </c>
      <c r="C946" s="8" t="str">
        <f>IF(ISNUMBER('Change in Employment'!J953),TEXT('Change in Employment'!J953, "0"),"")</f>
        <v/>
      </c>
      <c r="D946" s="8" t="str">
        <f>IF(ISNUMBER('Change in Employment'!G953),'Change in Employment'!G953,"")</f>
        <v/>
      </c>
    </row>
    <row r="947" spans="1:4">
      <c r="A947" t="str">
        <f>TEXT(IF('Change in Employment'!B954&lt;&gt;0,DATE(YEAR('Change in Employment'!B954), MONTH('Change in Employment'!B954), 1), ""), "mm/dd/yyyy")</f>
        <v/>
      </c>
      <c r="B947" s="8" t="str">
        <f>IF(ISNUMBER('Change in Employment'!I954), TEXT('Change in Employment'!I954, "0"), "")</f>
        <v/>
      </c>
      <c r="C947" s="8" t="str">
        <f>IF(ISNUMBER('Change in Employment'!J954),TEXT('Change in Employment'!J954, "0"),"")</f>
        <v/>
      </c>
      <c r="D947" s="8" t="str">
        <f>IF(ISNUMBER('Change in Employment'!G954),'Change in Employment'!G954,"")</f>
        <v/>
      </c>
    </row>
    <row r="948" spans="1:4">
      <c r="A948" t="str">
        <f>TEXT(IF('Change in Employment'!B955&lt;&gt;0,DATE(YEAR('Change in Employment'!B955), MONTH('Change in Employment'!B955), 1), ""), "mm/dd/yyyy")</f>
        <v/>
      </c>
      <c r="B948" s="8" t="str">
        <f>IF(ISNUMBER('Change in Employment'!I955), TEXT('Change in Employment'!I955, "0"), "")</f>
        <v/>
      </c>
      <c r="C948" s="8" t="str">
        <f>IF(ISNUMBER('Change in Employment'!J955),TEXT('Change in Employment'!J955, "0"),"")</f>
        <v/>
      </c>
      <c r="D948" s="8" t="str">
        <f>IF(ISNUMBER('Change in Employment'!G955),'Change in Employment'!G955,"")</f>
        <v/>
      </c>
    </row>
    <row r="949" spans="1:4">
      <c r="A949" t="str">
        <f>TEXT(IF('Change in Employment'!B956&lt;&gt;0,DATE(YEAR('Change in Employment'!B956), MONTH('Change in Employment'!B956), 1), ""), "mm/dd/yyyy")</f>
        <v/>
      </c>
      <c r="B949" s="8" t="str">
        <f>IF(ISNUMBER('Change in Employment'!I956), TEXT('Change in Employment'!I956, "0"), "")</f>
        <v/>
      </c>
      <c r="C949" s="8" t="str">
        <f>IF(ISNUMBER('Change in Employment'!J956),TEXT('Change in Employment'!J956, "0"),"")</f>
        <v/>
      </c>
      <c r="D949" s="8" t="str">
        <f>IF(ISNUMBER('Change in Employment'!G956),'Change in Employment'!G956,"")</f>
        <v/>
      </c>
    </row>
    <row r="950" spans="1:4">
      <c r="A950" t="str">
        <f>TEXT(IF('Change in Employment'!B957&lt;&gt;0,DATE(YEAR('Change in Employment'!B957), MONTH('Change in Employment'!B957), 1), ""), "mm/dd/yyyy")</f>
        <v/>
      </c>
      <c r="B950" s="8" t="str">
        <f>IF(ISNUMBER('Change in Employment'!I957), TEXT('Change in Employment'!I957, "0"), "")</f>
        <v/>
      </c>
      <c r="C950" s="8" t="str">
        <f>IF(ISNUMBER('Change in Employment'!J957),TEXT('Change in Employment'!J957, "0"),"")</f>
        <v/>
      </c>
      <c r="D950" s="8" t="str">
        <f>IF(ISNUMBER('Change in Employment'!G957),'Change in Employment'!G957,"")</f>
        <v/>
      </c>
    </row>
    <row r="951" spans="1:4">
      <c r="A951" t="str">
        <f>TEXT(IF('Change in Employment'!B958&lt;&gt;0,DATE(YEAR('Change in Employment'!B958), MONTH('Change in Employment'!B958), 1), ""), "mm/dd/yyyy")</f>
        <v/>
      </c>
      <c r="B951" s="8" t="str">
        <f>IF(ISNUMBER('Change in Employment'!I958), TEXT('Change in Employment'!I958, "0"), "")</f>
        <v/>
      </c>
      <c r="C951" s="8" t="str">
        <f>IF(ISNUMBER('Change in Employment'!J958),TEXT('Change in Employment'!J958, "0"),"")</f>
        <v/>
      </c>
      <c r="D951" s="8" t="str">
        <f>IF(ISNUMBER('Change in Employment'!G958),'Change in Employment'!G958,"")</f>
        <v/>
      </c>
    </row>
    <row r="952" spans="1:4">
      <c r="A952" t="str">
        <f>TEXT(IF('Change in Employment'!B959&lt;&gt;0,DATE(YEAR('Change in Employment'!B959), MONTH('Change in Employment'!B959), 1), ""), "mm/dd/yyyy")</f>
        <v/>
      </c>
      <c r="B952" s="8" t="str">
        <f>IF(ISNUMBER('Change in Employment'!I959), TEXT('Change in Employment'!I959, "0"), "")</f>
        <v/>
      </c>
      <c r="C952" s="8" t="str">
        <f>IF(ISNUMBER('Change in Employment'!J959),TEXT('Change in Employment'!J959, "0"),"")</f>
        <v/>
      </c>
      <c r="D952" s="8" t="str">
        <f>IF(ISNUMBER('Change in Employment'!G959),'Change in Employment'!G959,"")</f>
        <v/>
      </c>
    </row>
    <row r="953" spans="1:4">
      <c r="A953" t="str">
        <f>TEXT(IF('Change in Employment'!B960&lt;&gt;0,DATE(YEAR('Change in Employment'!B960), MONTH('Change in Employment'!B960), 1), ""), "mm/dd/yyyy")</f>
        <v/>
      </c>
      <c r="B953" s="8" t="str">
        <f>IF(ISNUMBER('Change in Employment'!I960), TEXT('Change in Employment'!I960, "0"), "")</f>
        <v/>
      </c>
      <c r="C953" s="8" t="str">
        <f>IF(ISNUMBER('Change in Employment'!J960),TEXT('Change in Employment'!J960, "0"),"")</f>
        <v/>
      </c>
      <c r="D953" s="8" t="str">
        <f>IF(ISNUMBER('Change in Employment'!G960),'Change in Employment'!G960,"")</f>
        <v/>
      </c>
    </row>
    <row r="954" spans="1:4">
      <c r="A954" t="str">
        <f>TEXT(IF('Change in Employment'!B961&lt;&gt;0,DATE(YEAR('Change in Employment'!B961), MONTH('Change in Employment'!B961), 1), ""), "mm/dd/yyyy")</f>
        <v/>
      </c>
      <c r="B954" s="8" t="str">
        <f>IF(ISNUMBER('Change in Employment'!I961), TEXT('Change in Employment'!I961, "0"), "")</f>
        <v/>
      </c>
      <c r="C954" s="8" t="str">
        <f>IF(ISNUMBER('Change in Employment'!J961),TEXT('Change in Employment'!J961, "0"),"")</f>
        <v/>
      </c>
      <c r="D954" s="8" t="str">
        <f>IF(ISNUMBER('Change in Employment'!G961),'Change in Employment'!G961,"")</f>
        <v/>
      </c>
    </row>
    <row r="955" spans="1:4">
      <c r="A955" t="str">
        <f>TEXT(IF('Change in Employment'!B962&lt;&gt;0,DATE(YEAR('Change in Employment'!B962), MONTH('Change in Employment'!B962), 1), ""), "mm/dd/yyyy")</f>
        <v/>
      </c>
      <c r="B955" s="8" t="str">
        <f>IF(ISNUMBER('Change in Employment'!I962), TEXT('Change in Employment'!I962, "0"), "")</f>
        <v/>
      </c>
      <c r="C955" s="8" t="str">
        <f>IF(ISNUMBER('Change in Employment'!J962),TEXT('Change in Employment'!J962, "0"),"")</f>
        <v/>
      </c>
      <c r="D955" s="8" t="str">
        <f>IF(ISNUMBER('Change in Employment'!G962),'Change in Employment'!G962,"")</f>
        <v/>
      </c>
    </row>
    <row r="956" spans="1:4">
      <c r="A956" t="str">
        <f>TEXT(IF('Change in Employment'!B963&lt;&gt;0,DATE(YEAR('Change in Employment'!B963), MONTH('Change in Employment'!B963), 1), ""), "mm/dd/yyyy")</f>
        <v/>
      </c>
      <c r="B956" s="8" t="str">
        <f>IF(ISNUMBER('Change in Employment'!I963), TEXT('Change in Employment'!I963, "0"), "")</f>
        <v/>
      </c>
      <c r="C956" s="8" t="str">
        <f>IF(ISNUMBER('Change in Employment'!J963),TEXT('Change in Employment'!J963, "0"),"")</f>
        <v/>
      </c>
      <c r="D956" s="8" t="str">
        <f>IF(ISNUMBER('Change in Employment'!G963),'Change in Employment'!G963,"")</f>
        <v/>
      </c>
    </row>
    <row r="957" spans="1:4">
      <c r="A957" t="str">
        <f>TEXT(IF('Change in Employment'!B964&lt;&gt;0,DATE(YEAR('Change in Employment'!B964), MONTH('Change in Employment'!B964), 1), ""), "mm/dd/yyyy")</f>
        <v/>
      </c>
      <c r="B957" s="8" t="str">
        <f>IF(ISNUMBER('Change in Employment'!I964), TEXT('Change in Employment'!I964, "0"), "")</f>
        <v/>
      </c>
      <c r="C957" s="8" t="str">
        <f>IF(ISNUMBER('Change in Employment'!J964),TEXT('Change in Employment'!J964, "0"),"")</f>
        <v/>
      </c>
      <c r="D957" s="8" t="str">
        <f>IF(ISNUMBER('Change in Employment'!G964),'Change in Employment'!G964,"")</f>
        <v/>
      </c>
    </row>
    <row r="958" spans="1:4">
      <c r="A958" t="str">
        <f>TEXT(IF('Change in Employment'!B965&lt;&gt;0,DATE(YEAR('Change in Employment'!B965), MONTH('Change in Employment'!B965), 1), ""), "mm/dd/yyyy")</f>
        <v/>
      </c>
      <c r="B958" s="8" t="str">
        <f>IF(ISNUMBER('Change in Employment'!I965), TEXT('Change in Employment'!I965, "0"), "")</f>
        <v/>
      </c>
      <c r="C958" s="8" t="str">
        <f>IF(ISNUMBER('Change in Employment'!J965),TEXT('Change in Employment'!J965, "0"),"")</f>
        <v/>
      </c>
      <c r="D958" s="8" t="str">
        <f>IF(ISNUMBER('Change in Employment'!G965),'Change in Employment'!G965,"")</f>
        <v/>
      </c>
    </row>
    <row r="959" spans="1:4">
      <c r="A959" t="str">
        <f>TEXT(IF('Change in Employment'!B966&lt;&gt;0,DATE(YEAR('Change in Employment'!B966), MONTH('Change in Employment'!B966), 1), ""), "mm/dd/yyyy")</f>
        <v/>
      </c>
      <c r="B959" s="8" t="str">
        <f>IF(ISNUMBER('Change in Employment'!I966), TEXT('Change in Employment'!I966, "0"), "")</f>
        <v/>
      </c>
      <c r="C959" s="8" t="str">
        <f>IF(ISNUMBER('Change in Employment'!J966),TEXT('Change in Employment'!J966, "0"),"")</f>
        <v/>
      </c>
      <c r="D959" s="8" t="str">
        <f>IF(ISNUMBER('Change in Employment'!G966),'Change in Employment'!G966,"")</f>
        <v/>
      </c>
    </row>
    <row r="960" spans="1:4">
      <c r="A960" t="str">
        <f>TEXT(IF('Change in Employment'!B967&lt;&gt;0,DATE(YEAR('Change in Employment'!B967), MONTH('Change in Employment'!B967), 1), ""), "mm/dd/yyyy")</f>
        <v/>
      </c>
      <c r="B960" s="8" t="str">
        <f>IF(ISNUMBER('Change in Employment'!I967), TEXT('Change in Employment'!I967, "0"), "")</f>
        <v/>
      </c>
      <c r="C960" s="8" t="str">
        <f>IF(ISNUMBER('Change in Employment'!J967),TEXT('Change in Employment'!J967, "0"),"")</f>
        <v/>
      </c>
      <c r="D960" s="8" t="str">
        <f>IF(ISNUMBER('Change in Employment'!G967),'Change in Employment'!G967,"")</f>
        <v/>
      </c>
    </row>
    <row r="961" spans="1:4">
      <c r="A961" t="str">
        <f>TEXT(IF('Change in Employment'!B968&lt;&gt;0,DATE(YEAR('Change in Employment'!B968), MONTH('Change in Employment'!B968), 1), ""), "mm/dd/yyyy")</f>
        <v/>
      </c>
      <c r="B961" s="8" t="str">
        <f>IF(ISNUMBER('Change in Employment'!I968), TEXT('Change in Employment'!I968, "0"), "")</f>
        <v/>
      </c>
      <c r="C961" s="8" t="str">
        <f>IF(ISNUMBER('Change in Employment'!J968),TEXT('Change in Employment'!J968, "0"),"")</f>
        <v/>
      </c>
      <c r="D961" s="8" t="str">
        <f>IF(ISNUMBER('Change in Employment'!G968),'Change in Employment'!G968,"")</f>
        <v/>
      </c>
    </row>
    <row r="962" spans="1:4">
      <c r="A962" t="str">
        <f>TEXT(IF('Change in Employment'!B969&lt;&gt;0,DATE(YEAR('Change in Employment'!B969), MONTH('Change in Employment'!B969), 1), ""), "mm/dd/yyyy")</f>
        <v/>
      </c>
      <c r="B962" s="8" t="str">
        <f>IF(ISNUMBER('Change in Employment'!I969), TEXT('Change in Employment'!I969, "0"), "")</f>
        <v/>
      </c>
      <c r="C962" s="8" t="str">
        <f>IF(ISNUMBER('Change in Employment'!J969),TEXT('Change in Employment'!J969, "0"),"")</f>
        <v/>
      </c>
      <c r="D962" s="8" t="str">
        <f>IF(ISNUMBER('Change in Employment'!G969),'Change in Employment'!G969,"")</f>
        <v/>
      </c>
    </row>
    <row r="963" spans="1:4">
      <c r="A963" t="str">
        <f>TEXT(IF('Change in Employment'!B970&lt;&gt;0,DATE(YEAR('Change in Employment'!B970), MONTH('Change in Employment'!B970), 1), ""), "mm/dd/yyyy")</f>
        <v/>
      </c>
      <c r="B963" s="8" t="str">
        <f>IF(ISNUMBER('Change in Employment'!I970), TEXT('Change in Employment'!I970, "0"), "")</f>
        <v/>
      </c>
      <c r="C963" s="8" t="str">
        <f>IF(ISNUMBER('Change in Employment'!J970),TEXT('Change in Employment'!J970, "0"),"")</f>
        <v/>
      </c>
      <c r="D963" s="8" t="str">
        <f>IF(ISNUMBER('Change in Employment'!G970),'Change in Employment'!G970,"")</f>
        <v/>
      </c>
    </row>
    <row r="964" spans="1:4">
      <c r="A964" t="str">
        <f>TEXT(IF('Change in Employment'!B971&lt;&gt;0,DATE(YEAR('Change in Employment'!B971), MONTH('Change in Employment'!B971), 1), ""), "mm/dd/yyyy")</f>
        <v/>
      </c>
      <c r="B964" s="8" t="str">
        <f>IF(ISNUMBER('Change in Employment'!I971), TEXT('Change in Employment'!I971, "0"), "")</f>
        <v/>
      </c>
      <c r="C964" s="8" t="str">
        <f>IF(ISNUMBER('Change in Employment'!J971),TEXT('Change in Employment'!J971, "0"),"")</f>
        <v/>
      </c>
      <c r="D964" s="8" t="str">
        <f>IF(ISNUMBER('Change in Employment'!G971),'Change in Employment'!G971,"")</f>
        <v/>
      </c>
    </row>
    <row r="965" spans="1:4">
      <c r="A965" t="str">
        <f>TEXT(IF('Change in Employment'!B972&lt;&gt;0,DATE(YEAR('Change in Employment'!B972), MONTH('Change in Employment'!B972), 1), ""), "mm/dd/yyyy")</f>
        <v/>
      </c>
      <c r="B965" s="8" t="str">
        <f>IF(ISNUMBER('Change in Employment'!I972), TEXT('Change in Employment'!I972, "0"), "")</f>
        <v/>
      </c>
      <c r="C965" s="8" t="str">
        <f>IF(ISNUMBER('Change in Employment'!J972),TEXT('Change in Employment'!J972, "0"),"")</f>
        <v/>
      </c>
      <c r="D965" s="8" t="str">
        <f>IF(ISNUMBER('Change in Employment'!G972),'Change in Employment'!G972,"")</f>
        <v/>
      </c>
    </row>
    <row r="966" spans="1:4">
      <c r="A966" t="str">
        <f>TEXT(IF('Change in Employment'!B973&lt;&gt;0,DATE(YEAR('Change in Employment'!B973), MONTH('Change in Employment'!B973), 1), ""), "mm/dd/yyyy")</f>
        <v/>
      </c>
      <c r="B966" s="8" t="str">
        <f>IF(ISNUMBER('Change in Employment'!I973), TEXT('Change in Employment'!I973, "0"), "")</f>
        <v/>
      </c>
      <c r="C966" s="8" t="str">
        <f>IF(ISNUMBER('Change in Employment'!J973),TEXT('Change in Employment'!J973, "0"),"")</f>
        <v/>
      </c>
      <c r="D966" s="8" t="str">
        <f>IF(ISNUMBER('Change in Employment'!G973),'Change in Employment'!G973,"")</f>
        <v/>
      </c>
    </row>
    <row r="967" spans="1:4">
      <c r="A967" t="str">
        <f>TEXT(IF('Change in Employment'!B974&lt;&gt;0,DATE(YEAR('Change in Employment'!B974), MONTH('Change in Employment'!B974), 1), ""), "mm/dd/yyyy")</f>
        <v/>
      </c>
      <c r="B967" s="8" t="str">
        <f>IF(ISNUMBER('Change in Employment'!I974), TEXT('Change in Employment'!I974, "0"), "")</f>
        <v/>
      </c>
      <c r="C967" s="8" t="str">
        <f>IF(ISNUMBER('Change in Employment'!J974),TEXT('Change in Employment'!J974, "0"),"")</f>
        <v/>
      </c>
      <c r="D967" s="8" t="str">
        <f>IF(ISNUMBER('Change in Employment'!G974),'Change in Employment'!G974,"")</f>
        <v/>
      </c>
    </row>
    <row r="968" spans="1:4">
      <c r="A968" t="str">
        <f>TEXT(IF('Change in Employment'!B975&lt;&gt;0,DATE(YEAR('Change in Employment'!B975), MONTH('Change in Employment'!B975), 1), ""), "mm/dd/yyyy")</f>
        <v/>
      </c>
      <c r="B968" s="8" t="str">
        <f>IF(ISNUMBER('Change in Employment'!I975), TEXT('Change in Employment'!I975, "0"), "")</f>
        <v/>
      </c>
      <c r="C968" s="8" t="str">
        <f>IF(ISNUMBER('Change in Employment'!J975),TEXT('Change in Employment'!J975, "0"),"")</f>
        <v/>
      </c>
      <c r="D968" s="8" t="str">
        <f>IF(ISNUMBER('Change in Employment'!G975),'Change in Employment'!G975,"")</f>
        <v/>
      </c>
    </row>
    <row r="969" spans="1:4">
      <c r="A969" t="str">
        <f>TEXT(IF('Change in Employment'!B976&lt;&gt;0,DATE(YEAR('Change in Employment'!B976), MONTH('Change in Employment'!B976), 1), ""), "mm/dd/yyyy")</f>
        <v/>
      </c>
      <c r="B969" s="8" t="str">
        <f>IF(ISNUMBER('Change in Employment'!I976), TEXT('Change in Employment'!I976, "0"), "")</f>
        <v/>
      </c>
      <c r="C969" s="8" t="str">
        <f>IF(ISNUMBER('Change in Employment'!J976),TEXT('Change in Employment'!J976, "0"),"")</f>
        <v/>
      </c>
      <c r="D969" s="8" t="str">
        <f>IF(ISNUMBER('Change in Employment'!G976),'Change in Employment'!G976,"")</f>
        <v/>
      </c>
    </row>
    <row r="970" spans="1:4">
      <c r="A970" t="str">
        <f>TEXT(IF('Change in Employment'!B977&lt;&gt;0,DATE(YEAR('Change in Employment'!B977), MONTH('Change in Employment'!B977), 1), ""), "mm/dd/yyyy")</f>
        <v/>
      </c>
      <c r="B970" s="8" t="str">
        <f>IF(ISNUMBER('Change in Employment'!I977), TEXT('Change in Employment'!I977, "0"), "")</f>
        <v/>
      </c>
      <c r="C970" s="8" t="str">
        <f>IF(ISNUMBER('Change in Employment'!J977),TEXT('Change in Employment'!J977, "0"),"")</f>
        <v/>
      </c>
      <c r="D970" s="8" t="str">
        <f>IF(ISNUMBER('Change in Employment'!G977),'Change in Employment'!G977,"")</f>
        <v/>
      </c>
    </row>
    <row r="971" spans="1:4">
      <c r="A971" t="str">
        <f>TEXT(IF('Change in Employment'!B978&lt;&gt;0,DATE(YEAR('Change in Employment'!B978), MONTH('Change in Employment'!B978), 1), ""), "mm/dd/yyyy")</f>
        <v/>
      </c>
      <c r="B971" s="8" t="str">
        <f>IF(ISNUMBER('Change in Employment'!I978), TEXT('Change in Employment'!I978, "0"), "")</f>
        <v/>
      </c>
      <c r="C971" s="8" t="str">
        <f>IF(ISNUMBER('Change in Employment'!J978),TEXT('Change in Employment'!J978, "0"),"")</f>
        <v/>
      </c>
      <c r="D971" s="8" t="str">
        <f>IF(ISNUMBER('Change in Employment'!G978),'Change in Employment'!G978,"")</f>
        <v/>
      </c>
    </row>
    <row r="972" spans="1:4">
      <c r="A972" t="str">
        <f>TEXT(IF('Change in Employment'!B979&lt;&gt;0,DATE(YEAR('Change in Employment'!B979), MONTH('Change in Employment'!B979), 1), ""), "mm/dd/yyyy")</f>
        <v/>
      </c>
      <c r="B972" s="8" t="str">
        <f>IF(ISNUMBER('Change in Employment'!I979), TEXT('Change in Employment'!I979, "0"), "")</f>
        <v/>
      </c>
      <c r="C972" s="8" t="str">
        <f>IF(ISNUMBER('Change in Employment'!J979),TEXT('Change in Employment'!J979, "0"),"")</f>
        <v/>
      </c>
      <c r="D972" s="8" t="str">
        <f>IF(ISNUMBER('Change in Employment'!G979),'Change in Employment'!G979,"")</f>
        <v/>
      </c>
    </row>
    <row r="973" spans="1:4">
      <c r="A973" t="str">
        <f>TEXT(IF('Change in Employment'!B980&lt;&gt;0,DATE(YEAR('Change in Employment'!B980), MONTH('Change in Employment'!B980), 1), ""), "mm/dd/yyyy")</f>
        <v/>
      </c>
      <c r="B973" s="8" t="str">
        <f>IF(ISNUMBER('Change in Employment'!I980), TEXT('Change in Employment'!I980, "0"), "")</f>
        <v/>
      </c>
      <c r="C973" s="8" t="str">
        <f>IF(ISNUMBER('Change in Employment'!J980),TEXT('Change in Employment'!J980, "0"),"")</f>
        <v/>
      </c>
      <c r="D973" s="8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rgb="FFFFFF00"/>
  </sheetPr>
  <dimension ref="A1:D1088"/>
  <sheetViews>
    <sheetView topLeftCell="A79" workbookViewId="0"/>
  </sheetViews>
  <sheetFormatPr defaultRowHeight="15"/>
  <cols>
    <col min="1" max="1" width="10.42578125" bestFit="1" customWidth="1"/>
    <col min="2" max="2" width="13.5703125" bestFit="1" customWidth="1"/>
    <col min="3" max="3" width="13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>
      <c r="A2" t="str">
        <f>TEXT(A3-31, "mm/dd/yyyy")</f>
        <v>12/01/2008</v>
      </c>
      <c r="D2" s="8">
        <f>IF(ISNUMBER('Change in Employment'!G9),'Change in Employment'!G9,"")</f>
        <v>1</v>
      </c>
    </row>
    <row r="3" spans="1:4">
      <c r="A3" t="str">
        <f>TEXT(IF('Change in Employment'!B10&lt;&gt;0,DATE(YEAR('Change in Employment'!B10), MONTH('Change in Employment'!B10), 1), ""), "mm/dd/yyyy")</f>
        <v>01/01/2009</v>
      </c>
      <c r="B3">
        <f>IF(ISNUMBER('Change in Employment'!L10),'Change in Employment'!L10, "")</f>
        <v>7900.0000000000909</v>
      </c>
      <c r="C3" t="str">
        <f>IFERROR(IF(ISNUMBER('Change in Employment'!M10),TEXT('Change in Employment'!M10, "0"), ""), "")</f>
        <v>6500</v>
      </c>
      <c r="D3" s="8">
        <f>IF(ISNUMBER('Change in Employment'!G10),'Change in Employment'!G10,"")</f>
        <v>1</v>
      </c>
    </row>
    <row r="4" spans="1:4">
      <c r="A4" t="str">
        <f>TEXT(IF('Change in Employment'!B11&lt;&gt;0,DATE(YEAR('Change in Employment'!B11), MONTH('Change in Employment'!B11), 1), ""), "mm/dd/yyyy")</f>
        <v>02/01/2009</v>
      </c>
      <c r="B4">
        <f>IF(ISNUMBER('Change in Employment'!L11),'Change in Employment'!L11, "")</f>
        <v>7699.9999999998181</v>
      </c>
      <c r="C4" t="str">
        <f>IFERROR(IF(ISNUMBER('Change in Employment'!M11),TEXT('Change in Employment'!M11, "0"), ""), "")</f>
        <v>6167</v>
      </c>
      <c r="D4" s="8">
        <f>IF(ISNUMBER('Change in Employment'!G11),'Change in Employment'!G11,"")</f>
        <v>1</v>
      </c>
    </row>
    <row r="5" spans="1:4">
      <c r="A5" t="str">
        <f>TEXT(IF('Change in Employment'!B12&lt;&gt;0,DATE(YEAR('Change in Employment'!B12), MONTH('Change in Employment'!B12), 1), ""), "mm/dd/yyyy")</f>
        <v>03/01/2009</v>
      </c>
      <c r="B5">
        <f>IF(ISNUMBER('Change in Employment'!L12),'Change in Employment'!L12, "")</f>
        <v>800.0000000001819</v>
      </c>
      <c r="C5" t="str">
        <f>IFERROR(IF(ISNUMBER('Change in Employment'!M12),TEXT('Change in Employment'!M12, "0"), ""), "")</f>
        <v>5467</v>
      </c>
      <c r="D5" s="8">
        <f>IF(ISNUMBER('Change in Employment'!G12),'Change in Employment'!G12,"")</f>
        <v>1</v>
      </c>
    </row>
    <row r="6" spans="1:4">
      <c r="A6" t="str">
        <f>TEXT(IF('Change in Employment'!B13&lt;&gt;0,DATE(YEAR('Change in Employment'!B13), MONTH('Change in Employment'!B13), 1), ""), "mm/dd/yyyy")</f>
        <v>04/01/2009</v>
      </c>
      <c r="B6">
        <f>IF(ISNUMBER('Change in Employment'!L13),'Change in Employment'!L13, "")</f>
        <v>11800.000000000182</v>
      </c>
      <c r="C6" t="str">
        <f>IFERROR(IF(ISNUMBER('Change in Employment'!M13),TEXT('Change in Employment'!M13, "0"), ""), "")</f>
        <v>6767</v>
      </c>
      <c r="D6" s="8">
        <f>IF(ISNUMBER('Change in Employment'!G13),'Change in Employment'!G13,"")</f>
        <v>1</v>
      </c>
    </row>
    <row r="7" spans="1:4">
      <c r="A7" t="str">
        <f>TEXT(IF('Change in Employment'!B14&lt;&gt;0,DATE(YEAR('Change in Employment'!B14), MONTH('Change in Employment'!B14), 1), ""), "mm/dd/yyyy")</f>
        <v>05/01/2009</v>
      </c>
      <c r="B7">
        <f>IF(ISNUMBER('Change in Employment'!L14),'Change in Employment'!L14, "")</f>
        <v>7799.9999999997272</v>
      </c>
      <c r="C7" t="str">
        <f>IFERROR(IF(ISNUMBER('Change in Employment'!M14),TEXT('Change in Employment'!M14, "0"), ""), "")</f>
        <v>6800</v>
      </c>
      <c r="D7" s="8">
        <f>IF(ISNUMBER('Change in Employment'!G14),'Change in Employment'!G14,"")</f>
        <v>1</v>
      </c>
    </row>
    <row r="8" spans="1:4">
      <c r="A8" t="str">
        <f>TEXT(IF('Change in Employment'!B15&lt;&gt;0,DATE(YEAR('Change in Employment'!B15), MONTH('Change in Employment'!B15), 1), ""), "mm/dd/yyyy")</f>
        <v>06/01/2009</v>
      </c>
      <c r="B8">
        <f>IF(ISNUMBER('Change in Employment'!L15),'Change in Employment'!L15, "")</f>
        <v>17400.000000000091</v>
      </c>
      <c r="C8" t="str">
        <f>IFERROR(IF(ISNUMBER('Change in Employment'!M15),TEXT('Change in Employment'!M15, "0"), ""), "")</f>
        <v>12333</v>
      </c>
      <c r="D8" s="8">
        <f>IF(ISNUMBER('Change in Employment'!G15),'Change in Employment'!G15,"")</f>
        <v>1</v>
      </c>
    </row>
    <row r="9" spans="1:4">
      <c r="A9" t="str">
        <f>TEXT(IF('Change in Employment'!B16&lt;&gt;0,DATE(YEAR('Change in Employment'!B16), MONTH('Change in Employment'!B16), 1), ""), "mm/dd/yyyy")</f>
        <v>07/01/2009</v>
      </c>
      <c r="B9">
        <f>IF(ISNUMBER('Change in Employment'!L16),'Change in Employment'!L16, "")</f>
        <v>15800.000000000182</v>
      </c>
      <c r="C9" t="str">
        <f>IFERROR(IF(ISNUMBER('Change in Employment'!M16),TEXT('Change in Employment'!M16, "0"), ""), "")</f>
        <v>13667</v>
      </c>
      <c r="D9" s="8">
        <f>IF(ISNUMBER('Change in Employment'!G16),'Change in Employment'!G16,"")</f>
        <v>0</v>
      </c>
    </row>
    <row r="10" spans="1:4">
      <c r="A10" t="str">
        <f>TEXT(IF('Change in Employment'!B17&lt;&gt;0,DATE(YEAR('Change in Employment'!B17), MONTH('Change in Employment'!B17), 1), ""), "mm/dd/yyyy")</f>
        <v>08/01/2009</v>
      </c>
      <c r="B10">
        <f>IF(ISNUMBER('Change in Employment'!L17),'Change in Employment'!L17, "")</f>
        <v>8899.9999999996362</v>
      </c>
      <c r="C10" t="str">
        <f>IFERROR(IF(ISNUMBER('Change in Employment'!M17),TEXT('Change in Employment'!M17, "0"), ""), "")</f>
        <v>14033</v>
      </c>
      <c r="D10" s="8">
        <f>IF(ISNUMBER('Change in Employment'!G17),'Change in Employment'!G17,"")</f>
        <v>0</v>
      </c>
    </row>
    <row r="11" spans="1:4">
      <c r="A11" t="str">
        <f>TEXT(IF('Change in Employment'!B18&lt;&gt;0,DATE(YEAR('Change in Employment'!B18), MONTH('Change in Employment'!B18), 1), ""), "mm/dd/yyyy")</f>
        <v>09/01/2009</v>
      </c>
      <c r="B11">
        <f>IF(ISNUMBER('Change in Employment'!L18),'Change in Employment'!L18, "")</f>
        <v>3900.0000000000909</v>
      </c>
      <c r="C11" t="str">
        <f>IFERROR(IF(ISNUMBER('Change in Employment'!M18),TEXT('Change in Employment'!M18, "0"), ""), "")</f>
        <v>9533</v>
      </c>
      <c r="D11" s="8">
        <f>IF(ISNUMBER('Change in Employment'!G18),'Change in Employment'!G18,"")</f>
        <v>0</v>
      </c>
    </row>
    <row r="12" spans="1:4">
      <c r="A12" t="str">
        <f>TEXT(IF('Change in Employment'!B19&lt;&gt;0,DATE(YEAR('Change in Employment'!B19), MONTH('Change in Employment'!B19), 1), ""), "mm/dd/yyyy")</f>
        <v>10/01/2009</v>
      </c>
      <c r="B12">
        <f>IF(ISNUMBER('Change in Employment'!L19),'Change in Employment'!L19, "")</f>
        <v>11000</v>
      </c>
      <c r="C12" t="str">
        <f>IFERROR(IF(ISNUMBER('Change in Employment'!M19),TEXT('Change in Employment'!M19, "0"), ""), "")</f>
        <v>7933</v>
      </c>
      <c r="D12" s="8">
        <f>IF(ISNUMBER('Change in Employment'!G19),'Change in Employment'!G19,"")</f>
        <v>0</v>
      </c>
    </row>
    <row r="13" spans="1:4">
      <c r="A13" t="str">
        <f>TEXT(IF('Change in Employment'!B20&lt;&gt;0,DATE(YEAR('Change in Employment'!B20), MONTH('Change in Employment'!B20), 1), ""), "mm/dd/yyyy")</f>
        <v>11/01/2009</v>
      </c>
      <c r="B13">
        <f>IF(ISNUMBER('Change in Employment'!L20),'Change in Employment'!L20, "")</f>
        <v>6400.0000000000909</v>
      </c>
      <c r="C13" t="str">
        <f>IFERROR(IF(ISNUMBER('Change in Employment'!M20),TEXT('Change in Employment'!M20, "0"), ""), "")</f>
        <v>7100</v>
      </c>
      <c r="D13" s="8">
        <f>IF(ISNUMBER('Change in Employment'!G20),'Change in Employment'!G20,"")</f>
        <v>0</v>
      </c>
    </row>
    <row r="14" spans="1:4">
      <c r="A14" t="str">
        <f>TEXT(IF('Change in Employment'!B21&lt;&gt;0,DATE(YEAR('Change in Employment'!B21), MONTH('Change in Employment'!B21), 1), ""), "mm/dd/yyyy")</f>
        <v>12/01/2009</v>
      </c>
      <c r="B14">
        <f>IF(ISNUMBER('Change in Employment'!L21),'Change in Employment'!L21, "")</f>
        <v>9199.9999999998181</v>
      </c>
      <c r="C14" t="str">
        <f>IFERROR(IF(ISNUMBER('Change in Employment'!M21),TEXT('Change in Employment'!M21, "0"), ""), "")</f>
        <v>8867</v>
      </c>
      <c r="D14" s="8">
        <f>IF(ISNUMBER('Change in Employment'!G21),'Change in Employment'!G21,"")</f>
        <v>0</v>
      </c>
    </row>
    <row r="15" spans="1:4">
      <c r="A15" t="str">
        <f>TEXT(IF('Change in Employment'!B22&lt;&gt;0,DATE(YEAR('Change in Employment'!B22), MONTH('Change in Employment'!B22), 1), ""), "mm/dd/yyyy")</f>
        <v>01/01/2010</v>
      </c>
      <c r="B15">
        <f>IF(ISNUMBER('Change in Employment'!L22),'Change in Employment'!L22, "")</f>
        <v>4500</v>
      </c>
      <c r="C15" t="str">
        <f>IFERROR(IF(ISNUMBER('Change in Employment'!M22),TEXT('Change in Employment'!M22, "0"), ""), "")</f>
        <v>6700</v>
      </c>
      <c r="D15" s="8">
        <f>IF(ISNUMBER('Change in Employment'!G22),'Change in Employment'!G22,"")</f>
        <v>0</v>
      </c>
    </row>
    <row r="16" spans="1:4">
      <c r="A16" t="str">
        <f>TEXT(IF('Change in Employment'!B23&lt;&gt;0,DATE(YEAR('Change in Employment'!B23), MONTH('Change in Employment'!B23), 1), ""), "mm/dd/yyyy")</f>
        <v>02/01/2010</v>
      </c>
      <c r="B16">
        <f>IF(ISNUMBER('Change in Employment'!L23),'Change in Employment'!L23, "")</f>
        <v>5100.0000000003638</v>
      </c>
      <c r="C16" t="str">
        <f>IFERROR(IF(ISNUMBER('Change in Employment'!M23),TEXT('Change in Employment'!M23, "0"), ""), "")</f>
        <v>6267</v>
      </c>
      <c r="D16" s="8">
        <f>IF(ISNUMBER('Change in Employment'!G23),'Change in Employment'!G23,"")</f>
        <v>0</v>
      </c>
    </row>
    <row r="17" spans="1:4">
      <c r="A17" t="str">
        <f>TEXT(IF('Change in Employment'!B24&lt;&gt;0,DATE(YEAR('Change in Employment'!B24), MONTH('Change in Employment'!B24), 1), ""), "mm/dd/yyyy")</f>
        <v>03/01/2010</v>
      </c>
      <c r="B17">
        <f>IF(ISNUMBER('Change in Employment'!L24),'Change in Employment'!L24, "")</f>
        <v>6699.9999999998181</v>
      </c>
      <c r="C17" t="str">
        <f>IFERROR(IF(ISNUMBER('Change in Employment'!M24),TEXT('Change in Employment'!M24, "0"), ""), "")</f>
        <v>5433</v>
      </c>
      <c r="D17" s="8">
        <f>IF(ISNUMBER('Change in Employment'!G24),'Change in Employment'!G24,"")</f>
        <v>0</v>
      </c>
    </row>
    <row r="18" spans="1:4">
      <c r="A18" t="str">
        <f>TEXT(IF('Change in Employment'!B25&lt;&gt;0,DATE(YEAR('Change in Employment'!B25), MONTH('Change in Employment'!B25), 1), ""), "mm/dd/yyyy")</f>
        <v>04/01/2010</v>
      </c>
      <c r="B18">
        <f>IF(ISNUMBER('Change in Employment'!L25),'Change in Employment'!L25, "")</f>
        <v>-2199.9999999998181</v>
      </c>
      <c r="C18" t="str">
        <f>IFERROR(IF(ISNUMBER('Change in Employment'!M25),TEXT('Change in Employment'!M25, "0"), ""), "")</f>
        <v>3200</v>
      </c>
      <c r="D18" s="8">
        <f>IF(ISNUMBER('Change in Employment'!G25),'Change in Employment'!G25,"")</f>
        <v>0</v>
      </c>
    </row>
    <row r="19" spans="1:4">
      <c r="A19" t="str">
        <f>TEXT(IF('Change in Employment'!B26&lt;&gt;0,DATE(YEAR('Change in Employment'!B26), MONTH('Change in Employment'!B26), 1), ""), "mm/dd/yyyy")</f>
        <v>05/01/2010</v>
      </c>
      <c r="B19">
        <f>IF(ISNUMBER('Change in Employment'!L26),'Change in Employment'!L26, "")</f>
        <v>23799.999999999727</v>
      </c>
      <c r="C19" t="str">
        <f>IFERROR(IF(ISNUMBER('Change in Employment'!M26),TEXT('Change in Employment'!M26, "0"), ""), "")</f>
        <v>9433</v>
      </c>
      <c r="D19" s="8">
        <f>IF(ISNUMBER('Change in Employment'!G26),'Change in Employment'!G26,"")</f>
        <v>0</v>
      </c>
    </row>
    <row r="20" spans="1:4">
      <c r="A20" t="str">
        <f>TEXT(IF('Change in Employment'!B27&lt;&gt;0,DATE(YEAR('Change in Employment'!B27), MONTH('Change in Employment'!B27), 1), ""), "mm/dd/yyyy")</f>
        <v>06/01/2010</v>
      </c>
      <c r="B20">
        <f>IF(ISNUMBER('Change in Employment'!L27),'Change in Employment'!L27, "")</f>
        <v>1700.0000000002728</v>
      </c>
      <c r="C20" t="str">
        <f>IFERROR(IF(ISNUMBER('Change in Employment'!M27),TEXT('Change in Employment'!M27, "0"), ""), "")</f>
        <v>7767</v>
      </c>
      <c r="D20" s="8">
        <f>IF(ISNUMBER('Change in Employment'!G27),'Change in Employment'!G27,"")</f>
        <v>0</v>
      </c>
    </row>
    <row r="21" spans="1:4">
      <c r="A21" t="str">
        <f>TEXT(IF('Change in Employment'!B28&lt;&gt;0,DATE(YEAR('Change in Employment'!B28), MONTH('Change in Employment'!B28), 1), ""), "mm/dd/yyyy")</f>
        <v>07/01/2010</v>
      </c>
      <c r="B21">
        <f>IF(ISNUMBER('Change in Employment'!L28),'Change in Employment'!L28, "")</f>
        <v>5599.9999999999091</v>
      </c>
      <c r="C21" t="str">
        <f>IFERROR(IF(ISNUMBER('Change in Employment'!M28),TEXT('Change in Employment'!M28, "0"), ""), "")</f>
        <v>10367</v>
      </c>
      <c r="D21" s="8">
        <f>IF(ISNUMBER('Change in Employment'!G28),'Change in Employment'!G28,"")</f>
        <v>0</v>
      </c>
    </row>
    <row r="22" spans="1:4">
      <c r="A22" t="str">
        <f>TEXT(IF('Change in Employment'!B29&lt;&gt;0,DATE(YEAR('Change in Employment'!B29), MONTH('Change in Employment'!B29), 1), ""), "mm/dd/yyyy")</f>
        <v>08/01/2010</v>
      </c>
      <c r="B22">
        <f>IF(ISNUMBER('Change in Employment'!L29),'Change in Employment'!L29, "")</f>
        <v>6099.9999999999091</v>
      </c>
      <c r="C22" t="str">
        <f>IFERROR(IF(ISNUMBER('Change in Employment'!M29),TEXT('Change in Employment'!M29, "0"), ""), "")</f>
        <v>4467</v>
      </c>
      <c r="D22" s="8">
        <f>IF(ISNUMBER('Change in Employment'!G29),'Change in Employment'!G29,"")</f>
        <v>0</v>
      </c>
    </row>
    <row r="23" spans="1:4">
      <c r="A23" t="str">
        <f>TEXT(IF('Change in Employment'!B30&lt;&gt;0,DATE(YEAR('Change in Employment'!B30), MONTH('Change in Employment'!B30), 1), ""), "mm/dd/yyyy")</f>
        <v>09/01/2010</v>
      </c>
      <c r="B23">
        <f>IF(ISNUMBER('Change in Employment'!L30),'Change in Employment'!L30, "")</f>
        <v>1900.0000000000909</v>
      </c>
      <c r="C23" t="str">
        <f>IFERROR(IF(ISNUMBER('Change in Employment'!M30),TEXT('Change in Employment'!M30, "0"), ""), "")</f>
        <v>4533</v>
      </c>
      <c r="D23" s="8">
        <f>IF(ISNUMBER('Change in Employment'!G30),'Change in Employment'!G30,"")</f>
        <v>0</v>
      </c>
    </row>
    <row r="24" spans="1:4">
      <c r="A24" t="str">
        <f>TEXT(IF('Change in Employment'!B31&lt;&gt;0,DATE(YEAR('Change in Employment'!B31), MONTH('Change in Employment'!B31), 1), ""), "mm/dd/yyyy")</f>
        <v>10/01/2010</v>
      </c>
      <c r="B24">
        <f>IF(ISNUMBER('Change in Employment'!L31),'Change in Employment'!L31, "")</f>
        <v>4599.9999999999091</v>
      </c>
      <c r="C24" t="str">
        <f>IFERROR(IF(ISNUMBER('Change in Employment'!M31),TEXT('Change in Employment'!M31, "0"), ""), "")</f>
        <v>4200</v>
      </c>
      <c r="D24" s="8">
        <f>IF(ISNUMBER('Change in Employment'!G31),'Change in Employment'!G31,"")</f>
        <v>0</v>
      </c>
    </row>
    <row r="25" spans="1:4">
      <c r="A25" t="str">
        <f>TEXT(IF('Change in Employment'!B32&lt;&gt;0,DATE(YEAR('Change in Employment'!B32), MONTH('Change in Employment'!B32), 1), ""), "mm/dd/yyyy")</f>
        <v>11/01/2010</v>
      </c>
      <c r="B25">
        <f>IF(ISNUMBER('Change in Employment'!L32),'Change in Employment'!L32, "")</f>
        <v>2500</v>
      </c>
      <c r="C25" t="str">
        <f>IFERROR(IF(ISNUMBER('Change in Employment'!M32),TEXT('Change in Employment'!M32, "0"), ""), "")</f>
        <v>3000</v>
      </c>
      <c r="D25" s="8">
        <f>IF(ISNUMBER('Change in Employment'!G32),'Change in Employment'!G32,"")</f>
        <v>0</v>
      </c>
    </row>
    <row r="26" spans="1:4">
      <c r="A26" t="str">
        <f>TEXT(IF('Change in Employment'!B33&lt;&gt;0,DATE(YEAR('Change in Employment'!B33), MONTH('Change in Employment'!B33), 1), ""), "mm/dd/yyyy")</f>
        <v>12/01/2010</v>
      </c>
      <c r="B26">
        <f>IF(ISNUMBER('Change in Employment'!L33),'Change in Employment'!L33, "")</f>
        <v>5500</v>
      </c>
      <c r="C26" t="str">
        <f>IFERROR(IF(ISNUMBER('Change in Employment'!M33),TEXT('Change in Employment'!M33, "0"), ""), "")</f>
        <v>4200</v>
      </c>
      <c r="D26" s="8">
        <f>IF(ISNUMBER('Change in Employment'!G33),'Change in Employment'!G33,"")</f>
        <v>0</v>
      </c>
    </row>
    <row r="27" spans="1:4">
      <c r="A27" t="str">
        <f>TEXT(IF('Change in Employment'!B34&lt;&gt;0,DATE(YEAR('Change in Employment'!B34), MONTH('Change in Employment'!B34), 1), ""), "mm/dd/yyyy")</f>
        <v>01/01/2011</v>
      </c>
      <c r="B27">
        <f>IF(ISNUMBER('Change in Employment'!L34),'Change in Employment'!L34, "")</f>
        <v>7099.9999999999091</v>
      </c>
      <c r="C27" t="str">
        <f>IFERROR(IF(ISNUMBER('Change in Employment'!M34),TEXT('Change in Employment'!M34, "0"), ""), "")</f>
        <v>5033</v>
      </c>
      <c r="D27" s="8">
        <f>IF(ISNUMBER('Change in Employment'!G34),'Change in Employment'!G34,"")</f>
        <v>0</v>
      </c>
    </row>
    <row r="28" spans="1:4">
      <c r="A28" t="str">
        <f>TEXT(IF('Change in Employment'!B35&lt;&gt;0,DATE(YEAR('Change in Employment'!B35), MONTH('Change in Employment'!B35), 1), ""), "mm/dd/yyyy")</f>
        <v>02/01/2011</v>
      </c>
      <c r="B28">
        <f>IF(ISNUMBER('Change in Employment'!L35),'Change in Employment'!L35, "")</f>
        <v>1599.9999999999091</v>
      </c>
      <c r="C28" t="str">
        <f>IFERROR(IF(ISNUMBER('Change in Employment'!M35),TEXT('Change in Employment'!M35, "0"), ""), "")</f>
        <v>4733</v>
      </c>
      <c r="D28" s="8">
        <f>IF(ISNUMBER('Change in Employment'!G35),'Change in Employment'!G35,"")</f>
        <v>0</v>
      </c>
    </row>
    <row r="29" spans="1:4">
      <c r="A29" t="str">
        <f>TEXT(IF('Change in Employment'!B36&lt;&gt;0,DATE(YEAR('Change in Employment'!B36), MONTH('Change in Employment'!B36), 1), ""), "mm/dd/yyyy")</f>
        <v>03/01/2011</v>
      </c>
      <c r="B29">
        <f>IF(ISNUMBER('Change in Employment'!L36),'Change in Employment'!L36, "")</f>
        <v>4100.0000000003638</v>
      </c>
      <c r="C29" t="str">
        <f>IFERROR(IF(ISNUMBER('Change in Employment'!M36),TEXT('Change in Employment'!M36, "0"), ""), "")</f>
        <v>4267</v>
      </c>
      <c r="D29" s="8">
        <f>IF(ISNUMBER('Change in Employment'!G36),'Change in Employment'!G36,"")</f>
        <v>0</v>
      </c>
    </row>
    <row r="30" spans="1:4">
      <c r="A30" t="str">
        <f>TEXT(IF('Change in Employment'!B37&lt;&gt;0,DATE(YEAR('Change in Employment'!B37), MONTH('Change in Employment'!B37), 1), ""), "mm/dd/yyyy")</f>
        <v>04/01/2011</v>
      </c>
      <c r="B30">
        <f>IF(ISNUMBER('Change in Employment'!L37),'Change in Employment'!L37, "")</f>
        <v>99.999999999909051</v>
      </c>
      <c r="C30" t="str">
        <f>IFERROR(IF(ISNUMBER('Change in Employment'!M37),TEXT('Change in Employment'!M37, "0"), ""), "")</f>
        <v>1933</v>
      </c>
      <c r="D30" s="8">
        <f>IF(ISNUMBER('Change in Employment'!G37),'Change in Employment'!G37,"")</f>
        <v>0</v>
      </c>
    </row>
    <row r="31" spans="1:4">
      <c r="A31" t="str">
        <f>TEXT(IF('Change in Employment'!B38&lt;&gt;0,DATE(YEAR('Change in Employment'!B38), MONTH('Change in Employment'!B38), 1), ""), "mm/dd/yyyy")</f>
        <v>05/01/2011</v>
      </c>
      <c r="B31">
        <f>IF(ISNUMBER('Change in Employment'!L38),'Change in Employment'!L38, "")</f>
        <v>1199.9999999998181</v>
      </c>
      <c r="C31" t="str">
        <f>IFERROR(IF(ISNUMBER('Change in Employment'!M38),TEXT('Change in Employment'!M38, "0"), ""), "")</f>
        <v>1800</v>
      </c>
      <c r="D31" s="8">
        <f>IF(ISNUMBER('Change in Employment'!G38),'Change in Employment'!G38,"")</f>
        <v>0</v>
      </c>
    </row>
    <row r="32" spans="1:4">
      <c r="A32" t="str">
        <f>TEXT(IF('Change in Employment'!B39&lt;&gt;0,DATE(YEAR('Change in Employment'!B39), MONTH('Change in Employment'!B39), 1), ""), "mm/dd/yyyy")</f>
        <v>06/01/2011</v>
      </c>
      <c r="B32">
        <f>IF(ISNUMBER('Change in Employment'!L39),'Change in Employment'!L39, "")</f>
        <v>-6099.9999999999091</v>
      </c>
      <c r="C32" t="str">
        <f>IFERROR(IF(ISNUMBER('Change in Employment'!M39),TEXT('Change in Employment'!M39, "0"), ""), "")</f>
        <v>-1600</v>
      </c>
      <c r="D32" s="8">
        <f>IF(ISNUMBER('Change in Employment'!G39),'Change in Employment'!G39,"")</f>
        <v>0</v>
      </c>
    </row>
    <row r="33" spans="1:4">
      <c r="A33" t="str">
        <f>TEXT(IF('Change in Employment'!B40&lt;&gt;0,DATE(YEAR('Change in Employment'!B40), MONTH('Change in Employment'!B40), 1), ""), "mm/dd/yyyy")</f>
        <v>07/01/2011</v>
      </c>
      <c r="B33">
        <f>IF(ISNUMBER('Change in Employment'!L40),'Change in Employment'!L40, "")</f>
        <v>-2699.9999999998181</v>
      </c>
      <c r="C33" t="str">
        <f>IFERROR(IF(ISNUMBER('Change in Employment'!M40),TEXT('Change in Employment'!M40, "0"), ""), "")</f>
        <v>-2533</v>
      </c>
      <c r="D33" s="8">
        <f>IF(ISNUMBER('Change in Employment'!G40),'Change in Employment'!G40,"")</f>
        <v>0</v>
      </c>
    </row>
    <row r="34" spans="1:4">
      <c r="A34" t="str">
        <f>TEXT(IF('Change in Employment'!B41&lt;&gt;0,DATE(YEAR('Change in Employment'!B41), MONTH('Change in Employment'!B41), 1), ""), "mm/dd/yyyy")</f>
        <v>08/01/2011</v>
      </c>
      <c r="B34">
        <f>IF(ISNUMBER('Change in Employment'!L41),'Change in Employment'!L41, "")</f>
        <v>-3500</v>
      </c>
      <c r="C34" t="str">
        <f>IFERROR(IF(ISNUMBER('Change in Employment'!M41),TEXT('Change in Employment'!M41, "0"), ""), "")</f>
        <v>-4100</v>
      </c>
      <c r="D34" s="8">
        <f>IF(ISNUMBER('Change in Employment'!G41),'Change in Employment'!G41,"")</f>
        <v>0</v>
      </c>
    </row>
    <row r="35" spans="1:4">
      <c r="A35" t="str">
        <f>TEXT(IF('Change in Employment'!B42&lt;&gt;0,DATE(YEAR('Change in Employment'!B42), MONTH('Change in Employment'!B42), 1), ""), "mm/dd/yyyy")</f>
        <v>09/01/2011</v>
      </c>
      <c r="B35">
        <f>IF(ISNUMBER('Change in Employment'!L42),'Change in Employment'!L42, "")</f>
        <v>1099.9999999999091</v>
      </c>
      <c r="C35" t="str">
        <f>IFERROR(IF(ISNUMBER('Change in Employment'!M42),TEXT('Change in Employment'!M42, "0"), ""), "")</f>
        <v>-1700</v>
      </c>
      <c r="D35" s="8">
        <f>IF(ISNUMBER('Change in Employment'!G42),'Change in Employment'!G42,"")</f>
        <v>0</v>
      </c>
    </row>
    <row r="36" spans="1:4">
      <c r="A36" t="str">
        <f>TEXT(IF('Change in Employment'!B43&lt;&gt;0,DATE(YEAR('Change in Employment'!B43), MONTH('Change in Employment'!B43), 1), ""), "mm/dd/yyyy")</f>
        <v>10/01/2011</v>
      </c>
      <c r="B36">
        <f>IF(ISNUMBER('Change in Employment'!L43),'Change in Employment'!L43, "")</f>
        <v>-200.00000000027285</v>
      </c>
      <c r="C36" t="str">
        <f>IFERROR(IF(ISNUMBER('Change in Employment'!M43),TEXT('Change in Employment'!M43, "0"), ""), "")</f>
        <v>-867</v>
      </c>
      <c r="D36" s="8">
        <f>IF(ISNUMBER('Change in Employment'!G43),'Change in Employment'!G43,"")</f>
        <v>0</v>
      </c>
    </row>
    <row r="37" spans="1:4">
      <c r="A37" t="str">
        <f>TEXT(IF('Change in Employment'!B44&lt;&gt;0,DATE(YEAR('Change in Employment'!B44), MONTH('Change in Employment'!B44), 1), ""), "mm/dd/yyyy")</f>
        <v>11/01/2011</v>
      </c>
      <c r="B37">
        <f>IF(ISNUMBER('Change in Employment'!L44),'Change in Employment'!L44, "")</f>
        <v>-2799.9999999997272</v>
      </c>
      <c r="C37" t="str">
        <f>IFERROR(IF(ISNUMBER('Change in Employment'!M44),TEXT('Change in Employment'!M44, "0"), ""), "")</f>
        <v>-633</v>
      </c>
      <c r="D37" s="8">
        <f>IF(ISNUMBER('Change in Employment'!G44),'Change in Employment'!G44,"")</f>
        <v>0</v>
      </c>
    </row>
    <row r="38" spans="1:4">
      <c r="A38" t="str">
        <f>TEXT(IF('Change in Employment'!B45&lt;&gt;0,DATE(YEAR('Change in Employment'!B45), MONTH('Change in Employment'!B45), 1), ""), "mm/dd/yyyy")</f>
        <v>12/01/2011</v>
      </c>
      <c r="B38">
        <f>IF(ISNUMBER('Change in Employment'!L45),'Change in Employment'!L45, "")</f>
        <v>-2900.0000000000909</v>
      </c>
      <c r="C38" t="str">
        <f>IFERROR(IF(ISNUMBER('Change in Employment'!M45),TEXT('Change in Employment'!M45, "0"), ""), "")</f>
        <v>-1967</v>
      </c>
      <c r="D38" s="8">
        <f>IF(ISNUMBER('Change in Employment'!G45),'Change in Employment'!G45,"")</f>
        <v>0</v>
      </c>
    </row>
    <row r="39" spans="1:4">
      <c r="A39" t="str">
        <f>TEXT(IF('Change in Employment'!B46&lt;&gt;0,DATE(YEAR('Change in Employment'!B46), MONTH('Change in Employment'!B46), 1), ""), "mm/dd/yyyy")</f>
        <v>01/01/2012</v>
      </c>
      <c r="B39">
        <f>IF(ISNUMBER('Change in Employment'!L46),'Change in Employment'!L46, "")</f>
        <v>-5199.9999999998181</v>
      </c>
      <c r="C39" t="str">
        <f>IFERROR(IF(ISNUMBER('Change in Employment'!M46),TEXT('Change in Employment'!M46, "0"), ""), "")</f>
        <v>-3633</v>
      </c>
      <c r="D39" s="8">
        <f>IF(ISNUMBER('Change in Employment'!G46),'Change in Employment'!G46,"")</f>
        <v>0</v>
      </c>
    </row>
    <row r="40" spans="1:4">
      <c r="A40" t="str">
        <f>TEXT(IF('Change in Employment'!B47&lt;&gt;0,DATE(YEAR('Change in Employment'!B47), MONTH('Change in Employment'!B47), 1), ""), "mm/dd/yyyy")</f>
        <v>02/01/2012</v>
      </c>
      <c r="B40">
        <f>IF(ISNUMBER('Change in Employment'!L47),'Change in Employment'!L47, "")</f>
        <v>-2000</v>
      </c>
      <c r="C40" t="str">
        <f>IFERROR(IF(ISNUMBER('Change in Employment'!M47),TEXT('Change in Employment'!M47, "0"), ""), "")</f>
        <v>-3367</v>
      </c>
      <c r="D40" s="8">
        <f>IF(ISNUMBER('Change in Employment'!G47),'Change in Employment'!G47,"")</f>
        <v>0</v>
      </c>
    </row>
    <row r="41" spans="1:4">
      <c r="A41" t="str">
        <f>TEXT(IF('Change in Employment'!B48&lt;&gt;0,DATE(YEAR('Change in Employment'!B48), MONTH('Change in Employment'!B48), 1), ""), "mm/dd/yyyy")</f>
        <v>03/01/2012</v>
      </c>
      <c r="B41">
        <f>IF(ISNUMBER('Change in Employment'!L48),'Change in Employment'!L48, "")</f>
        <v>1000</v>
      </c>
      <c r="C41" t="str">
        <f>IFERROR(IF(ISNUMBER('Change in Employment'!M48),TEXT('Change in Employment'!M48, "0"), ""), "")</f>
        <v>-2067</v>
      </c>
      <c r="D41" s="8">
        <f>IF(ISNUMBER('Change in Employment'!G48),'Change in Employment'!G48,"")</f>
        <v>0</v>
      </c>
    </row>
    <row r="42" spans="1:4">
      <c r="A42" t="str">
        <f>TEXT(IF('Change in Employment'!B49&lt;&gt;0,DATE(YEAR('Change in Employment'!B49), MONTH('Change in Employment'!B49), 1), ""), "mm/dd/yyyy")</f>
        <v>04/01/2012</v>
      </c>
      <c r="B42">
        <f>IF(ISNUMBER('Change in Employment'!L49),'Change in Employment'!L49, "")</f>
        <v>-1500</v>
      </c>
      <c r="C42" t="str">
        <f>IFERROR(IF(ISNUMBER('Change in Employment'!M49),TEXT('Change in Employment'!M49, "0"), ""), "")</f>
        <v>-833</v>
      </c>
      <c r="D42" s="8">
        <f>IF(ISNUMBER('Change in Employment'!G49),'Change in Employment'!G49,"")</f>
        <v>0</v>
      </c>
    </row>
    <row r="43" spans="1:4">
      <c r="A43" t="str">
        <f>TEXT(IF('Change in Employment'!B50&lt;&gt;0,DATE(YEAR('Change in Employment'!B50), MONTH('Change in Employment'!B50), 1), ""), "mm/dd/yyyy")</f>
        <v>05/01/2012</v>
      </c>
      <c r="B43">
        <f>IF(ISNUMBER('Change in Employment'!L50),'Change in Employment'!L50, "")</f>
        <v>-1100.0000000003638</v>
      </c>
      <c r="C43" t="str">
        <f>IFERROR(IF(ISNUMBER('Change in Employment'!M50),TEXT('Change in Employment'!M50, "0"), ""), "")</f>
        <v>-533</v>
      </c>
      <c r="D43" s="8">
        <f>IF(ISNUMBER('Change in Employment'!G50),'Change in Employment'!G50,"")</f>
        <v>0</v>
      </c>
    </row>
    <row r="44" spans="1:4">
      <c r="A44" t="str">
        <f>TEXT(IF('Change in Employment'!B51&lt;&gt;0,DATE(YEAR('Change in Employment'!B51), MONTH('Change in Employment'!B51), 1), ""), "mm/dd/yyyy")</f>
        <v>06/01/2012</v>
      </c>
      <c r="B44">
        <f>IF(ISNUMBER('Change in Employment'!L51),'Change in Employment'!L51, "")</f>
        <v>1700.0000000002728</v>
      </c>
      <c r="C44" t="str">
        <f>IFERROR(IF(ISNUMBER('Change in Employment'!M51),TEXT('Change in Employment'!M51, "0"), ""), "")</f>
        <v>-300</v>
      </c>
      <c r="D44" s="8">
        <f>IF(ISNUMBER('Change in Employment'!G51),'Change in Employment'!G51,"")</f>
        <v>0</v>
      </c>
    </row>
    <row r="45" spans="1:4">
      <c r="A45" t="str">
        <f>TEXT(IF('Change in Employment'!B52&lt;&gt;0,DATE(YEAR('Change in Employment'!B52), MONTH('Change in Employment'!B52), 1), ""), "mm/dd/yyyy")</f>
        <v>07/01/2012</v>
      </c>
      <c r="B45">
        <f>IF(ISNUMBER('Change in Employment'!L52),'Change in Employment'!L52, "")</f>
        <v>-8099.9999999999091</v>
      </c>
      <c r="C45" t="str">
        <f>IFERROR(IF(ISNUMBER('Change in Employment'!M52),TEXT('Change in Employment'!M52, "0"), ""), "")</f>
        <v>-2500</v>
      </c>
      <c r="D45" s="8">
        <f>IF(ISNUMBER('Change in Employment'!G52),'Change in Employment'!G52,"")</f>
        <v>0</v>
      </c>
    </row>
    <row r="46" spans="1:4">
      <c r="A46" t="str">
        <f>TEXT(IF('Change in Employment'!B53&lt;&gt;0,DATE(YEAR('Change in Employment'!B53), MONTH('Change in Employment'!B53), 1), ""), "mm/dd/yyyy")</f>
        <v>08/01/2012</v>
      </c>
      <c r="B46">
        <f>IF(ISNUMBER('Change in Employment'!L53),'Change in Employment'!L53, "")</f>
        <v>7799.9999999997272</v>
      </c>
      <c r="C46" t="str">
        <f>IFERROR(IF(ISNUMBER('Change in Employment'!M53),TEXT('Change in Employment'!M53, "0"), ""), "")</f>
        <v>467</v>
      </c>
      <c r="D46" s="8">
        <f>IF(ISNUMBER('Change in Employment'!G53),'Change in Employment'!G53,"")</f>
        <v>0</v>
      </c>
    </row>
    <row r="47" spans="1:4">
      <c r="A47" t="str">
        <f>TEXT(IF('Change in Employment'!B54&lt;&gt;0,DATE(YEAR('Change in Employment'!B54), MONTH('Change in Employment'!B54), 1), ""), "mm/dd/yyyy")</f>
        <v>09/01/2012</v>
      </c>
      <c r="B47">
        <f>IF(ISNUMBER('Change in Employment'!L54),'Change in Employment'!L54, "")</f>
        <v>5700.0000000002728</v>
      </c>
      <c r="C47" t="str">
        <f>IFERROR(IF(ISNUMBER('Change in Employment'!M54),TEXT('Change in Employment'!M54, "0"), ""), "")</f>
        <v>1800</v>
      </c>
      <c r="D47" s="8">
        <f>IF(ISNUMBER('Change in Employment'!G54),'Change in Employment'!G54,"")</f>
        <v>0</v>
      </c>
    </row>
    <row r="48" spans="1:4">
      <c r="A48" t="str">
        <f>TEXT(IF('Change in Employment'!B55&lt;&gt;0,DATE(YEAR('Change in Employment'!B55), MONTH('Change in Employment'!B55), 1), ""), "mm/dd/yyyy")</f>
        <v>10/01/2012</v>
      </c>
      <c r="B48">
        <f>IF(ISNUMBER('Change in Employment'!L55),'Change in Employment'!L55, "")</f>
        <v>-2700.0000000002728</v>
      </c>
      <c r="C48" t="str">
        <f>IFERROR(IF(ISNUMBER('Change in Employment'!M55),TEXT('Change in Employment'!M55, "0"), ""), "")</f>
        <v>3600</v>
      </c>
      <c r="D48" s="8">
        <f>IF(ISNUMBER('Change in Employment'!G55),'Change in Employment'!G55,"")</f>
        <v>0</v>
      </c>
    </row>
    <row r="49" spans="1:4">
      <c r="A49" t="str">
        <f>TEXT(IF('Change in Employment'!B56&lt;&gt;0,DATE(YEAR('Change in Employment'!B56), MONTH('Change in Employment'!B56), 1), ""), "mm/dd/yyyy")</f>
        <v>11/01/2012</v>
      </c>
      <c r="B49">
        <f>IF(ISNUMBER('Change in Employment'!L56),'Change in Employment'!L56, "")</f>
        <v>-4500</v>
      </c>
      <c r="C49" t="str">
        <f>IFERROR(IF(ISNUMBER('Change in Employment'!M56),TEXT('Change in Employment'!M56, "0"), ""), "")</f>
        <v>-500</v>
      </c>
      <c r="D49" s="8">
        <f>IF(ISNUMBER('Change in Employment'!G56),'Change in Employment'!G56,"")</f>
        <v>0</v>
      </c>
    </row>
    <row r="50" spans="1:4">
      <c r="A50" t="str">
        <f>TEXT(IF('Change in Employment'!B57&lt;&gt;0,DATE(YEAR('Change in Employment'!B57), MONTH('Change in Employment'!B57), 1), ""), "mm/dd/yyyy")</f>
        <v>12/01/2012</v>
      </c>
      <c r="B50">
        <f>IF(ISNUMBER('Change in Employment'!L57),'Change in Employment'!L57, "")</f>
        <v>-1199.9999999998181</v>
      </c>
      <c r="C50" t="str">
        <f>IFERROR(IF(ISNUMBER('Change in Employment'!M57),TEXT('Change in Employment'!M57, "0"), ""), "")</f>
        <v>-2800</v>
      </c>
      <c r="D50" s="8">
        <f>IF(ISNUMBER('Change in Employment'!G57),'Change in Employment'!G57,"")</f>
        <v>0</v>
      </c>
    </row>
    <row r="51" spans="1:4">
      <c r="A51" t="str">
        <f>TEXT(IF('Change in Employment'!B58&lt;&gt;0,DATE(YEAR('Change in Employment'!B58), MONTH('Change in Employment'!B58), 1), ""), "mm/dd/yyyy")</f>
        <v>01/01/2013</v>
      </c>
      <c r="B51">
        <f>IF(ISNUMBER('Change in Employment'!L58),'Change in Employment'!L58, "")</f>
        <v>-4300.0000000001819</v>
      </c>
      <c r="C51" t="str">
        <f>IFERROR(IF(ISNUMBER('Change in Employment'!M58),TEXT('Change in Employment'!M58, "0"), ""), "")</f>
        <v>-3333</v>
      </c>
      <c r="D51" s="8">
        <f>IF(ISNUMBER('Change in Employment'!G58),'Change in Employment'!G58,"")</f>
        <v>0</v>
      </c>
    </row>
    <row r="52" spans="1:4">
      <c r="A52" t="str">
        <f>TEXT(IF('Change in Employment'!B59&lt;&gt;0,DATE(YEAR('Change in Employment'!B59), MONTH('Change in Employment'!B59), 1), ""), "mm/dd/yyyy")</f>
        <v>02/01/2013</v>
      </c>
      <c r="B52">
        <f>IF(ISNUMBER('Change in Employment'!L59),'Change in Employment'!L59, "")</f>
        <v>-199.9999999998181</v>
      </c>
      <c r="C52" t="str">
        <f>IFERROR(IF(ISNUMBER('Change in Employment'!M59),TEXT('Change in Employment'!M59, "0"), ""), "")</f>
        <v>-1900</v>
      </c>
      <c r="D52" s="8">
        <f>IF(ISNUMBER('Change in Employment'!G59),'Change in Employment'!G59,"")</f>
        <v>0</v>
      </c>
    </row>
    <row r="53" spans="1:4">
      <c r="A53" t="str">
        <f>TEXT(IF('Change in Employment'!B60&lt;&gt;0,DATE(YEAR('Change in Employment'!B60), MONTH('Change in Employment'!B60), 1), ""), "mm/dd/yyyy")</f>
        <v>03/01/2013</v>
      </c>
      <c r="B53">
        <f>IF(ISNUMBER('Change in Employment'!L60),'Change in Employment'!L60, "")</f>
        <v>-1599.9999999999091</v>
      </c>
      <c r="C53" t="str">
        <f>IFERROR(IF(ISNUMBER('Change in Employment'!M60),TEXT('Change in Employment'!M60, "0"), ""), "")</f>
        <v>-2033</v>
      </c>
      <c r="D53" s="8">
        <f>IF(ISNUMBER('Change in Employment'!G60),'Change in Employment'!G60,"")</f>
        <v>0</v>
      </c>
    </row>
    <row r="54" spans="1:4">
      <c r="A54" t="str">
        <f>TEXT(IF('Change in Employment'!B61&lt;&gt;0,DATE(YEAR('Change in Employment'!B61), MONTH('Change in Employment'!B61), 1), ""), "mm/dd/yyyy")</f>
        <v>04/01/2013</v>
      </c>
      <c r="B54">
        <f>IF(ISNUMBER('Change in Employment'!L61),'Change in Employment'!L61, "")</f>
        <v>-9200.0000000002728</v>
      </c>
      <c r="C54" t="str">
        <f>IFERROR(IF(ISNUMBER('Change in Employment'!M61),TEXT('Change in Employment'!M61, "0"), ""), "")</f>
        <v>-3667</v>
      </c>
      <c r="D54" s="8">
        <f>IF(ISNUMBER('Change in Employment'!G61),'Change in Employment'!G61,"")</f>
        <v>0</v>
      </c>
    </row>
    <row r="55" spans="1:4">
      <c r="A55" t="str">
        <f>TEXT(IF('Change in Employment'!B62&lt;&gt;0,DATE(YEAR('Change in Employment'!B62), MONTH('Change in Employment'!B62), 1), ""), "mm/dd/yyyy")</f>
        <v>05/01/2013</v>
      </c>
      <c r="B55">
        <f>IF(ISNUMBER('Change in Employment'!L62),'Change in Employment'!L62, "")</f>
        <v>-7900.0000000000909</v>
      </c>
      <c r="C55" t="str">
        <f>IFERROR(IF(ISNUMBER('Change in Employment'!M62),TEXT('Change in Employment'!M62, "0"), ""), "")</f>
        <v>-6233</v>
      </c>
      <c r="D55" s="8">
        <f>IF(ISNUMBER('Change in Employment'!G62),'Change in Employment'!G62,"")</f>
        <v>0</v>
      </c>
    </row>
    <row r="56" spans="1:4">
      <c r="A56" t="str">
        <f>TEXT(IF('Change in Employment'!B63&lt;&gt;0,DATE(YEAR('Change in Employment'!B63), MONTH('Change in Employment'!B63), 1), ""), "mm/dd/yyyy")</f>
        <v>06/01/2013</v>
      </c>
      <c r="B56">
        <f>IF(ISNUMBER('Change in Employment'!L63),'Change in Employment'!L63, "")</f>
        <v>-6799.9999999997272</v>
      </c>
      <c r="C56" t="str">
        <f>IFERROR(IF(ISNUMBER('Change in Employment'!M63),TEXT('Change in Employment'!M63, "0"), ""), "")</f>
        <v>-7967</v>
      </c>
      <c r="D56" s="8">
        <f>IF(ISNUMBER('Change in Employment'!G63),'Change in Employment'!G63,"")</f>
        <v>0</v>
      </c>
    </row>
    <row r="57" spans="1:4">
      <c r="A57" t="str">
        <f>TEXT(IF('Change in Employment'!B64&lt;&gt;0,DATE(YEAR('Change in Employment'!B64), MONTH('Change in Employment'!B64), 1), ""), "mm/dd/yyyy")</f>
        <v>07/01/2013</v>
      </c>
      <c r="B57">
        <f>IF(ISNUMBER('Change in Employment'!L64),'Change in Employment'!L64, "")</f>
        <v>-9000</v>
      </c>
      <c r="C57" t="str">
        <f>IFERROR(IF(ISNUMBER('Change in Employment'!M64),TEXT('Change in Employment'!M64, "0"), ""), "")</f>
        <v>-7900</v>
      </c>
      <c r="D57" s="8">
        <f>IF(ISNUMBER('Change in Employment'!G64),'Change in Employment'!G64,"")</f>
        <v>0</v>
      </c>
    </row>
    <row r="58" spans="1:4">
      <c r="A58" t="str">
        <f>TEXT(IF('Change in Employment'!B65&lt;&gt;0,DATE(YEAR('Change in Employment'!B65), MONTH('Change in Employment'!B65), 1), ""), "mm/dd/yyyy")</f>
        <v>08/01/2013</v>
      </c>
      <c r="B58">
        <f>IF(ISNUMBER('Change in Employment'!L65),'Change in Employment'!L65, "")</f>
        <v>-6900.0000000000909</v>
      </c>
      <c r="C58" t="str">
        <f>IFERROR(IF(ISNUMBER('Change in Employment'!M65),TEXT('Change in Employment'!M65, "0"), ""), "")</f>
        <v>-7567</v>
      </c>
      <c r="D58" s="8">
        <f>IF(ISNUMBER('Change in Employment'!G65),'Change in Employment'!G65,"")</f>
        <v>0</v>
      </c>
    </row>
    <row r="59" spans="1:4">
      <c r="A59" t="str">
        <f>TEXT(IF('Change in Employment'!B66&lt;&gt;0,DATE(YEAR('Change in Employment'!B66), MONTH('Change in Employment'!B66), 1), ""), "mm/dd/yyyy")</f>
        <v>09/01/2013</v>
      </c>
      <c r="B59">
        <f>IF(ISNUMBER('Change in Employment'!L66),'Change in Employment'!L66, "")</f>
        <v>-2300.0000000001819</v>
      </c>
      <c r="C59" t="str">
        <f>IFERROR(IF(ISNUMBER('Change in Employment'!M66),TEXT('Change in Employment'!M66, "0"), ""), "")</f>
        <v>-6067</v>
      </c>
      <c r="D59" s="8">
        <f>IF(ISNUMBER('Change in Employment'!G66),'Change in Employment'!G66,"")</f>
        <v>0</v>
      </c>
    </row>
    <row r="60" spans="1:4">
      <c r="A60" t="str">
        <f>TEXT(IF('Change in Employment'!B67&lt;&gt;0,DATE(YEAR('Change in Employment'!B67), MONTH('Change in Employment'!B67), 1), ""), "mm/dd/yyyy")</f>
        <v>10/01/2013</v>
      </c>
      <c r="B60">
        <f>IF(ISNUMBER('Change in Employment'!L67),'Change in Employment'!L67, "")</f>
        <v>-10899.999999999636</v>
      </c>
      <c r="C60" t="str">
        <f>IFERROR(IF(ISNUMBER('Change in Employment'!M67),TEXT('Change in Employment'!M67, "0"), ""), "")</f>
        <v>-6700</v>
      </c>
      <c r="D60" s="8">
        <f>IF(ISNUMBER('Change in Employment'!G67),'Change in Employment'!G67,"")</f>
        <v>0</v>
      </c>
    </row>
    <row r="61" spans="1:4">
      <c r="A61" t="str">
        <f>TEXT(IF('Change in Employment'!B68&lt;&gt;0,DATE(YEAR('Change in Employment'!B68), MONTH('Change in Employment'!B68), 1), ""), "mm/dd/yyyy")</f>
        <v>11/01/2013</v>
      </c>
      <c r="B61">
        <f>IF(ISNUMBER('Change in Employment'!L68),'Change in Employment'!L68, "")</f>
        <v>2799.9999999997272</v>
      </c>
      <c r="C61" t="str">
        <f>IFERROR(IF(ISNUMBER('Change in Employment'!M68),TEXT('Change in Employment'!M68, "0"), ""), "")</f>
        <v>-3467</v>
      </c>
      <c r="D61" s="8">
        <f>IF(ISNUMBER('Change in Employment'!G68),'Change in Employment'!G68,"")</f>
        <v>0</v>
      </c>
    </row>
    <row r="62" spans="1:4">
      <c r="A62" t="str">
        <f>TEXT(IF('Change in Employment'!B69&lt;&gt;0,DATE(YEAR('Change in Employment'!B69), MONTH('Change in Employment'!B69), 1), ""), "mm/dd/yyyy")</f>
        <v>12/01/2013</v>
      </c>
      <c r="B62">
        <f>IF(ISNUMBER('Change in Employment'!L69),'Change in Employment'!L69, "")</f>
        <v>-4400.0000000000909</v>
      </c>
      <c r="C62" t="str">
        <f>IFERROR(IF(ISNUMBER('Change in Employment'!M69),TEXT('Change in Employment'!M69, "0"), ""), "")</f>
        <v>-4167</v>
      </c>
      <c r="D62" s="8">
        <f>IF(ISNUMBER('Change in Employment'!G69),'Change in Employment'!G69,"")</f>
        <v>0</v>
      </c>
    </row>
    <row r="63" spans="1:4">
      <c r="A63" t="str">
        <f>TEXT(IF('Change in Employment'!B70&lt;&gt;0,DATE(YEAR('Change in Employment'!B70), MONTH('Change in Employment'!B70), 1), ""), "mm/dd/yyyy")</f>
        <v>01/01/2014</v>
      </c>
      <c r="B63">
        <f>IF(ISNUMBER('Change in Employment'!L70),'Change in Employment'!L70, "")</f>
        <v>-3399.9999999996362</v>
      </c>
      <c r="C63" t="str">
        <f>IFERROR(IF(ISNUMBER('Change in Employment'!M70),TEXT('Change in Employment'!M70, "0"), ""), "")</f>
        <v>-1667</v>
      </c>
      <c r="D63" s="8">
        <f>IF(ISNUMBER('Change in Employment'!G70),'Change in Employment'!G70,"")</f>
        <v>0</v>
      </c>
    </row>
    <row r="64" spans="1:4">
      <c r="A64" t="str">
        <f>TEXT(IF('Change in Employment'!B71&lt;&gt;0,DATE(YEAR('Change in Employment'!B71), MONTH('Change in Employment'!B71), 1), ""), "mm/dd/yyyy")</f>
        <v>02/01/2014</v>
      </c>
      <c r="B64">
        <f>IF(ISNUMBER('Change in Employment'!L71),'Change in Employment'!L71, "")</f>
        <v>-3900.0000000000909</v>
      </c>
      <c r="C64" t="str">
        <f>IFERROR(IF(ISNUMBER('Change in Employment'!M71),TEXT('Change in Employment'!M71, "0"), ""), "")</f>
        <v>-3900</v>
      </c>
      <c r="D64" s="8">
        <f>IF(ISNUMBER('Change in Employment'!G71),'Change in Employment'!G71,"")</f>
        <v>0</v>
      </c>
    </row>
    <row r="65" spans="1:4">
      <c r="A65" t="str">
        <f>TEXT(IF('Change in Employment'!B72&lt;&gt;0,DATE(YEAR('Change in Employment'!B72), MONTH('Change in Employment'!B72), 1), ""), "mm/dd/yyyy")</f>
        <v>03/01/2014</v>
      </c>
      <c r="B65">
        <f>IF(ISNUMBER('Change in Employment'!L72),'Change in Employment'!L72, "")</f>
        <v>-2000</v>
      </c>
      <c r="C65" t="str">
        <f>IFERROR(IF(ISNUMBER('Change in Employment'!M72),TEXT('Change in Employment'!M72, "0"), ""), "")</f>
        <v>-3100</v>
      </c>
      <c r="D65" s="8">
        <f>IF(ISNUMBER('Change in Employment'!G72),'Change in Employment'!G72,"")</f>
        <v>0</v>
      </c>
    </row>
    <row r="66" spans="1:4">
      <c r="A66" t="str">
        <f>TEXT(IF('Change in Employment'!B73&lt;&gt;0,DATE(YEAR('Change in Employment'!B73), MONTH('Change in Employment'!B73), 1), ""), "mm/dd/yyyy")</f>
        <v>04/01/2014</v>
      </c>
      <c r="B66">
        <f>IF(ISNUMBER('Change in Employment'!L73),'Change in Employment'!L73, "")</f>
        <v>-2400.0000000000909</v>
      </c>
      <c r="C66" t="str">
        <f>IFERROR(IF(ISNUMBER('Change in Employment'!M73),TEXT('Change in Employment'!M73, "0"), ""), "")</f>
        <v>-2767</v>
      </c>
      <c r="D66" s="8">
        <f>IF(ISNUMBER('Change in Employment'!G73),'Change in Employment'!G73,"")</f>
        <v>0</v>
      </c>
    </row>
    <row r="67" spans="1:4">
      <c r="A67" t="str">
        <f>TEXT(IF('Change in Employment'!B74&lt;&gt;0,DATE(YEAR('Change in Employment'!B74), MONTH('Change in Employment'!B74), 1), ""), "mm/dd/yyyy")</f>
        <v>05/01/2014</v>
      </c>
      <c r="B67">
        <f>IF(ISNUMBER('Change in Employment'!L74),'Change in Employment'!L74, "")</f>
        <v>699.9999999998181</v>
      </c>
      <c r="C67" t="str">
        <f>IFERROR(IF(ISNUMBER('Change in Employment'!M74),TEXT('Change in Employment'!M74, "0"), ""), "")</f>
        <v>-1233</v>
      </c>
      <c r="D67" s="8">
        <f>IF(ISNUMBER('Change in Employment'!G74),'Change in Employment'!G74,"")</f>
        <v>0</v>
      </c>
    </row>
    <row r="68" spans="1:4">
      <c r="A68" t="str">
        <f>TEXT(IF('Change in Employment'!B75&lt;&gt;0,DATE(YEAR('Change in Employment'!B75), MONTH('Change in Employment'!B75), 1), ""), "mm/dd/yyyy")</f>
        <v>06/01/2014</v>
      </c>
      <c r="B68">
        <f>IF(ISNUMBER('Change in Employment'!L75),'Change in Employment'!L75, "")</f>
        <v>200.00000000027285</v>
      </c>
      <c r="C68" t="str">
        <f>IFERROR(IF(ISNUMBER('Change in Employment'!M75),TEXT('Change in Employment'!M75, "0"), ""), "")</f>
        <v>-500</v>
      </c>
      <c r="D68" s="8">
        <f>IF(ISNUMBER('Change in Employment'!G75),'Change in Employment'!G75,"")</f>
        <v>0</v>
      </c>
    </row>
    <row r="69" spans="1:4">
      <c r="A69" t="str">
        <f>TEXT(IF('Change in Employment'!B76&lt;&gt;0,DATE(YEAR('Change in Employment'!B76), MONTH('Change in Employment'!B76), 1), ""), "mm/dd/yyyy")</f>
        <v>07/01/2014</v>
      </c>
      <c r="B69">
        <f>IF(ISNUMBER('Change in Employment'!L76),'Change in Employment'!L76, "")</f>
        <v>2599.9999999999091</v>
      </c>
      <c r="C69" t="str">
        <f>IFERROR(IF(ISNUMBER('Change in Employment'!M76),TEXT('Change in Employment'!M76, "0"), ""), "")</f>
        <v>1167</v>
      </c>
      <c r="D69" s="8">
        <f>IF(ISNUMBER('Change in Employment'!G76),'Change in Employment'!G76,"")</f>
        <v>0</v>
      </c>
    </row>
    <row r="70" spans="1:4">
      <c r="A70" t="str">
        <f>TEXT(IF('Change in Employment'!B77&lt;&gt;0,DATE(YEAR('Change in Employment'!B77), MONTH('Change in Employment'!B77), 1), ""), "mm/dd/yyyy")</f>
        <v>08/01/2014</v>
      </c>
      <c r="B70">
        <f>IF(ISNUMBER('Change in Employment'!L77),'Change in Employment'!L77, "")</f>
        <v>3599.9999999999091</v>
      </c>
      <c r="C70" t="str">
        <f>IFERROR(IF(ISNUMBER('Change in Employment'!M77),TEXT('Change in Employment'!M77, "0"), ""), "")</f>
        <v>2133</v>
      </c>
      <c r="D70" s="8">
        <f>IF(ISNUMBER('Change in Employment'!G77),'Change in Employment'!G77,"")</f>
        <v>0</v>
      </c>
    </row>
    <row r="71" spans="1:4">
      <c r="A71" t="str">
        <f>TEXT(IF('Change in Employment'!B78&lt;&gt;0,DATE(YEAR('Change in Employment'!B78), MONTH('Change in Employment'!B78), 1), ""), "mm/dd/yyyy")</f>
        <v>09/01/2014</v>
      </c>
      <c r="B71">
        <f>IF(ISNUMBER('Change in Employment'!L78),'Change in Employment'!L78, "")</f>
        <v>-1400.0000000000909</v>
      </c>
      <c r="C71" t="str">
        <f>IFERROR(IF(ISNUMBER('Change in Employment'!M78),TEXT('Change in Employment'!M78, "0"), ""), "")</f>
        <v>1600</v>
      </c>
      <c r="D71" s="8">
        <f>IF(ISNUMBER('Change in Employment'!G78),'Change in Employment'!G78,"")</f>
        <v>0</v>
      </c>
    </row>
    <row r="72" spans="1:4">
      <c r="A72" t="str">
        <f>TEXT(IF('Change in Employment'!B79&lt;&gt;0,DATE(YEAR('Change in Employment'!B79), MONTH('Change in Employment'!B79), 1), ""), "mm/dd/yyyy")</f>
        <v>10/01/2014</v>
      </c>
      <c r="B72">
        <f>IF(ISNUMBER('Change in Employment'!L79),'Change in Employment'!L79, "")</f>
        <v>100.0000000003638</v>
      </c>
      <c r="C72" t="str">
        <f>IFERROR(IF(ISNUMBER('Change in Employment'!M79),TEXT('Change in Employment'!M79, "0"), ""), "")</f>
        <v>767</v>
      </c>
      <c r="D72" s="8">
        <f>IF(ISNUMBER('Change in Employment'!G79),'Change in Employment'!G79,"")</f>
        <v>0</v>
      </c>
    </row>
    <row r="73" spans="1:4">
      <c r="A73" t="str">
        <f>TEXT(IF('Change in Employment'!B80&lt;&gt;0,DATE(YEAR('Change in Employment'!B80), MONTH('Change in Employment'!B80), 1), ""), "mm/dd/yyyy")</f>
        <v>11/01/2014</v>
      </c>
      <c r="B73">
        <f>IF(ISNUMBER('Change in Employment'!L80),'Change in Employment'!L80, "")</f>
        <v>3699.9999999998181</v>
      </c>
      <c r="C73" t="str">
        <f>IFERROR(IF(ISNUMBER('Change in Employment'!M80),TEXT('Change in Employment'!M80, "0"), ""), "")</f>
        <v>800</v>
      </c>
      <c r="D73" s="8">
        <f>IF(ISNUMBER('Change in Employment'!G80),'Change in Employment'!G80,"")</f>
        <v>0</v>
      </c>
    </row>
    <row r="74" spans="1:4">
      <c r="A74" t="str">
        <f>TEXT(IF('Change in Employment'!B81&lt;&gt;0,DATE(YEAR('Change in Employment'!B81), MONTH('Change in Employment'!B81), 1), ""), "mm/dd/yyyy")</f>
        <v>12/01/2014</v>
      </c>
      <c r="B74">
        <f>IF(ISNUMBER('Change in Employment'!L81),'Change in Employment'!L81, "")</f>
        <v>1699.9999999998181</v>
      </c>
      <c r="C74" t="str">
        <f>IFERROR(IF(ISNUMBER('Change in Employment'!M81),TEXT('Change in Employment'!M81, "0"), ""), "")</f>
        <v>1833</v>
      </c>
      <c r="D74" s="8">
        <f>IF(ISNUMBER('Change in Employment'!G81),'Change in Employment'!G81,"")</f>
        <v>0</v>
      </c>
    </row>
    <row r="75" spans="1:4">
      <c r="A75" t="str">
        <f>TEXT(IF('Change in Employment'!B82&lt;&gt;0,DATE(YEAR('Change in Employment'!B82), MONTH('Change in Employment'!B82), 1), ""), "mm/dd/yyyy")</f>
        <v>01/01/2015</v>
      </c>
      <c r="B75">
        <f>IF(ISNUMBER('Change in Employment'!L82),'Change in Employment'!L82, "")</f>
        <v>3000</v>
      </c>
      <c r="C75" t="str">
        <f>IFERROR(IF(ISNUMBER('Change in Employment'!M82),TEXT('Change in Employment'!M82, "0"), ""), "")</f>
        <v>2800</v>
      </c>
      <c r="D75" s="8">
        <f>IF(ISNUMBER('Change in Employment'!G82),'Change in Employment'!G82,"")</f>
        <v>0</v>
      </c>
    </row>
    <row r="76" spans="1:4">
      <c r="A76" t="str">
        <f>TEXT(IF('Change in Employment'!B83&lt;&gt;0,DATE(YEAR('Change in Employment'!B83), MONTH('Change in Employment'!B83), 1), ""), "mm/dd/yyyy")</f>
        <v>02/01/2015</v>
      </c>
      <c r="B76">
        <f>IF(ISNUMBER('Change in Employment'!L83),'Change in Employment'!L83, "")</f>
        <v>1800.0000000001819</v>
      </c>
      <c r="C76" t="str">
        <f>IFERROR(IF(ISNUMBER('Change in Employment'!M83),TEXT('Change in Employment'!M83, "0"), ""), "")</f>
        <v>2167</v>
      </c>
      <c r="D76" s="8">
        <f>IF(ISNUMBER('Change in Employment'!G83),'Change in Employment'!G83,"")</f>
        <v>0</v>
      </c>
    </row>
    <row r="77" spans="1:4">
      <c r="A77" t="str">
        <f>TEXT(IF('Change in Employment'!B84&lt;&gt;0,DATE(YEAR('Change in Employment'!B84), MONTH('Change in Employment'!B84), 1), ""), "mm/dd/yyyy")</f>
        <v>03/01/2015</v>
      </c>
      <c r="B77">
        <f>IF(ISNUMBER('Change in Employment'!L84),'Change in Employment'!L84, "")</f>
        <v>2199.9999999998181</v>
      </c>
      <c r="C77" t="str">
        <f>IFERROR(IF(ISNUMBER('Change in Employment'!M84),TEXT('Change in Employment'!M84, "0"), ""), "")</f>
        <v>2333</v>
      </c>
      <c r="D77" s="8">
        <f>IF(ISNUMBER('Change in Employment'!G84),'Change in Employment'!G84,"")</f>
        <v>0</v>
      </c>
    </row>
    <row r="78" spans="1:4">
      <c r="A78" t="str">
        <f>TEXT(IF('Change in Employment'!B85&lt;&gt;0,DATE(YEAR('Change in Employment'!B85), MONTH('Change in Employment'!B85), 1), ""), "mm/dd/yyyy")</f>
        <v>04/01/2015</v>
      </c>
      <c r="B78">
        <f>IF(ISNUMBER('Change in Employment'!L85),'Change in Employment'!L85, "")</f>
        <v>1600.0000000003638</v>
      </c>
      <c r="C78" t="str">
        <f>IFERROR(IF(ISNUMBER('Change in Employment'!M85),TEXT('Change in Employment'!M85, "0"), ""), "")</f>
        <v>1867</v>
      </c>
      <c r="D78" s="8">
        <f>IF(ISNUMBER('Change in Employment'!G85),'Change in Employment'!G85,"")</f>
        <v>0</v>
      </c>
    </row>
    <row r="79" spans="1:4">
      <c r="A79" t="str">
        <f>TEXT(IF('Change in Employment'!B86&lt;&gt;0,DATE(YEAR('Change in Employment'!B86), MONTH('Change in Employment'!B86), 1), ""), "mm/dd/yyyy")</f>
        <v>05/01/2015</v>
      </c>
      <c r="B79">
        <f>IF(ISNUMBER('Change in Employment'!L86),'Change in Employment'!L86, "")</f>
        <v>2899.9999999996362</v>
      </c>
      <c r="C79" t="str">
        <f>IFERROR(IF(ISNUMBER('Change in Employment'!M86),TEXT('Change in Employment'!M86, "0"), ""), "")</f>
        <v>2233</v>
      </c>
      <c r="D79" s="8">
        <f>IF(ISNUMBER('Change in Employment'!G86),'Change in Employment'!G86,"")</f>
        <v>0</v>
      </c>
    </row>
    <row r="80" spans="1:4">
      <c r="A80" t="str">
        <f>TEXT(IF('Change in Employment'!B87&lt;&gt;0,DATE(YEAR('Change in Employment'!B87), MONTH('Change in Employment'!B87), 1), ""), "mm/dd/yyyy")</f>
        <v>06/01/2015</v>
      </c>
      <c r="B80">
        <f>IF(ISNUMBER('Change in Employment'!L87),'Change in Employment'!L87, "")</f>
        <v>-199.9999999998181</v>
      </c>
      <c r="C80" t="str">
        <f>IFERROR(IF(ISNUMBER('Change in Employment'!M87),TEXT('Change in Employment'!M87, "0"), ""), "")</f>
        <v>1433</v>
      </c>
      <c r="D80" s="8">
        <f>IF(ISNUMBER('Change in Employment'!G87),'Change in Employment'!G87,"")</f>
        <v>0</v>
      </c>
    </row>
    <row r="81" spans="1:4">
      <c r="A81" t="str">
        <f>TEXT(IF('Change in Employment'!B88&lt;&gt;0,DATE(YEAR('Change in Employment'!B88), MONTH('Change in Employment'!B88), 1), ""), "mm/dd/yyyy")</f>
        <v>07/01/2015</v>
      </c>
      <c r="B81">
        <f>IF(ISNUMBER('Change in Employment'!L88),'Change in Employment'!L88, "")</f>
        <v>3699.9999999998181</v>
      </c>
      <c r="C81" t="str">
        <f>IFERROR(IF(ISNUMBER('Change in Employment'!M88),TEXT('Change in Employment'!M88, "0"), ""), "")</f>
        <v>2133</v>
      </c>
      <c r="D81" s="8">
        <f>IF(ISNUMBER('Change in Employment'!G88),'Change in Employment'!G88,"")</f>
        <v>0</v>
      </c>
    </row>
    <row r="82" spans="1:4">
      <c r="A82" t="str">
        <f>TEXT(IF('Change in Employment'!B89&lt;&gt;0,DATE(YEAR('Change in Employment'!B89), MONTH('Change in Employment'!B89), 1), ""), "mm/dd/yyyy")</f>
        <v>08/01/2015</v>
      </c>
      <c r="B82">
        <f>IF(ISNUMBER('Change in Employment'!L89),'Change in Employment'!L89, "")</f>
        <v>1400.0000000000909</v>
      </c>
      <c r="C82" t="str">
        <f>IFERROR(IF(ISNUMBER('Change in Employment'!M89),TEXT('Change in Employment'!M89, "0"), ""), "")</f>
        <v>1633</v>
      </c>
      <c r="D82" s="8">
        <f>IF(ISNUMBER('Change in Employment'!G89),'Change in Employment'!G89,"")</f>
        <v>0</v>
      </c>
    </row>
    <row r="83" spans="1:4">
      <c r="A83" t="str">
        <f>TEXT(IF('Change in Employment'!B90&lt;&gt;0,DATE(YEAR('Change in Employment'!B90), MONTH('Change in Employment'!B90), 1), ""), "mm/dd/yyyy")</f>
        <v>09/01/2015</v>
      </c>
      <c r="B83">
        <f>IF(ISNUMBER('Change in Employment'!L90),'Change in Employment'!L90, "")</f>
        <v>99.999999999909051</v>
      </c>
      <c r="C83" t="str">
        <f>IFERROR(IF(ISNUMBER('Change in Employment'!M90),TEXT('Change in Employment'!M90, "0"), ""), "")</f>
        <v>1733</v>
      </c>
      <c r="D83" s="8">
        <f>IF(ISNUMBER('Change in Employment'!G90),'Change in Employment'!G90,"")</f>
        <v>0</v>
      </c>
    </row>
    <row r="84" spans="1:4">
      <c r="A84" t="str">
        <f>TEXT(IF('Change in Employment'!B91&lt;&gt;0,DATE(YEAR('Change in Employment'!B91), MONTH('Change in Employment'!B91), 1), ""), "mm/dd/yyyy")</f>
        <v>10/01/2015</v>
      </c>
      <c r="B84">
        <f>IF(ISNUMBER('Change in Employment'!L91),'Change in Employment'!L91, "")</f>
        <v>-3799.9999999997272</v>
      </c>
      <c r="C84" t="str">
        <f>IFERROR(IF(ISNUMBER('Change in Employment'!M91),TEXT('Change in Employment'!M91, "0"), ""), "")</f>
        <v>-767</v>
      </c>
      <c r="D84" s="8">
        <f>IF(ISNUMBER('Change in Employment'!G91),'Change in Employment'!G91,"")</f>
        <v>0</v>
      </c>
    </row>
    <row r="85" spans="1:4">
      <c r="A85" t="str">
        <f>TEXT(IF('Change in Employment'!B92&lt;&gt;0,DATE(YEAR('Change in Employment'!B92), MONTH('Change in Employment'!B92), 1), ""), "mm/dd/yyyy")</f>
        <v>11/01/2015</v>
      </c>
      <c r="B85">
        <f>IF(ISNUMBER('Change in Employment'!L92),'Change in Employment'!L92, "")</f>
        <v>6199.9999999998181</v>
      </c>
      <c r="C85" t="str">
        <f>IFERROR(IF(ISNUMBER('Change in Employment'!M92),TEXT('Change in Employment'!M92, "0"), ""), "")</f>
        <v>833</v>
      </c>
      <c r="D85" s="8">
        <f>IF(ISNUMBER('Change in Employment'!G92),'Change in Employment'!G92,"")</f>
        <v>0</v>
      </c>
    </row>
    <row r="86" spans="1:4">
      <c r="A86" t="str">
        <f>TEXT(IF('Change in Employment'!B93&lt;&gt;0,DATE(YEAR('Change in Employment'!B93), MONTH('Change in Employment'!B93), 1), ""), "mm/dd/yyyy")</f>
        <v>12/01/2015</v>
      </c>
      <c r="B86">
        <f>IF(ISNUMBER('Change in Employment'!L93),'Change in Employment'!L93, "")</f>
        <v>6000</v>
      </c>
      <c r="C86" t="str">
        <f>IFERROR(IF(ISNUMBER('Change in Employment'!M93),TEXT('Change in Employment'!M93, "0"), ""), "")</f>
        <v>2800</v>
      </c>
      <c r="D86" s="8">
        <f>IF(ISNUMBER('Change in Employment'!G93),'Change in Employment'!G93,"")</f>
        <v>0</v>
      </c>
    </row>
    <row r="87" spans="1:4">
      <c r="A87" t="str">
        <f>TEXT(IF('Change in Employment'!B94&lt;&gt;0,DATE(YEAR('Change in Employment'!B94), MONTH('Change in Employment'!B94), 1), ""), "mm/dd/yyyy")</f>
        <v>01/01/2016</v>
      </c>
      <c r="B87">
        <f>IF(ISNUMBER('Change in Employment'!L94),'Change in Employment'!L94, "")</f>
        <v>-199.9999999998181</v>
      </c>
      <c r="C87" t="str">
        <f>IFERROR(IF(ISNUMBER('Change in Employment'!M94),TEXT('Change in Employment'!M94, "0"), ""), "")</f>
        <v>4000</v>
      </c>
      <c r="D87" s="8">
        <f>IF(ISNUMBER('Change in Employment'!G94),'Change in Employment'!G94,"")</f>
        <v>0</v>
      </c>
    </row>
    <row r="88" spans="1:4">
      <c r="A88" t="str">
        <f>TEXT(IF('Change in Employment'!B95&lt;&gt;0,DATE(YEAR('Change in Employment'!B95), MONTH('Change in Employment'!B95), 1), ""), "mm/dd/yyyy")</f>
        <v>02/01/2016</v>
      </c>
      <c r="B88">
        <f>IF(ISNUMBER('Change in Employment'!L95),'Change in Employment'!L95, "")</f>
        <v>1799.9999999997272</v>
      </c>
      <c r="C88" t="str">
        <f>IFERROR(IF(ISNUMBER('Change in Employment'!M95),TEXT('Change in Employment'!M95, "0"), ""), "")</f>
        <v>2533</v>
      </c>
      <c r="D88" s="8">
        <f>IF(ISNUMBER('Change in Employment'!G95),'Change in Employment'!G95,"")</f>
        <v>0</v>
      </c>
    </row>
    <row r="89" spans="1:4">
      <c r="A89" t="str">
        <f>TEXT(IF('Change in Employment'!B96&lt;&gt;0,DATE(YEAR('Change in Employment'!B96), MONTH('Change in Employment'!B96), 1), ""), "mm/dd/yyyy")</f>
        <v>03/01/2016</v>
      </c>
      <c r="B89">
        <f>IF(ISNUMBER('Change in Employment'!L96),'Change in Employment'!L96, "")</f>
        <v>3300.0000000001819</v>
      </c>
      <c r="C89" t="str">
        <f>IFERROR(IF(ISNUMBER('Change in Employment'!M96),TEXT('Change in Employment'!M96, "0"), ""), "")</f>
        <v>1633</v>
      </c>
      <c r="D89" s="8">
        <f>IF(ISNUMBER('Change in Employment'!G96),'Change in Employment'!G96,"")</f>
        <v>0</v>
      </c>
    </row>
    <row r="90" spans="1:4">
      <c r="A90" t="str">
        <f>TEXT(IF('Change in Employment'!B97&lt;&gt;0,DATE(YEAR('Change in Employment'!B97), MONTH('Change in Employment'!B97), 1), ""), "mm/dd/yyyy")</f>
        <v>04/01/2016</v>
      </c>
      <c r="B90">
        <f>IF(ISNUMBER('Change in Employment'!L97),'Change in Employment'!L97, "")</f>
        <v>2599.9999999999091</v>
      </c>
      <c r="C90" t="str">
        <f>IFERROR(IF(ISNUMBER('Change in Employment'!M97),TEXT('Change in Employment'!M97, "0"), ""), "")</f>
        <v>2567</v>
      </c>
      <c r="D90" s="8">
        <f>IF(ISNUMBER('Change in Employment'!G97),'Change in Employment'!G97,"")</f>
        <v>0</v>
      </c>
    </row>
    <row r="91" spans="1:4">
      <c r="A91" t="str">
        <f>TEXT(IF('Change in Employment'!B98&lt;&gt;0,DATE(YEAR('Change in Employment'!B98), MONTH('Change in Employment'!B98), 1), ""), "mm/dd/yyyy")</f>
        <v>05/01/2016</v>
      </c>
      <c r="B91">
        <f>IF(ISNUMBER('Change in Employment'!L98),'Change in Employment'!L98, "")</f>
        <v>4099.9999999999091</v>
      </c>
      <c r="C91" t="str">
        <f>IFERROR(IF(ISNUMBER('Change in Employment'!M98),TEXT('Change in Employment'!M98, "0"), ""), "")</f>
        <v>3333</v>
      </c>
      <c r="D91" s="8">
        <f>IF(ISNUMBER('Change in Employment'!G98),'Change in Employment'!G98,"")</f>
        <v>0</v>
      </c>
    </row>
    <row r="92" spans="1:4">
      <c r="A92" t="str">
        <f>TEXT(IF('Change in Employment'!B99&lt;&gt;0,DATE(YEAR('Change in Employment'!B99), MONTH('Change in Employment'!B99), 1), ""), "mm/dd/yyyy")</f>
        <v>06/01/2016</v>
      </c>
      <c r="B92">
        <f>IF(ISNUMBER('Change in Employment'!L99),'Change in Employment'!L99, "")</f>
        <v>4900.0000000000909</v>
      </c>
      <c r="C92" t="str">
        <f>IFERROR(IF(ISNUMBER('Change in Employment'!M99),TEXT('Change in Employment'!M99, "0"), ""), "")</f>
        <v>3867</v>
      </c>
      <c r="D92" s="8">
        <f>IF(ISNUMBER('Change in Employment'!G99),'Change in Employment'!G99,"")</f>
        <v>0</v>
      </c>
    </row>
    <row r="93" spans="1:4">
      <c r="A93" t="str">
        <f>TEXT(IF('Change in Employment'!B100&lt;&gt;0,DATE(YEAR('Change in Employment'!B100), MONTH('Change in Employment'!B100), 1), ""), "mm/dd/yyyy")</f>
        <v>07/01/2016</v>
      </c>
      <c r="B93">
        <f>IF(ISNUMBER('Change in Employment'!L100),'Change in Employment'!L100, "")</f>
        <v>3900.0000000000909</v>
      </c>
      <c r="C93" t="str">
        <f>IFERROR(IF(ISNUMBER('Change in Employment'!M100),TEXT('Change in Employment'!M100, "0"), ""), "")</f>
        <v>4300</v>
      </c>
      <c r="D93" s="8">
        <f>IF(ISNUMBER('Change in Employment'!G100),'Change in Employment'!G100,"")</f>
        <v>0</v>
      </c>
    </row>
    <row r="94" spans="1:4">
      <c r="A94" t="str">
        <f>TEXT(IF('Change in Employment'!B101&lt;&gt;0,DATE(YEAR('Change in Employment'!B101), MONTH('Change in Employment'!B101), 1), ""), "mm/dd/yyyy")</f>
        <v>08/01/2016</v>
      </c>
      <c r="B94">
        <f>IF(ISNUMBER('Change in Employment'!L101),'Change in Employment'!L101, "")</f>
        <v>-2099.9999999999091</v>
      </c>
      <c r="C94" t="str">
        <f>IFERROR(IF(ISNUMBER('Change in Employment'!M101),TEXT('Change in Employment'!M101, "0"), ""), "")</f>
        <v>2233</v>
      </c>
      <c r="D94" s="8">
        <f>IF(ISNUMBER('Change in Employment'!G101),'Change in Employment'!G101,"")</f>
        <v>0</v>
      </c>
    </row>
    <row r="95" spans="1:4">
      <c r="A95" t="str">
        <f>TEXT(IF('Change in Employment'!B102&lt;&gt;0,DATE(YEAR('Change in Employment'!B102), MONTH('Change in Employment'!B102), 1), ""), "mm/dd/yyyy")</f>
        <v>09/01/2016</v>
      </c>
      <c r="B95">
        <f>IF(ISNUMBER('Change in Employment'!L102),'Change in Employment'!L102, "")</f>
        <v>3099.9999999999091</v>
      </c>
      <c r="C95" t="str">
        <f>IFERROR(IF(ISNUMBER('Change in Employment'!M102),TEXT('Change in Employment'!M102, "0"), ""), "")</f>
        <v>1633</v>
      </c>
      <c r="D95" s="8">
        <f>IF(ISNUMBER('Change in Employment'!G102),'Change in Employment'!G102,"")</f>
        <v>0</v>
      </c>
    </row>
    <row r="96" spans="1:4">
      <c r="A96" t="str">
        <f>TEXT(IF('Change in Employment'!B103&lt;&gt;0,DATE(YEAR('Change in Employment'!B103), MONTH('Change in Employment'!B103), 1), ""), "mm/dd/yyyy")</f>
        <v>10/01/2016</v>
      </c>
      <c r="B96">
        <f>IF(ISNUMBER('Change in Employment'!L103),'Change in Employment'!L103, "")</f>
        <v>1300.0000000001819</v>
      </c>
      <c r="C96" t="str">
        <f>IFERROR(IF(ISNUMBER('Change in Employment'!M103),TEXT('Change in Employment'!M103, "0"), ""), "")</f>
        <v>767</v>
      </c>
      <c r="D96" s="8">
        <f>IF(ISNUMBER('Change in Employment'!G103),'Change in Employment'!G103,"")</f>
        <v>0</v>
      </c>
    </row>
    <row r="97" spans="1:4">
      <c r="A97" t="str">
        <f>TEXT(IF('Change in Employment'!B104&lt;&gt;0,DATE(YEAR('Change in Employment'!B104), MONTH('Change in Employment'!B104), 1), ""), "mm/dd/yyyy")</f>
        <v>11/01/2016</v>
      </c>
      <c r="B97">
        <f>IF(ISNUMBER('Change in Employment'!L104),'Change in Employment'!L104, "")</f>
        <v>-7100.0000000003638</v>
      </c>
      <c r="C97" t="str">
        <f>IFERROR(IF(ISNUMBER('Change in Employment'!M104),TEXT('Change in Employment'!M104, "0"), ""), "")</f>
        <v>-900</v>
      </c>
      <c r="D97" s="8">
        <f>IF(ISNUMBER('Change in Employment'!G104),'Change in Employment'!G104,"")</f>
        <v>0</v>
      </c>
    </row>
    <row r="98" spans="1:4">
      <c r="A98" t="str">
        <f>TEXT(IF('Change in Employment'!B105&lt;&gt;0,DATE(YEAR('Change in Employment'!B105), MONTH('Change in Employment'!B105), 1), ""), "mm/dd/yyyy")</f>
        <v>12/01/2016</v>
      </c>
      <c r="B98">
        <f>IF(ISNUMBER('Change in Employment'!L105),'Change in Employment'!L105, "")</f>
        <v>12000</v>
      </c>
      <c r="C98" t="str">
        <f>IFERROR(IF(ISNUMBER('Change in Employment'!M105),TEXT('Change in Employment'!M105, "0"), ""), "")</f>
        <v>2067</v>
      </c>
      <c r="D98" s="8">
        <f>IF(ISNUMBER('Change in Employment'!G105),'Change in Employment'!G105,"")</f>
        <v>0</v>
      </c>
    </row>
    <row r="99" spans="1:4">
      <c r="A99" t="str">
        <f>TEXT(IF('Change in Employment'!B106&lt;&gt;0,DATE(YEAR('Change in Employment'!B106), MONTH('Change in Employment'!B106), 1), ""), "mm/dd/yyyy")</f>
        <v>01/01/2017</v>
      </c>
      <c r="B99">
        <f>IF(ISNUMBER('Change in Employment'!L106),'Change in Employment'!L106, "")</f>
        <v>-299.99999999972715</v>
      </c>
      <c r="C99" t="str">
        <f>IFERROR(IF(ISNUMBER('Change in Employment'!M106),TEXT('Change in Employment'!M106, "0"), ""), "")</f>
        <v>1533</v>
      </c>
      <c r="D99" s="8">
        <f>IF(ISNUMBER('Change in Employment'!G106),'Change in Employment'!G106,"")</f>
        <v>0</v>
      </c>
    </row>
    <row r="100" spans="1:4">
      <c r="A100" t="str">
        <f>TEXT(IF('Change in Employment'!B107&lt;&gt;0,DATE(YEAR('Change in Employment'!B107), MONTH('Change in Employment'!B107), 1), ""), "mm/dd/yyyy")</f>
        <v>02/01/2017</v>
      </c>
      <c r="B100">
        <f>IF(ISNUMBER('Change in Employment'!L107),'Change in Employment'!L107, "")</f>
        <v>-1599.9999999999091</v>
      </c>
      <c r="C100" t="str">
        <f>IFERROR(IF(ISNUMBER('Change in Employment'!M107),TEXT('Change in Employment'!M107, "0"), ""), "")</f>
        <v>3367</v>
      </c>
      <c r="D100" s="8">
        <f>IF(ISNUMBER('Change in Employment'!G107),'Change in Employment'!G107,"")</f>
        <v>0</v>
      </c>
    </row>
    <row r="101" spans="1:4">
      <c r="A101" t="str">
        <f>TEXT(IF('Change in Employment'!B108&lt;&gt;0,DATE(YEAR('Change in Employment'!B108), MONTH('Change in Employment'!B108), 1), ""), "mm/dd/yyyy")</f>
        <v>03/01/2017</v>
      </c>
      <c r="B101">
        <f>IF(ISNUMBER('Change in Employment'!L108),'Change in Employment'!L108, "")</f>
        <v>-4000</v>
      </c>
      <c r="C101" t="str">
        <f>IFERROR(IF(ISNUMBER('Change in Employment'!M108),TEXT('Change in Employment'!M108, "0"), ""), "")</f>
        <v>-1967</v>
      </c>
      <c r="D101" s="8">
        <f>IF(ISNUMBER('Change in Employment'!G108),'Change in Employment'!G108,"")</f>
        <v>0</v>
      </c>
    </row>
    <row r="102" spans="1:4">
      <c r="A102" t="str">
        <f>TEXT(IF('Change in Employment'!B109&lt;&gt;0,DATE(YEAR('Change in Employment'!B109), MONTH('Change in Employment'!B109), 1), ""), "mm/dd/yyyy")</f>
        <v>04/01/2017</v>
      </c>
      <c r="B102">
        <f>IF(ISNUMBER('Change in Employment'!L109),'Change in Employment'!L109, "")</f>
        <v>-4900.0000000000909</v>
      </c>
      <c r="C102" t="str">
        <f>IFERROR(IF(ISNUMBER('Change in Employment'!M109),TEXT('Change in Employment'!M109, "0"), ""), "")</f>
        <v>-3500</v>
      </c>
      <c r="D102" s="8">
        <f>IF(ISNUMBER('Change in Employment'!G109),'Change in Employment'!G109,"")</f>
        <v>0</v>
      </c>
    </row>
    <row r="103" spans="1:4">
      <c r="A103" t="str">
        <f>TEXT(IF('Change in Employment'!B110&lt;&gt;0,DATE(YEAR('Change in Employment'!B110), MONTH('Change in Employment'!B110), 1), ""), "mm/dd/yyyy")</f>
        <v>05/01/2017</v>
      </c>
      <c r="B103">
        <f>IF(ISNUMBER('Change in Employment'!L110),'Change in Employment'!L110, "")</f>
        <v>2900.0000000000909</v>
      </c>
      <c r="C103" t="str">
        <f>IFERROR(IF(ISNUMBER('Change in Employment'!M110),TEXT('Change in Employment'!M110, "0"), ""), "")</f>
        <v>-2000</v>
      </c>
      <c r="D103" s="8">
        <f>IF(ISNUMBER('Change in Employment'!G110),'Change in Employment'!G110,"")</f>
        <v>0</v>
      </c>
    </row>
    <row r="104" spans="1:4">
      <c r="A104" t="str">
        <f>TEXT(IF('Change in Employment'!B111&lt;&gt;0,DATE(YEAR('Change in Employment'!B111), MONTH('Change in Employment'!B111), 1), ""), "mm/dd/yyyy")</f>
        <v>06/01/2017</v>
      </c>
      <c r="B104">
        <f>IF(ISNUMBER('Change in Employment'!L111),'Change in Employment'!L111, "")</f>
        <v>-2000</v>
      </c>
      <c r="C104" t="str">
        <f>IFERROR(IF(ISNUMBER('Change in Employment'!M111),TEXT('Change in Employment'!M111, "0"), ""), "")</f>
        <v>-1333</v>
      </c>
      <c r="D104" s="8">
        <f>IF(ISNUMBER('Change in Employment'!G111),'Change in Employment'!G111,"")</f>
        <v>0</v>
      </c>
    </row>
    <row r="105" spans="1:4">
      <c r="A105" t="str">
        <f>TEXT(IF('Change in Employment'!B112&lt;&gt;0,DATE(YEAR('Change in Employment'!B112), MONTH('Change in Employment'!B112), 1), ""), "mm/dd/yyyy")</f>
        <v>07/01/2017</v>
      </c>
      <c r="B105">
        <f>IF(ISNUMBER('Change in Employment'!L112),'Change in Employment'!L112, "")</f>
        <v>-1600.0000000003638</v>
      </c>
      <c r="C105" t="str">
        <f>IFERROR(IF(ISNUMBER('Change in Employment'!M112),TEXT('Change in Employment'!M112, "0"), ""), "")</f>
        <v>-233</v>
      </c>
      <c r="D105" s="8">
        <f>IF(ISNUMBER('Change in Employment'!G112),'Change in Employment'!G112,"")</f>
        <v>0</v>
      </c>
    </row>
    <row r="106" spans="1:4">
      <c r="A106" t="str">
        <f>TEXT(IF('Change in Employment'!B113&lt;&gt;0,DATE(YEAR('Change in Employment'!B113), MONTH('Change in Employment'!B113), 1), ""), "mm/dd/yyyy")</f>
        <v>08/01/2017</v>
      </c>
      <c r="B106">
        <f>IF(ISNUMBER('Change in Employment'!L113),'Change in Employment'!L113, "")</f>
        <v>-199.9999999998181</v>
      </c>
      <c r="C106" t="str">
        <f>IFERROR(IF(ISNUMBER('Change in Employment'!M113),TEXT('Change in Employment'!M113, "0"), ""), "")</f>
        <v>-1267</v>
      </c>
      <c r="D106" s="8">
        <f>IF(ISNUMBER('Change in Employment'!G113),'Change in Employment'!G113,"")</f>
        <v>0</v>
      </c>
    </row>
    <row r="107" spans="1:4">
      <c r="A107" t="str">
        <f>TEXT(IF('Change in Employment'!B114&lt;&gt;0,DATE(YEAR('Change in Employment'!B114), MONTH('Change in Employment'!B114), 1), ""), "mm/dd/yyyy")</f>
        <v>09/01/2017</v>
      </c>
      <c r="B107">
        <f>IF(ISNUMBER('Change in Employment'!L114),'Change in Employment'!L114, "")</f>
        <v>-699.9999999998181</v>
      </c>
      <c r="C107" t="str">
        <f>IFERROR(IF(ISNUMBER('Change in Employment'!M114),TEXT('Change in Employment'!M114, "0"), ""), "")</f>
        <v>-833</v>
      </c>
      <c r="D107" s="8">
        <f>IF(ISNUMBER('Change in Employment'!G114),'Change in Employment'!G114,"")</f>
        <v>0</v>
      </c>
    </row>
    <row r="108" spans="1:4">
      <c r="A108" t="str">
        <f>TEXT(IF('Change in Employment'!B115&lt;&gt;0,DATE(YEAR('Change in Employment'!B115), MONTH('Change in Employment'!B115), 1), ""), "mm/dd/yyyy")</f>
        <v>10/01/2017</v>
      </c>
      <c r="B108">
        <f>IF(ISNUMBER('Change in Employment'!L115),'Change in Employment'!L115, "")</f>
        <v>1199.9999999998181</v>
      </c>
      <c r="C108" t="str">
        <f>IFERROR(IF(ISNUMBER('Change in Employment'!M115),TEXT('Change in Employment'!M115, "0"), ""), "")</f>
        <v>100</v>
      </c>
      <c r="D108" s="8">
        <f>IF(ISNUMBER('Change in Employment'!G115),'Change in Employment'!G115,"")</f>
        <v>0</v>
      </c>
    </row>
    <row r="109" spans="1:4">
      <c r="A109" t="str">
        <f>TEXT(IF('Change in Employment'!B116&lt;&gt;0,DATE(YEAR('Change in Employment'!B116), MONTH('Change in Employment'!B116), 1), ""), "mm/dd/yyyy")</f>
        <v>11/01/2017</v>
      </c>
      <c r="B109">
        <f>IF(ISNUMBER('Change in Employment'!L116),'Change in Employment'!L116, "")</f>
        <v>-3199.9999999998181</v>
      </c>
      <c r="C109" t="str">
        <f>IFERROR(IF(ISNUMBER('Change in Employment'!M116),TEXT('Change in Employment'!M116, "0"), ""), "")</f>
        <v>-900</v>
      </c>
      <c r="D109" s="8">
        <f>IF(ISNUMBER('Change in Employment'!G116),'Change in Employment'!G116,"")</f>
        <v>0</v>
      </c>
    </row>
    <row r="110" spans="1:4">
      <c r="A110" t="str">
        <f>TEXT(IF('Change in Employment'!B117&lt;&gt;0,DATE(YEAR('Change in Employment'!B117), MONTH('Change in Employment'!B117), 1), ""), "mm/dd/yyyy")</f>
        <v>12/01/2017</v>
      </c>
      <c r="B110">
        <f>IF(ISNUMBER('Change in Employment'!L117),'Change in Employment'!L117, "")</f>
        <v>-2000</v>
      </c>
      <c r="C110" t="str">
        <f>IFERROR(IF(ISNUMBER('Change in Employment'!M117),TEXT('Change in Employment'!M117, "0"), ""), "")</f>
        <v>-1333</v>
      </c>
      <c r="D110" s="8">
        <f>IF(ISNUMBER('Change in Employment'!G117),'Change in Employment'!G117,"")</f>
        <v>0</v>
      </c>
    </row>
    <row r="111" spans="1:4">
      <c r="A111" t="str">
        <f>TEXT(IF('Change in Employment'!B118&lt;&gt;0,DATE(YEAR('Change in Employment'!B118), MONTH('Change in Employment'!B118), 1), ""), "mm/dd/yyyy")</f>
        <v>01/01/2018</v>
      </c>
      <c r="B111">
        <f>IF(ISNUMBER('Change in Employment'!L118),'Change in Employment'!L118, "")</f>
        <v>699.9999999998181</v>
      </c>
      <c r="C111" t="str">
        <f>IFERROR(IF(ISNUMBER('Change in Employment'!M118),TEXT('Change in Employment'!M118, "0"), ""), "")</f>
        <v>-1500</v>
      </c>
      <c r="D111" s="8">
        <f>IF(ISNUMBER('Change in Employment'!G118),'Change in Employment'!G118,"")</f>
        <v>0</v>
      </c>
    </row>
    <row r="112" spans="1:4">
      <c r="A112" t="str">
        <f>TEXT(IF('Change in Employment'!B119&lt;&gt;0,DATE(YEAR('Change in Employment'!B119), MONTH('Change in Employment'!B119), 1), ""), "mm/dd/yyyy")</f>
        <v>02/01/2018</v>
      </c>
      <c r="B112">
        <f>IF(ISNUMBER('Change in Employment'!L119),'Change in Employment'!L119, "")</f>
        <v>400.00000000009095</v>
      </c>
      <c r="C112" t="str">
        <f>IFERROR(IF(ISNUMBER('Change in Employment'!M119),TEXT('Change in Employment'!M119, "0"), ""), "")</f>
        <v>-300</v>
      </c>
      <c r="D112" s="8">
        <f>IF(ISNUMBER('Change in Employment'!G119),'Change in Employment'!G119,"")</f>
        <v>0</v>
      </c>
    </row>
    <row r="113" spans="1:4">
      <c r="A113" t="str">
        <f>TEXT(IF('Change in Employment'!B120&lt;&gt;0,DATE(YEAR('Change in Employment'!B120), MONTH('Change in Employment'!B120), 1), ""), "mm/dd/yyyy")</f>
        <v>03/01/2018</v>
      </c>
      <c r="B113">
        <f>IF(ISNUMBER('Change in Employment'!L120),'Change in Employment'!L120, "")</f>
        <v>900.00000000009095</v>
      </c>
      <c r="C113" t="str">
        <f>IFERROR(IF(ISNUMBER('Change in Employment'!M120),TEXT('Change in Employment'!M120, "0"), ""), "")</f>
        <v>667</v>
      </c>
      <c r="D113" s="8">
        <f>IF(ISNUMBER('Change in Employment'!G120),'Change in Employment'!G120,"")</f>
        <v>0</v>
      </c>
    </row>
    <row r="114" spans="1:4">
      <c r="A114" t="str">
        <f>TEXT(IF('Change in Employment'!B121&lt;&gt;0,DATE(YEAR('Change in Employment'!B121), MONTH('Change in Employment'!B121), 1), ""), "mm/dd/yyyy")</f>
        <v>04/01/2018</v>
      </c>
      <c r="B114">
        <f>IF(ISNUMBER('Change in Employment'!L121),'Change in Employment'!L121, "")</f>
        <v>1500</v>
      </c>
      <c r="C114" t="str">
        <f>IFERROR(IF(ISNUMBER('Change in Employment'!M121),TEXT('Change in Employment'!M121, "0"), ""), "")</f>
        <v>933</v>
      </c>
      <c r="D114" s="8">
        <f>IF(ISNUMBER('Change in Employment'!G121),'Change in Employment'!G121,"")</f>
        <v>0</v>
      </c>
    </row>
    <row r="115" spans="1:4">
      <c r="A115" t="str">
        <f>TEXT(IF('Change in Employment'!B122&lt;&gt;0,DATE(YEAR('Change in Employment'!B122), MONTH('Change in Employment'!B122), 1), ""), "mm/dd/yyyy")</f>
        <v>05/01/2018</v>
      </c>
      <c r="B115">
        <f>IF(ISNUMBER('Change in Employment'!L122),'Change in Employment'!L122, "")</f>
        <v>699.9999999998181</v>
      </c>
      <c r="C115" t="str">
        <f>IFERROR(IF(ISNUMBER('Change in Employment'!M122),TEXT('Change in Employment'!M122, "0"), ""), "")</f>
        <v>1033</v>
      </c>
      <c r="D115" s="8">
        <f>IF(ISNUMBER('Change in Employment'!G122),'Change in Employment'!G122,"")</f>
        <v>0</v>
      </c>
    </row>
    <row r="116" spans="1:4">
      <c r="A116" t="str">
        <f>TEXT(IF('Change in Employment'!B123&lt;&gt;0,DATE(YEAR('Change in Employment'!B123), MONTH('Change in Employment'!B123), 1), ""), "mm/dd/yyyy")</f>
        <v>06/01/2018</v>
      </c>
      <c r="B116">
        <f>IF(ISNUMBER('Change in Employment'!L123),'Change in Employment'!L123, "")</f>
        <v>1800.0000000001819</v>
      </c>
      <c r="C116" t="str">
        <f>IFERROR(IF(ISNUMBER('Change in Employment'!M123),TEXT('Change in Employment'!M123, "0"), ""), "")</f>
        <v>1333</v>
      </c>
      <c r="D116" s="8">
        <f>IF(ISNUMBER('Change in Employment'!G123),'Change in Employment'!G123,"")</f>
        <v>0</v>
      </c>
    </row>
    <row r="117" spans="1:4">
      <c r="A117" t="str">
        <f>TEXT(IF('Change in Employment'!B124&lt;&gt;0,DATE(YEAR('Change in Employment'!B124), MONTH('Change in Employment'!B124), 1), ""), "mm/dd/yyyy")</f>
        <v>07/01/2018</v>
      </c>
      <c r="B117">
        <f>IF(ISNUMBER('Change in Employment'!L124),'Change in Employment'!L124, "")</f>
        <v>799.99999999972715</v>
      </c>
      <c r="C117" t="str">
        <f>IFERROR(IF(ISNUMBER('Change in Employment'!M124),TEXT('Change in Employment'!M124, "0"), ""), "")</f>
        <v>1100</v>
      </c>
      <c r="D117" s="8">
        <f>IF(ISNUMBER('Change in Employment'!G124),'Change in Employment'!G124,"")</f>
        <v>0</v>
      </c>
    </row>
    <row r="118" spans="1:4">
      <c r="A118" t="str">
        <f>TEXT(IF('Change in Employment'!B125&lt;&gt;0,DATE(YEAR('Change in Employment'!B125), MONTH('Change in Employment'!B125), 1), ""), "mm/dd/yyyy")</f>
        <v>08/01/2018</v>
      </c>
      <c r="B118">
        <f>IF(ISNUMBER('Change in Employment'!L125),'Change in Employment'!L125, "")</f>
        <v>500</v>
      </c>
      <c r="C118" t="str">
        <f>IFERROR(IF(ISNUMBER('Change in Employment'!M125),TEXT('Change in Employment'!M125, "0"), ""), "")</f>
        <v>1033</v>
      </c>
      <c r="D118" s="8">
        <f>IF(ISNUMBER('Change in Employment'!G125),'Change in Employment'!G125,"")</f>
        <v>0</v>
      </c>
    </row>
    <row r="119" spans="1:4">
      <c r="A119" t="str">
        <f>TEXT(IF('Change in Employment'!B126&lt;&gt;0,DATE(YEAR('Change in Employment'!B126), MONTH('Change in Employment'!B126), 1), ""), "mm/dd/yyyy")</f>
        <v>09/01/2018</v>
      </c>
      <c r="B119">
        <f>IF(ISNUMBER('Change in Employment'!L126),'Change in Employment'!L126, "")</f>
        <v>800.0000000001819</v>
      </c>
      <c r="C119" t="str">
        <f>IFERROR(IF(ISNUMBER('Change in Employment'!M126),TEXT('Change in Employment'!M126, "0"), ""), "")</f>
        <v>700</v>
      </c>
      <c r="D119" s="8">
        <f>IF(ISNUMBER('Change in Employment'!G126),'Change in Employment'!G126,"")</f>
        <v>0</v>
      </c>
    </row>
    <row r="120" spans="1:4">
      <c r="A120" t="str">
        <f>TEXT(IF('Change in Employment'!B127&lt;&gt;0,DATE(YEAR('Change in Employment'!B127), MONTH('Change in Employment'!B127), 1), ""), "mm/dd/yyyy")</f>
        <v>10/01/2018</v>
      </c>
      <c r="B120">
        <f>IF(ISNUMBER('Change in Employment'!L127),'Change in Employment'!L127, "")</f>
        <v>2400.0000000000909</v>
      </c>
      <c r="C120" t="str">
        <f>IFERROR(IF(ISNUMBER('Change in Employment'!M127),TEXT('Change in Employment'!M127, "0"), ""), "")</f>
        <v>1233</v>
      </c>
      <c r="D120" s="8">
        <f>IF(ISNUMBER('Change in Employment'!G127),'Change in Employment'!G127,"")</f>
        <v>0</v>
      </c>
    </row>
    <row r="121" spans="1:4">
      <c r="A121" t="str">
        <f>TEXT(IF('Change in Employment'!B128&lt;&gt;0,DATE(YEAR('Change in Employment'!B128), MONTH('Change in Employment'!B128), 1), ""), "mm/dd/yyyy")</f>
        <v>11/01/2018</v>
      </c>
      <c r="B121">
        <f>IF(ISNUMBER('Change in Employment'!L128),'Change in Employment'!L128, "")</f>
        <v>-300.0000000001819</v>
      </c>
      <c r="C121" t="str">
        <f>IFERROR(IF(ISNUMBER('Change in Employment'!M128),TEXT('Change in Employment'!M128, "0"), ""), "")</f>
        <v>967</v>
      </c>
      <c r="D121" s="8">
        <f>IF(ISNUMBER('Change in Employment'!G128),'Change in Employment'!G128,"")</f>
        <v>0</v>
      </c>
    </row>
    <row r="122" spans="1:4">
      <c r="A122" t="str">
        <f>TEXT(IF('Change in Employment'!B129&lt;&gt;0,DATE(YEAR('Change in Employment'!B129), MONTH('Change in Employment'!B129), 1), ""), "mm/dd/yyyy")</f>
        <v>12/01/2018</v>
      </c>
      <c r="B122">
        <f>IF(ISNUMBER('Change in Employment'!L129),'Change in Employment'!L129, "")</f>
        <v>-1099.9999999999091</v>
      </c>
      <c r="C122" t="str">
        <f>IFERROR(IF(ISNUMBER('Change in Employment'!M129),TEXT('Change in Employment'!M129, "0"), ""), "")</f>
        <v>333</v>
      </c>
      <c r="D122" s="8">
        <f>IF(ISNUMBER('Change in Employment'!G129),'Change in Employment'!G129,"")</f>
        <v>0</v>
      </c>
    </row>
    <row r="123" spans="1:4">
      <c r="A123" t="str">
        <f>TEXT(IF('Change in Employment'!B130&lt;&gt;0,DATE(YEAR('Change in Employment'!B130), MONTH('Change in Employment'!B130), 1), ""), "mm/dd/yyyy")</f>
        <v>01/01/2019</v>
      </c>
      <c r="B123">
        <f>IF(ISNUMBER('Change in Employment'!L130),'Change in Employment'!L130, "")</f>
        <v>-500</v>
      </c>
      <c r="C123" t="str">
        <f>IFERROR(IF(ISNUMBER('Change in Employment'!M130),TEXT('Change in Employment'!M130, "0"), ""), "")</f>
        <v>-633</v>
      </c>
      <c r="D123" s="8">
        <f>IF(ISNUMBER('Change in Employment'!G130),'Change in Employment'!G130,"")</f>
        <v>0</v>
      </c>
    </row>
    <row r="124" spans="1:4">
      <c r="A124" t="str">
        <f>TEXT(IF('Change in Employment'!B131&lt;&gt;0,DATE(YEAR('Change in Employment'!B131), MONTH('Change in Employment'!B131), 1), ""), "mm/dd/yyyy")</f>
        <v>02/01/2019</v>
      </c>
      <c r="B124">
        <f>IF(ISNUMBER('Change in Employment'!L131),'Change in Employment'!L131, "")</f>
        <v>799.99999999972715</v>
      </c>
      <c r="C124" t="str">
        <f>IFERROR(IF(ISNUMBER('Change in Employment'!M131),TEXT('Change in Employment'!M131, "0"), ""), "")</f>
        <v>-267</v>
      </c>
      <c r="D124" s="8">
        <f>IF(ISNUMBER('Change in Employment'!G131),'Change in Employment'!G131,"")</f>
        <v>0</v>
      </c>
    </row>
    <row r="125" spans="1:4">
      <c r="A125" t="str">
        <f>TEXT(IF('Change in Employment'!B132&lt;&gt;0,DATE(YEAR('Change in Employment'!B132), MONTH('Change in Employment'!B132), 1), ""), "mm/dd/yyyy")</f>
        <v>03/01/2019</v>
      </c>
      <c r="B125">
        <f>IF(ISNUMBER('Change in Employment'!L132),'Change in Employment'!L132, "")</f>
        <v>-1500</v>
      </c>
      <c r="C125" t="str">
        <f>IFERROR(IF(ISNUMBER('Change in Employment'!M132),TEXT('Change in Employment'!M132, "0"), ""), "")</f>
        <v>-400</v>
      </c>
      <c r="D125" s="8">
        <f>IF(ISNUMBER('Change in Employment'!G132),'Change in Employment'!G132,"")</f>
        <v>0</v>
      </c>
    </row>
    <row r="126" spans="1:4">
      <c r="A126" t="str">
        <f>TEXT(IF('Change in Employment'!B133&lt;&gt;0,DATE(YEAR('Change in Employment'!B133), MONTH('Change in Employment'!B133), 1), ""), "mm/dd/yyyy")</f>
        <v/>
      </c>
      <c r="B126" t="str">
        <f>IF(ISNUMBER('Change in Employment'!L133),'Change in Employment'!L133, "")</f>
        <v/>
      </c>
      <c r="C126" t="str">
        <f>IFERROR(IF(ISNUMBER('Change in Employment'!M133),TEXT('Change in Employment'!M133, "0"), ""), "")</f>
        <v/>
      </c>
      <c r="D126" s="8" t="str">
        <f>IF(ISNUMBER('Change in Employment'!G133),'Change in Employment'!G133,"")</f>
        <v/>
      </c>
    </row>
    <row r="127" spans="1:4">
      <c r="A127" t="str">
        <f>TEXT(IF('Change in Employment'!B134&lt;&gt;0,DATE(YEAR('Change in Employment'!B134), MONTH('Change in Employment'!B134), 1), ""), "mm/dd/yyyy")</f>
        <v/>
      </c>
      <c r="B127" t="str">
        <f>IF(ISNUMBER('Change in Employment'!L134),'Change in Employment'!L134, "")</f>
        <v/>
      </c>
      <c r="C127" t="str">
        <f>IFERROR(IF(ISNUMBER('Change in Employment'!M134),TEXT('Change in Employment'!M134, "0"), ""), "")</f>
        <v/>
      </c>
      <c r="D127" s="8" t="str">
        <f>IF(ISNUMBER('Change in Employment'!G134),'Change in Employment'!G134,"")</f>
        <v/>
      </c>
    </row>
    <row r="128" spans="1:4">
      <c r="A128" t="str">
        <f>TEXT(IF('Change in Employment'!B135&lt;&gt;0,DATE(YEAR('Change in Employment'!B135), MONTH('Change in Employment'!B135), 1), ""), "mm/dd/yyyy")</f>
        <v/>
      </c>
      <c r="B128" t="str">
        <f>IF(ISNUMBER('Change in Employment'!L135),'Change in Employment'!L135, "")</f>
        <v/>
      </c>
      <c r="C128" t="str">
        <f>IFERROR(IF(ISNUMBER('Change in Employment'!M135),TEXT('Change in Employment'!M135, "0"), ""), "")</f>
        <v/>
      </c>
      <c r="D128" s="8" t="str">
        <f>IF(ISNUMBER('Change in Employment'!G135),'Change in Employment'!G135,"")</f>
        <v/>
      </c>
    </row>
    <row r="129" spans="1:4">
      <c r="A129" t="str">
        <f>TEXT(IF('Change in Employment'!B136&lt;&gt;0,DATE(YEAR('Change in Employment'!B136), MONTH('Change in Employment'!B136), 1), ""), "mm/dd/yyyy")</f>
        <v/>
      </c>
      <c r="B129" t="str">
        <f>IF(ISNUMBER('Change in Employment'!L136),'Change in Employment'!L136, "")</f>
        <v/>
      </c>
      <c r="C129" t="str">
        <f>IFERROR(IF(ISNUMBER('Change in Employment'!M136),TEXT('Change in Employment'!M136, "0"), ""), "")</f>
        <v/>
      </c>
      <c r="D129" s="8" t="str">
        <f>IF(ISNUMBER('Change in Employment'!G136),'Change in Employment'!G136,"")</f>
        <v/>
      </c>
    </row>
    <row r="130" spans="1:4">
      <c r="A130" t="str">
        <f>TEXT(IF('Change in Employment'!B137&lt;&gt;0,DATE(YEAR('Change in Employment'!B137), MONTH('Change in Employment'!B137), 1), ""), "mm/dd/yyyy")</f>
        <v/>
      </c>
      <c r="B130" t="str">
        <f>IF(ISNUMBER('Change in Employment'!L137),'Change in Employment'!L137, "")</f>
        <v/>
      </c>
      <c r="C130" t="str">
        <f>IFERROR(IF(ISNUMBER('Change in Employment'!M137),TEXT('Change in Employment'!M137, "0"), ""), "")</f>
        <v/>
      </c>
      <c r="D130" s="8" t="str">
        <f>IF(ISNUMBER('Change in Employment'!G137),'Change in Employment'!G137,"")</f>
        <v/>
      </c>
    </row>
    <row r="131" spans="1:4">
      <c r="A131" t="str">
        <f>TEXT(IF('Change in Employment'!B138&lt;&gt;0,DATE(YEAR('Change in Employment'!B138), MONTH('Change in Employment'!B138), 1), ""), "mm/dd/yyyy")</f>
        <v/>
      </c>
      <c r="B131" t="str">
        <f>IF(ISNUMBER('Change in Employment'!L138),'Change in Employment'!L138, "")</f>
        <v/>
      </c>
      <c r="C131" t="str">
        <f>IFERROR(IF(ISNUMBER('Change in Employment'!M138),TEXT('Change in Employment'!M138, "0"), ""), "")</f>
        <v/>
      </c>
      <c r="D131" s="8" t="str">
        <f>IF(ISNUMBER('Change in Employment'!G138),'Change in Employment'!G138,"")</f>
        <v/>
      </c>
    </row>
    <row r="132" spans="1:4">
      <c r="A132" t="str">
        <f>TEXT(IF('Change in Employment'!B139&lt;&gt;0,DATE(YEAR('Change in Employment'!B139), MONTH('Change in Employment'!B139), 1), ""), "mm/dd/yyyy")</f>
        <v/>
      </c>
      <c r="B132" t="str">
        <f>IF(ISNUMBER('Change in Employment'!L139),'Change in Employment'!L139, "")</f>
        <v/>
      </c>
      <c r="C132" t="str">
        <f>IFERROR(IF(ISNUMBER('Change in Employment'!M139),TEXT('Change in Employment'!M139, "0"), ""), "")</f>
        <v/>
      </c>
      <c r="D132" s="8" t="str">
        <f>IF(ISNUMBER('Change in Employment'!G139),'Change in Employment'!G139,"")</f>
        <v/>
      </c>
    </row>
    <row r="133" spans="1:4">
      <c r="A133" t="str">
        <f>TEXT(IF('Change in Employment'!B140&lt;&gt;0,DATE(YEAR('Change in Employment'!B140), MONTH('Change in Employment'!B140), 1), ""), "mm/dd/yyyy")</f>
        <v/>
      </c>
      <c r="B133" t="str">
        <f>IF(ISNUMBER('Change in Employment'!L140),'Change in Employment'!L140, "")</f>
        <v/>
      </c>
      <c r="C133" t="str">
        <f>IFERROR(IF(ISNUMBER('Change in Employment'!M140),TEXT('Change in Employment'!M140, "0"), ""), "")</f>
        <v/>
      </c>
      <c r="D133" s="8" t="str">
        <f>IF(ISNUMBER('Change in Employment'!G140),'Change in Employment'!G140,"")</f>
        <v/>
      </c>
    </row>
    <row r="134" spans="1:4">
      <c r="A134" t="str">
        <f>TEXT(IF('Change in Employment'!B141&lt;&gt;0,DATE(YEAR('Change in Employment'!B141), MONTH('Change in Employment'!B141), 1), ""), "mm/dd/yyyy")</f>
        <v/>
      </c>
      <c r="B134" t="str">
        <f>IF(ISNUMBER('Change in Employment'!L141),'Change in Employment'!L141, "")</f>
        <v/>
      </c>
      <c r="C134" t="str">
        <f>IFERROR(IF(ISNUMBER('Change in Employment'!M141),TEXT('Change in Employment'!M141, "0"), ""), "")</f>
        <v/>
      </c>
      <c r="D134" s="8" t="str">
        <f>IF(ISNUMBER('Change in Employment'!G141),'Change in Employment'!G141,"")</f>
        <v/>
      </c>
    </row>
    <row r="135" spans="1:4">
      <c r="A135" t="str">
        <f>TEXT(IF('Change in Employment'!B142&lt;&gt;0,DATE(YEAR('Change in Employment'!B142), MONTH('Change in Employment'!B142), 1), ""), "mm/dd/yyyy")</f>
        <v/>
      </c>
      <c r="B135" t="str">
        <f>IF(ISNUMBER('Change in Employment'!L142),'Change in Employment'!L142, "")</f>
        <v/>
      </c>
      <c r="C135" t="str">
        <f>IFERROR(IF(ISNUMBER('Change in Employment'!M142),TEXT('Change in Employment'!M142, "0"), ""), "")</f>
        <v/>
      </c>
      <c r="D135" s="8" t="str">
        <f>IF(ISNUMBER('Change in Employment'!G142),'Change in Employment'!G142,"")</f>
        <v/>
      </c>
    </row>
    <row r="136" spans="1:4">
      <c r="A136" t="str">
        <f>TEXT(IF('Change in Employment'!B143&lt;&gt;0,DATE(YEAR('Change in Employment'!B143), MONTH('Change in Employment'!B143), 1), ""), "mm/dd/yyyy")</f>
        <v/>
      </c>
      <c r="B136" t="str">
        <f>IF(ISNUMBER('Change in Employment'!L143),'Change in Employment'!L143, "")</f>
        <v/>
      </c>
      <c r="C136" t="str">
        <f>IFERROR(IF(ISNUMBER('Change in Employment'!M143),TEXT('Change in Employment'!M143, "0"), ""), "")</f>
        <v/>
      </c>
      <c r="D136" s="8" t="str">
        <f>IF(ISNUMBER('Change in Employment'!G143),'Change in Employment'!G143,"")</f>
        <v/>
      </c>
    </row>
    <row r="137" spans="1:4">
      <c r="A137" t="str">
        <f>TEXT(IF('Change in Employment'!B144&lt;&gt;0,DATE(YEAR('Change in Employment'!B144), MONTH('Change in Employment'!B144), 1), ""), "mm/dd/yyyy")</f>
        <v/>
      </c>
      <c r="B137" t="str">
        <f>IF(ISNUMBER('Change in Employment'!L144),'Change in Employment'!L144, "")</f>
        <v/>
      </c>
      <c r="C137" t="str">
        <f>IFERROR(IF(ISNUMBER('Change in Employment'!M144),TEXT('Change in Employment'!M144, "0"), ""), "")</f>
        <v/>
      </c>
      <c r="D137" s="8" t="str">
        <f>IF(ISNUMBER('Change in Employment'!G144),'Change in Employment'!G144,"")</f>
        <v/>
      </c>
    </row>
    <row r="138" spans="1:4">
      <c r="A138" t="str">
        <f>TEXT(IF('Change in Employment'!B145&lt;&gt;0,DATE(YEAR('Change in Employment'!B145), MONTH('Change in Employment'!B145), 1), ""), "mm/dd/yyyy")</f>
        <v/>
      </c>
      <c r="B138" t="str">
        <f>IF(ISNUMBER('Change in Employment'!L145),'Change in Employment'!L145, "")</f>
        <v/>
      </c>
      <c r="C138" t="str">
        <f>IFERROR(IF(ISNUMBER('Change in Employment'!M145),TEXT('Change in Employment'!M145, "0"), ""), "")</f>
        <v/>
      </c>
      <c r="D138" s="8" t="str">
        <f>IF(ISNUMBER('Change in Employment'!G145),'Change in Employment'!G145,"")</f>
        <v/>
      </c>
    </row>
    <row r="139" spans="1:4">
      <c r="A139" t="str">
        <f>TEXT(IF('Change in Employment'!B146&lt;&gt;0,DATE(YEAR('Change in Employment'!B146), MONTH('Change in Employment'!B146), 1), ""), "mm/dd/yyyy")</f>
        <v/>
      </c>
      <c r="B139" t="str">
        <f>IF(ISNUMBER('Change in Employment'!L146),'Change in Employment'!L146, "")</f>
        <v/>
      </c>
      <c r="C139" t="str">
        <f>IFERROR(IF(ISNUMBER('Change in Employment'!M146),TEXT('Change in Employment'!M146, "0"), ""), "")</f>
        <v/>
      </c>
      <c r="D139" s="8" t="str">
        <f>IF(ISNUMBER('Change in Employment'!G146),'Change in Employment'!G146,"")</f>
        <v/>
      </c>
    </row>
    <row r="140" spans="1:4">
      <c r="A140" t="str">
        <f>TEXT(IF('Change in Employment'!B147&lt;&gt;0,DATE(YEAR('Change in Employment'!B147), MONTH('Change in Employment'!B147), 1), ""), "mm/dd/yyyy")</f>
        <v/>
      </c>
      <c r="B140" t="str">
        <f>IF(ISNUMBER('Change in Employment'!L147),'Change in Employment'!L147, "")</f>
        <v/>
      </c>
      <c r="C140" t="str">
        <f>IFERROR(IF(ISNUMBER('Change in Employment'!M147),TEXT('Change in Employment'!M147, "0"), ""), "")</f>
        <v/>
      </c>
      <c r="D140" s="8" t="str">
        <f>IF(ISNUMBER('Change in Employment'!G147),'Change in Employment'!G147,"")</f>
        <v/>
      </c>
    </row>
    <row r="141" spans="1:4">
      <c r="A141" t="str">
        <f>TEXT(IF('Change in Employment'!B148&lt;&gt;0,DATE(YEAR('Change in Employment'!B148), MONTH('Change in Employment'!B148), 1), ""), "mm/dd/yyyy")</f>
        <v/>
      </c>
      <c r="B141" t="str">
        <f>IF(ISNUMBER('Change in Employment'!L148),'Change in Employment'!L148, "")</f>
        <v/>
      </c>
      <c r="C141" t="str">
        <f>IFERROR(IF(ISNUMBER('Change in Employment'!M148),TEXT('Change in Employment'!M148, "0"), ""), "")</f>
        <v/>
      </c>
      <c r="D141" s="8" t="str">
        <f>IF(ISNUMBER('Change in Employment'!G148),'Change in Employment'!G148,"")</f>
        <v/>
      </c>
    </row>
    <row r="142" spans="1:4">
      <c r="A142" t="str">
        <f>TEXT(IF('Change in Employment'!B149&lt;&gt;0,DATE(YEAR('Change in Employment'!B149), MONTH('Change in Employment'!B149), 1), ""), "mm/dd/yyyy")</f>
        <v/>
      </c>
      <c r="B142" t="str">
        <f>IF(ISNUMBER('Change in Employment'!L149),'Change in Employment'!L149, "")</f>
        <v/>
      </c>
      <c r="C142" t="str">
        <f>IFERROR(IF(ISNUMBER('Change in Employment'!M149),TEXT('Change in Employment'!M149, "0"), ""), "")</f>
        <v/>
      </c>
      <c r="D142" s="8" t="str">
        <f>IF(ISNUMBER('Change in Employment'!G149),'Change in Employment'!G149,"")</f>
        <v/>
      </c>
    </row>
    <row r="143" spans="1:4">
      <c r="A143" t="str">
        <f>TEXT(IF('Change in Employment'!B150&lt;&gt;0,DATE(YEAR('Change in Employment'!B150), MONTH('Change in Employment'!B150), 1), ""), "mm/dd/yyyy")</f>
        <v/>
      </c>
      <c r="B143" t="str">
        <f>IF(ISNUMBER('Change in Employment'!L150),'Change in Employment'!L150, "")</f>
        <v/>
      </c>
      <c r="C143" t="str">
        <f>IFERROR(IF(ISNUMBER('Change in Employment'!M150),TEXT('Change in Employment'!M150, "0"), ""), "")</f>
        <v/>
      </c>
      <c r="D143" s="8" t="str">
        <f>IF(ISNUMBER('Change in Employment'!G150),'Change in Employment'!G150,"")</f>
        <v/>
      </c>
    </row>
    <row r="144" spans="1:4">
      <c r="A144" t="str">
        <f>TEXT(IF('Change in Employment'!B151&lt;&gt;0,DATE(YEAR('Change in Employment'!B151), MONTH('Change in Employment'!B151), 1), ""), "mm/dd/yyyy")</f>
        <v/>
      </c>
      <c r="B144" t="str">
        <f>IF(ISNUMBER('Change in Employment'!L151),'Change in Employment'!L151, "")</f>
        <v/>
      </c>
      <c r="C144" t="str">
        <f>IFERROR(IF(ISNUMBER('Change in Employment'!M151),TEXT('Change in Employment'!M151, "0"), ""), "")</f>
        <v/>
      </c>
      <c r="D144" s="8" t="str">
        <f>IF(ISNUMBER('Change in Employment'!G151),'Change in Employment'!G151,"")</f>
        <v/>
      </c>
    </row>
    <row r="145" spans="1:4">
      <c r="A145" t="str">
        <f>TEXT(IF('Change in Employment'!B152&lt;&gt;0,DATE(YEAR('Change in Employment'!B152), MONTH('Change in Employment'!B152), 1), ""), "mm/dd/yyyy")</f>
        <v/>
      </c>
      <c r="B145" t="str">
        <f>IF(ISNUMBER('Change in Employment'!L152),'Change in Employment'!L152, "")</f>
        <v/>
      </c>
      <c r="C145" t="str">
        <f>IFERROR(IF(ISNUMBER('Change in Employment'!M152),TEXT('Change in Employment'!M152, "0"), ""), "")</f>
        <v/>
      </c>
      <c r="D145" s="8" t="str">
        <f>IF(ISNUMBER('Change in Employment'!G152),'Change in Employment'!G152,"")</f>
        <v/>
      </c>
    </row>
    <row r="146" spans="1:4">
      <c r="A146" t="str">
        <f>TEXT(IF('Change in Employment'!B153&lt;&gt;0,DATE(YEAR('Change in Employment'!B153), MONTH('Change in Employment'!B153), 1), ""), "mm/dd/yyyy")</f>
        <v/>
      </c>
      <c r="B146" t="str">
        <f>IF(ISNUMBER('Change in Employment'!L153),'Change in Employment'!L153, "")</f>
        <v/>
      </c>
      <c r="C146" t="str">
        <f>IFERROR(IF(ISNUMBER('Change in Employment'!M153),TEXT('Change in Employment'!M153, "0"), ""), "")</f>
        <v/>
      </c>
      <c r="D146" s="8" t="str">
        <f>IF(ISNUMBER('Change in Employment'!G153),'Change in Employment'!G153,"")</f>
        <v/>
      </c>
    </row>
    <row r="147" spans="1:4">
      <c r="A147" t="str">
        <f>TEXT(IF('Change in Employment'!B154&lt;&gt;0,DATE(YEAR('Change in Employment'!B154), MONTH('Change in Employment'!B154), 1), ""), "mm/dd/yyyy")</f>
        <v/>
      </c>
      <c r="B147" t="str">
        <f>IF(ISNUMBER('Change in Employment'!L154),'Change in Employment'!L154, "")</f>
        <v/>
      </c>
      <c r="C147" t="str">
        <f>IFERROR(IF(ISNUMBER('Change in Employment'!M154),TEXT('Change in Employment'!M154, "0"), ""), "")</f>
        <v/>
      </c>
      <c r="D147" s="8" t="str">
        <f>IF(ISNUMBER('Change in Employment'!G154),'Change in Employment'!G154,"")</f>
        <v/>
      </c>
    </row>
    <row r="148" spans="1:4">
      <c r="A148" t="str">
        <f>TEXT(IF('Change in Employment'!B155&lt;&gt;0,DATE(YEAR('Change in Employment'!B155), MONTH('Change in Employment'!B155), 1), ""), "mm/dd/yyyy")</f>
        <v/>
      </c>
      <c r="B148" t="str">
        <f>IF(ISNUMBER('Change in Employment'!L155),'Change in Employment'!L155, "")</f>
        <v/>
      </c>
      <c r="C148" t="str">
        <f>IFERROR(IF(ISNUMBER('Change in Employment'!M155),TEXT('Change in Employment'!M155, "0"), ""), "")</f>
        <v/>
      </c>
      <c r="D148" s="8" t="str">
        <f>IF(ISNUMBER('Change in Employment'!G155),'Change in Employment'!G155,"")</f>
        <v/>
      </c>
    </row>
    <row r="149" spans="1:4">
      <c r="A149" t="str">
        <f>TEXT(IF('Change in Employment'!B156&lt;&gt;0,DATE(YEAR('Change in Employment'!B156), MONTH('Change in Employment'!B156), 1), ""), "mm/dd/yyyy")</f>
        <v/>
      </c>
      <c r="B149" t="str">
        <f>IF(ISNUMBER('Change in Employment'!L156),'Change in Employment'!L156, "")</f>
        <v/>
      </c>
      <c r="C149" t="str">
        <f>IFERROR(IF(ISNUMBER('Change in Employment'!M156),TEXT('Change in Employment'!M156, "0"), ""), "")</f>
        <v/>
      </c>
      <c r="D149" s="8" t="str">
        <f>IF(ISNUMBER('Change in Employment'!G156),'Change in Employment'!G156,"")</f>
        <v/>
      </c>
    </row>
    <row r="150" spans="1:4">
      <c r="A150" t="str">
        <f>TEXT(IF('Change in Employment'!B157&lt;&gt;0,DATE(YEAR('Change in Employment'!B157), MONTH('Change in Employment'!B157), 1), ""), "mm/dd/yyyy")</f>
        <v/>
      </c>
      <c r="B150" t="str">
        <f>IF(ISNUMBER('Change in Employment'!L157),'Change in Employment'!L157, "")</f>
        <v/>
      </c>
      <c r="C150" t="str">
        <f>IFERROR(IF(ISNUMBER('Change in Employment'!M157),TEXT('Change in Employment'!M157, "0"), ""), "")</f>
        <v/>
      </c>
      <c r="D150" s="8" t="str">
        <f>IF(ISNUMBER('Change in Employment'!G157),'Change in Employment'!G157,"")</f>
        <v/>
      </c>
    </row>
    <row r="151" spans="1:4">
      <c r="A151" t="str">
        <f>TEXT(IF('Change in Employment'!B158&lt;&gt;0,DATE(YEAR('Change in Employment'!B158), MONTH('Change in Employment'!B158), 1), ""), "mm/dd/yyyy")</f>
        <v/>
      </c>
      <c r="B151" t="str">
        <f>IF(ISNUMBER('Change in Employment'!L158),'Change in Employment'!L158, "")</f>
        <v/>
      </c>
      <c r="C151" t="str">
        <f>IFERROR(IF(ISNUMBER('Change in Employment'!M158),TEXT('Change in Employment'!M158, "0"), ""), "")</f>
        <v/>
      </c>
      <c r="D151" s="8" t="str">
        <f>IF(ISNUMBER('Change in Employment'!G158),'Change in Employment'!G158,"")</f>
        <v/>
      </c>
    </row>
    <row r="152" spans="1:4">
      <c r="A152" t="str">
        <f>TEXT(IF('Change in Employment'!B159&lt;&gt;0,DATE(YEAR('Change in Employment'!B159), MONTH('Change in Employment'!B159), 1), ""), "mm/dd/yyyy")</f>
        <v/>
      </c>
      <c r="B152" t="str">
        <f>IF(ISNUMBER('Change in Employment'!L159),'Change in Employment'!L159, "")</f>
        <v/>
      </c>
      <c r="C152" t="str">
        <f>IFERROR(IF(ISNUMBER('Change in Employment'!M159),TEXT('Change in Employment'!M159, "0"), ""), "")</f>
        <v/>
      </c>
      <c r="D152" s="8" t="str">
        <f>IF(ISNUMBER('Change in Employment'!G159),'Change in Employment'!G159,"")</f>
        <v/>
      </c>
    </row>
    <row r="153" spans="1:4">
      <c r="A153" t="str">
        <f>TEXT(IF('Change in Employment'!B160&lt;&gt;0,DATE(YEAR('Change in Employment'!B160), MONTH('Change in Employment'!B160), 1), ""), "mm/dd/yyyy")</f>
        <v/>
      </c>
      <c r="B153" t="str">
        <f>IF(ISNUMBER('Change in Employment'!L160),'Change in Employment'!L160, "")</f>
        <v/>
      </c>
      <c r="C153" t="str">
        <f>IFERROR(IF(ISNUMBER('Change in Employment'!M160),TEXT('Change in Employment'!M160, "0"), ""), "")</f>
        <v/>
      </c>
      <c r="D153" s="8" t="str">
        <f>IF(ISNUMBER('Change in Employment'!G160),'Change in Employment'!G160,"")</f>
        <v/>
      </c>
    </row>
    <row r="154" spans="1:4">
      <c r="A154" t="str">
        <f>TEXT(IF('Change in Employment'!B161&lt;&gt;0,DATE(YEAR('Change in Employment'!B161), MONTH('Change in Employment'!B161), 1), ""), "mm/dd/yyyy")</f>
        <v/>
      </c>
      <c r="B154" t="str">
        <f>IF(ISNUMBER('Change in Employment'!L161),'Change in Employment'!L161, "")</f>
        <v/>
      </c>
      <c r="C154" t="str">
        <f>IFERROR(IF(ISNUMBER('Change in Employment'!M161),TEXT('Change in Employment'!M161, "0"), ""), "")</f>
        <v/>
      </c>
      <c r="D154" s="8" t="str">
        <f>IF(ISNUMBER('Change in Employment'!G161),'Change in Employment'!G161,"")</f>
        <v/>
      </c>
    </row>
    <row r="155" spans="1:4">
      <c r="A155" t="str">
        <f>TEXT(IF('Change in Employment'!B162&lt;&gt;0,DATE(YEAR('Change in Employment'!B162), MONTH('Change in Employment'!B162), 1), ""), "mm/dd/yyyy")</f>
        <v/>
      </c>
      <c r="B155" t="str">
        <f>IF(ISNUMBER('Change in Employment'!L162),'Change in Employment'!L162, "")</f>
        <v/>
      </c>
      <c r="C155" t="str">
        <f>IFERROR(IF(ISNUMBER('Change in Employment'!M162),TEXT('Change in Employment'!M162, "0"), ""), "")</f>
        <v/>
      </c>
      <c r="D155" s="8" t="str">
        <f>IF(ISNUMBER('Change in Employment'!G162),'Change in Employment'!G162,"")</f>
        <v/>
      </c>
    </row>
    <row r="156" spans="1:4">
      <c r="A156" t="str">
        <f>TEXT(IF('Change in Employment'!B163&lt;&gt;0,DATE(YEAR('Change in Employment'!B163), MONTH('Change in Employment'!B163), 1), ""), "mm/dd/yyyy")</f>
        <v/>
      </c>
      <c r="B156" t="str">
        <f>IF(ISNUMBER('Change in Employment'!L163),'Change in Employment'!L163, "")</f>
        <v/>
      </c>
      <c r="C156" t="str">
        <f>IFERROR(IF(ISNUMBER('Change in Employment'!M163),TEXT('Change in Employment'!M163, "0"), ""), "")</f>
        <v/>
      </c>
      <c r="D156" s="8" t="str">
        <f>IF(ISNUMBER('Change in Employment'!G163),'Change in Employment'!G163,"")</f>
        <v/>
      </c>
    </row>
    <row r="157" spans="1:4">
      <c r="A157" t="str">
        <f>TEXT(IF('Change in Employment'!B164&lt;&gt;0,DATE(YEAR('Change in Employment'!B164), MONTH('Change in Employment'!B164), 1), ""), "mm/dd/yyyy")</f>
        <v/>
      </c>
      <c r="B157" t="str">
        <f>IF(ISNUMBER('Change in Employment'!L164),'Change in Employment'!L164, "")</f>
        <v/>
      </c>
      <c r="C157" t="str">
        <f>IFERROR(IF(ISNUMBER('Change in Employment'!M164),TEXT('Change in Employment'!M164, "0"), ""), "")</f>
        <v/>
      </c>
      <c r="D157" s="8" t="str">
        <f>IF(ISNUMBER('Change in Employment'!G164),'Change in Employment'!G164,"")</f>
        <v/>
      </c>
    </row>
    <row r="158" spans="1:4">
      <c r="A158" t="str">
        <f>TEXT(IF('Change in Employment'!B165&lt;&gt;0,DATE(YEAR('Change in Employment'!B165), MONTH('Change in Employment'!B165), 1), ""), "mm/dd/yyyy")</f>
        <v/>
      </c>
      <c r="B158" t="str">
        <f>IF(ISNUMBER('Change in Employment'!L165),'Change in Employment'!L165, "")</f>
        <v/>
      </c>
      <c r="C158" t="str">
        <f>IFERROR(IF(ISNUMBER('Change in Employment'!M165),TEXT('Change in Employment'!M165, "0"), ""), "")</f>
        <v/>
      </c>
      <c r="D158" s="8" t="str">
        <f>IF(ISNUMBER('Change in Employment'!G165),'Change in Employment'!G165,"")</f>
        <v/>
      </c>
    </row>
    <row r="159" spans="1:4">
      <c r="A159" t="str">
        <f>TEXT(IF('Change in Employment'!B166&lt;&gt;0,DATE(YEAR('Change in Employment'!B166), MONTH('Change in Employment'!B166), 1), ""), "mm/dd/yyyy")</f>
        <v/>
      </c>
      <c r="B159" t="str">
        <f>IF(ISNUMBER('Change in Employment'!L166),'Change in Employment'!L166, "")</f>
        <v/>
      </c>
      <c r="C159" t="str">
        <f>IFERROR(IF(ISNUMBER('Change in Employment'!M166),TEXT('Change in Employment'!M166, "0"), ""), "")</f>
        <v/>
      </c>
      <c r="D159" s="8" t="str">
        <f>IF(ISNUMBER('Change in Employment'!G166),'Change in Employment'!G166,"")</f>
        <v/>
      </c>
    </row>
    <row r="160" spans="1:4">
      <c r="A160" t="str">
        <f>TEXT(IF('Change in Employment'!B167&lt;&gt;0,DATE(YEAR('Change in Employment'!B167), MONTH('Change in Employment'!B167), 1), ""), "mm/dd/yyyy")</f>
        <v/>
      </c>
      <c r="B160" t="str">
        <f>IF(ISNUMBER('Change in Employment'!L167),'Change in Employment'!L167, "")</f>
        <v/>
      </c>
      <c r="C160" t="str">
        <f>IFERROR(IF(ISNUMBER('Change in Employment'!M167),TEXT('Change in Employment'!M167, "0"), ""), "")</f>
        <v/>
      </c>
      <c r="D160" s="8" t="str">
        <f>IF(ISNUMBER('Change in Employment'!G167),'Change in Employment'!G167,"")</f>
        <v/>
      </c>
    </row>
    <row r="161" spans="1:4">
      <c r="A161" t="str">
        <f>TEXT(IF('Change in Employment'!B168&lt;&gt;0,DATE(YEAR('Change in Employment'!B168), MONTH('Change in Employment'!B168), 1), ""), "mm/dd/yyyy")</f>
        <v/>
      </c>
      <c r="B161" t="str">
        <f>IF(ISNUMBER('Change in Employment'!L168),'Change in Employment'!L168, "")</f>
        <v/>
      </c>
      <c r="C161" t="str">
        <f>IFERROR(IF(ISNUMBER('Change in Employment'!M168),TEXT('Change in Employment'!M168, "0"), ""), "")</f>
        <v/>
      </c>
      <c r="D161" s="8" t="str">
        <f>IF(ISNUMBER('Change in Employment'!G168),'Change in Employment'!G168,"")</f>
        <v/>
      </c>
    </row>
    <row r="162" spans="1:4">
      <c r="A162" t="str">
        <f>TEXT(IF('Change in Employment'!B169&lt;&gt;0,DATE(YEAR('Change in Employment'!B169), MONTH('Change in Employment'!B169), 1), ""), "mm/dd/yyyy")</f>
        <v/>
      </c>
      <c r="B162" t="str">
        <f>IF(ISNUMBER('Change in Employment'!L169),'Change in Employment'!L169, "")</f>
        <v/>
      </c>
      <c r="C162" t="str">
        <f>IFERROR(IF(ISNUMBER('Change in Employment'!M169),TEXT('Change in Employment'!M169, "0"), ""), "")</f>
        <v/>
      </c>
      <c r="D162" s="8" t="str">
        <f>IF(ISNUMBER('Change in Employment'!G169),'Change in Employment'!G169,"")</f>
        <v/>
      </c>
    </row>
    <row r="163" spans="1:4">
      <c r="A163" t="str">
        <f>TEXT(IF('Change in Employment'!B170&lt;&gt;0,DATE(YEAR('Change in Employment'!B170), MONTH('Change in Employment'!B170), 1), ""), "mm/dd/yyyy")</f>
        <v/>
      </c>
      <c r="B163" t="str">
        <f>IF(ISNUMBER('Change in Employment'!L170),'Change in Employment'!L170, "")</f>
        <v/>
      </c>
      <c r="C163" t="str">
        <f>IFERROR(IF(ISNUMBER('Change in Employment'!M170),TEXT('Change in Employment'!M170, "0"), ""), "")</f>
        <v/>
      </c>
      <c r="D163" s="8" t="str">
        <f>IF(ISNUMBER('Change in Employment'!G170),'Change in Employment'!G170,"")</f>
        <v/>
      </c>
    </row>
    <row r="164" spans="1:4">
      <c r="A164" t="str">
        <f>TEXT(IF('Change in Employment'!B171&lt;&gt;0,DATE(YEAR('Change in Employment'!B171), MONTH('Change in Employment'!B171), 1), ""), "mm/dd/yyyy")</f>
        <v/>
      </c>
      <c r="B164" t="str">
        <f>IF(ISNUMBER('Change in Employment'!L171),'Change in Employment'!L171, "")</f>
        <v/>
      </c>
      <c r="C164" t="str">
        <f>IFERROR(IF(ISNUMBER('Change in Employment'!M171),TEXT('Change in Employment'!M171, "0"), ""), "")</f>
        <v/>
      </c>
      <c r="D164" s="8" t="str">
        <f>IF(ISNUMBER('Change in Employment'!G171),'Change in Employment'!G171,"")</f>
        <v/>
      </c>
    </row>
    <row r="165" spans="1:4">
      <c r="A165" t="str">
        <f>TEXT(IF('Change in Employment'!B172&lt;&gt;0,DATE(YEAR('Change in Employment'!B172), MONTH('Change in Employment'!B172), 1), ""), "mm/dd/yyyy")</f>
        <v/>
      </c>
      <c r="B165" t="str">
        <f>IF(ISNUMBER('Change in Employment'!L172),'Change in Employment'!L172, "")</f>
        <v/>
      </c>
      <c r="C165" t="str">
        <f>IFERROR(IF(ISNUMBER('Change in Employment'!M172),TEXT('Change in Employment'!M172, "0"), ""), "")</f>
        <v/>
      </c>
      <c r="D165" s="8" t="str">
        <f>IF(ISNUMBER('Change in Employment'!G172),'Change in Employment'!G172,"")</f>
        <v/>
      </c>
    </row>
    <row r="166" spans="1:4">
      <c r="A166" t="str">
        <f>TEXT(IF('Change in Employment'!B173&lt;&gt;0,DATE(YEAR('Change in Employment'!B173), MONTH('Change in Employment'!B173), 1), ""), "mm/dd/yyyy")</f>
        <v/>
      </c>
      <c r="B166" t="str">
        <f>IF(ISNUMBER('Change in Employment'!L173),'Change in Employment'!L173, "")</f>
        <v/>
      </c>
      <c r="C166" t="str">
        <f>IFERROR(IF(ISNUMBER('Change in Employment'!M173),TEXT('Change in Employment'!M173, "0"), ""), "")</f>
        <v/>
      </c>
      <c r="D166" s="8" t="str">
        <f>IF(ISNUMBER('Change in Employment'!G173),'Change in Employment'!G173,"")</f>
        <v/>
      </c>
    </row>
    <row r="167" spans="1:4">
      <c r="A167" t="str">
        <f>TEXT(IF('Change in Employment'!B174&lt;&gt;0,DATE(YEAR('Change in Employment'!B174), MONTH('Change in Employment'!B174), 1), ""), "mm/dd/yyyy")</f>
        <v/>
      </c>
      <c r="B167" t="str">
        <f>IF(ISNUMBER('Change in Employment'!L174),'Change in Employment'!L174, "")</f>
        <v/>
      </c>
      <c r="C167" t="str">
        <f>IFERROR(IF(ISNUMBER('Change in Employment'!M174),TEXT('Change in Employment'!M174, "0"), ""), "")</f>
        <v/>
      </c>
      <c r="D167" s="8" t="str">
        <f>IF(ISNUMBER('Change in Employment'!G174),'Change in Employment'!G174,"")</f>
        <v/>
      </c>
    </row>
    <row r="168" spans="1:4">
      <c r="A168" t="str">
        <f>TEXT(IF('Change in Employment'!B175&lt;&gt;0,DATE(YEAR('Change in Employment'!B175), MONTH('Change in Employment'!B175), 1), ""), "mm/dd/yyyy")</f>
        <v/>
      </c>
      <c r="B168" t="str">
        <f>IF(ISNUMBER('Change in Employment'!L175),'Change in Employment'!L175, "")</f>
        <v/>
      </c>
      <c r="C168" t="str">
        <f>IFERROR(IF(ISNUMBER('Change in Employment'!M175),TEXT('Change in Employment'!M175, "0"), ""), "")</f>
        <v/>
      </c>
      <c r="D168" s="8" t="str">
        <f>IF(ISNUMBER('Change in Employment'!G175),'Change in Employment'!G175,"")</f>
        <v/>
      </c>
    </row>
    <row r="169" spans="1:4">
      <c r="A169" t="str">
        <f>TEXT(IF('Change in Employment'!B176&lt;&gt;0,DATE(YEAR('Change in Employment'!B176), MONTH('Change in Employment'!B176), 1), ""), "mm/dd/yyyy")</f>
        <v/>
      </c>
      <c r="B169" t="str">
        <f>IF(ISNUMBER('Change in Employment'!L176),'Change in Employment'!L176, "")</f>
        <v/>
      </c>
      <c r="C169" t="str">
        <f>IFERROR(IF(ISNUMBER('Change in Employment'!M176),TEXT('Change in Employment'!M176, "0"), ""), "")</f>
        <v/>
      </c>
      <c r="D169" s="8" t="str">
        <f>IF(ISNUMBER('Change in Employment'!G176),'Change in Employment'!G176,"")</f>
        <v/>
      </c>
    </row>
    <row r="170" spans="1:4">
      <c r="A170" t="str">
        <f>TEXT(IF('Change in Employment'!B177&lt;&gt;0,DATE(YEAR('Change in Employment'!B177), MONTH('Change in Employment'!B177), 1), ""), "mm/dd/yyyy")</f>
        <v/>
      </c>
      <c r="B170" t="str">
        <f>IF(ISNUMBER('Change in Employment'!L177),'Change in Employment'!L177, "")</f>
        <v/>
      </c>
      <c r="C170" t="str">
        <f>IFERROR(IF(ISNUMBER('Change in Employment'!M177),TEXT('Change in Employment'!M177, "0"), ""), "")</f>
        <v/>
      </c>
      <c r="D170" s="8" t="str">
        <f>IF(ISNUMBER('Change in Employment'!G177),'Change in Employment'!G177,"")</f>
        <v/>
      </c>
    </row>
    <row r="171" spans="1:4">
      <c r="A171" t="str">
        <f>TEXT(IF('Change in Employment'!B178&lt;&gt;0,DATE(YEAR('Change in Employment'!B178), MONTH('Change in Employment'!B178), 1), ""), "mm/dd/yyyy")</f>
        <v/>
      </c>
      <c r="B171" t="str">
        <f>IF(ISNUMBER('Change in Employment'!L178),'Change in Employment'!L178, "")</f>
        <v/>
      </c>
      <c r="C171" t="str">
        <f>IFERROR(IF(ISNUMBER('Change in Employment'!M178),TEXT('Change in Employment'!M178, "0"), ""), "")</f>
        <v/>
      </c>
      <c r="D171" s="8" t="str">
        <f>IF(ISNUMBER('Change in Employment'!G178),'Change in Employment'!G178,"")</f>
        <v/>
      </c>
    </row>
    <row r="172" spans="1:4">
      <c r="A172" t="str">
        <f>TEXT(IF('Change in Employment'!B179&lt;&gt;0,DATE(YEAR('Change in Employment'!B179), MONTH('Change in Employment'!B179), 1), ""), "mm/dd/yyyy")</f>
        <v/>
      </c>
      <c r="B172" t="str">
        <f>IF(ISNUMBER('Change in Employment'!L179),'Change in Employment'!L179, "")</f>
        <v/>
      </c>
      <c r="C172" t="str">
        <f>IFERROR(IF(ISNUMBER('Change in Employment'!M179),TEXT('Change in Employment'!M179, "0"), ""), "")</f>
        <v/>
      </c>
      <c r="D172" s="8" t="str">
        <f>IF(ISNUMBER('Change in Employment'!G179),'Change in Employment'!G179,"")</f>
        <v/>
      </c>
    </row>
    <row r="173" spans="1:4">
      <c r="A173" t="str">
        <f>TEXT(IF('Change in Employment'!B180&lt;&gt;0,DATE(YEAR('Change in Employment'!B180), MONTH('Change in Employment'!B180), 1), ""), "mm/dd/yyyy")</f>
        <v/>
      </c>
      <c r="B173" t="str">
        <f>IF(ISNUMBER('Change in Employment'!L180),'Change in Employment'!L180, "")</f>
        <v/>
      </c>
      <c r="C173" t="str">
        <f>IFERROR(IF(ISNUMBER('Change in Employment'!M180),TEXT('Change in Employment'!M180, "0"), ""), "")</f>
        <v/>
      </c>
      <c r="D173" s="8" t="str">
        <f>IF(ISNUMBER('Change in Employment'!G180),'Change in Employment'!G180,"")</f>
        <v/>
      </c>
    </row>
    <row r="174" spans="1:4">
      <c r="A174" t="str">
        <f>TEXT(IF('Change in Employment'!B181&lt;&gt;0,DATE(YEAR('Change in Employment'!B181), MONTH('Change in Employment'!B181), 1), ""), "mm/dd/yyyy")</f>
        <v/>
      </c>
      <c r="B174" t="str">
        <f>IF(ISNUMBER('Change in Employment'!L181),'Change in Employment'!L181, "")</f>
        <v/>
      </c>
      <c r="C174" t="str">
        <f>IFERROR(IF(ISNUMBER('Change in Employment'!M181),TEXT('Change in Employment'!M181, "0"), ""), "")</f>
        <v/>
      </c>
      <c r="D174" s="8" t="str">
        <f>IF(ISNUMBER('Change in Employment'!G181),'Change in Employment'!G181,"")</f>
        <v/>
      </c>
    </row>
    <row r="175" spans="1:4">
      <c r="A175" t="str">
        <f>TEXT(IF('Change in Employment'!B182&lt;&gt;0,DATE(YEAR('Change in Employment'!B182), MONTH('Change in Employment'!B182), 1), ""), "mm/dd/yyyy")</f>
        <v/>
      </c>
      <c r="B175" t="str">
        <f>IF(ISNUMBER('Change in Employment'!L182),'Change in Employment'!L182, "")</f>
        <v/>
      </c>
      <c r="C175" t="str">
        <f>IFERROR(IF(ISNUMBER('Change in Employment'!M182),TEXT('Change in Employment'!M182, "0"), ""), "")</f>
        <v/>
      </c>
      <c r="D175" s="8" t="str">
        <f>IF(ISNUMBER('Change in Employment'!G182),'Change in Employment'!G182,"")</f>
        <v/>
      </c>
    </row>
    <row r="176" spans="1:4">
      <c r="A176" t="str">
        <f>TEXT(IF('Change in Employment'!B183&lt;&gt;0,DATE(YEAR('Change in Employment'!B183), MONTH('Change in Employment'!B183), 1), ""), "mm/dd/yyyy")</f>
        <v/>
      </c>
      <c r="B176" t="str">
        <f>IF(ISNUMBER('Change in Employment'!L183),'Change in Employment'!L183, "")</f>
        <v/>
      </c>
      <c r="C176" t="str">
        <f>IFERROR(IF(ISNUMBER('Change in Employment'!M183),TEXT('Change in Employment'!M183, "0"), ""), "")</f>
        <v/>
      </c>
      <c r="D176" s="8" t="str">
        <f>IF(ISNUMBER('Change in Employment'!G183),'Change in Employment'!G183,"")</f>
        <v/>
      </c>
    </row>
    <row r="177" spans="1:4">
      <c r="A177" t="str">
        <f>TEXT(IF('Change in Employment'!B184&lt;&gt;0,DATE(YEAR('Change in Employment'!B184), MONTH('Change in Employment'!B184), 1), ""), "mm/dd/yyyy")</f>
        <v/>
      </c>
      <c r="B177" t="str">
        <f>IF(ISNUMBER('Change in Employment'!L184),'Change in Employment'!L184, "")</f>
        <v/>
      </c>
      <c r="C177" t="str">
        <f>IFERROR(IF(ISNUMBER('Change in Employment'!M184),TEXT('Change in Employment'!M184, "0"), ""), "")</f>
        <v/>
      </c>
      <c r="D177" s="8" t="str">
        <f>IF(ISNUMBER('Change in Employment'!G184),'Change in Employment'!G184,"")</f>
        <v/>
      </c>
    </row>
    <row r="178" spans="1:4">
      <c r="A178" t="str">
        <f>TEXT(IF('Change in Employment'!B185&lt;&gt;0,DATE(YEAR('Change in Employment'!B185), MONTH('Change in Employment'!B185), 1), ""), "mm/dd/yyyy")</f>
        <v/>
      </c>
      <c r="B178" t="str">
        <f>IF(ISNUMBER('Change in Employment'!L185),'Change in Employment'!L185, "")</f>
        <v/>
      </c>
      <c r="C178" t="str">
        <f>IFERROR(IF(ISNUMBER('Change in Employment'!M185),TEXT('Change in Employment'!M185, "0"), ""), "")</f>
        <v/>
      </c>
      <c r="D178" s="8" t="str">
        <f>IF(ISNUMBER('Change in Employment'!G185),'Change in Employment'!G185,"")</f>
        <v/>
      </c>
    </row>
    <row r="179" spans="1:4">
      <c r="A179" t="str">
        <f>TEXT(IF('Change in Employment'!B186&lt;&gt;0,DATE(YEAR('Change in Employment'!B186), MONTH('Change in Employment'!B186), 1), ""), "mm/dd/yyyy")</f>
        <v/>
      </c>
      <c r="B179" t="str">
        <f>IF(ISNUMBER('Change in Employment'!L186),'Change in Employment'!L186, "")</f>
        <v/>
      </c>
      <c r="C179" t="str">
        <f>IFERROR(IF(ISNUMBER('Change in Employment'!M186),TEXT('Change in Employment'!M186, "0"), ""), "")</f>
        <v/>
      </c>
      <c r="D179" s="8" t="str">
        <f>IF(ISNUMBER('Change in Employment'!G186),'Change in Employment'!G186,"")</f>
        <v/>
      </c>
    </row>
    <row r="180" spans="1:4">
      <c r="A180" t="str">
        <f>TEXT(IF('Change in Employment'!B187&lt;&gt;0,DATE(YEAR('Change in Employment'!B187), MONTH('Change in Employment'!B187), 1), ""), "mm/dd/yyyy")</f>
        <v/>
      </c>
      <c r="B180" t="str">
        <f>IF(ISNUMBER('Change in Employment'!L187),'Change in Employment'!L187, "")</f>
        <v/>
      </c>
      <c r="C180" t="str">
        <f>IFERROR(IF(ISNUMBER('Change in Employment'!M187),TEXT('Change in Employment'!M187, "0"), ""), "")</f>
        <v/>
      </c>
      <c r="D180" s="8" t="str">
        <f>IF(ISNUMBER('Change in Employment'!G187),'Change in Employment'!G187,"")</f>
        <v/>
      </c>
    </row>
    <row r="181" spans="1:4">
      <c r="A181" t="str">
        <f>TEXT(IF('Change in Employment'!B188&lt;&gt;0,DATE(YEAR('Change in Employment'!B188), MONTH('Change in Employment'!B188), 1), ""), "mm/dd/yyyy")</f>
        <v/>
      </c>
      <c r="B181" t="str">
        <f>IF(ISNUMBER('Change in Employment'!L188),'Change in Employment'!L188, "")</f>
        <v/>
      </c>
      <c r="C181" t="str">
        <f>IFERROR(IF(ISNUMBER('Change in Employment'!M188),TEXT('Change in Employment'!M188, "0"), ""), "")</f>
        <v/>
      </c>
      <c r="D181" s="8" t="str">
        <f>IF(ISNUMBER('Change in Employment'!G188),'Change in Employment'!G188,"")</f>
        <v/>
      </c>
    </row>
    <row r="182" spans="1:4">
      <c r="A182" t="str">
        <f>TEXT(IF('Change in Employment'!B189&lt;&gt;0,DATE(YEAR('Change in Employment'!B189), MONTH('Change in Employment'!B189), 1), ""), "mm/dd/yyyy")</f>
        <v/>
      </c>
      <c r="B182" t="str">
        <f>IF(ISNUMBER('Change in Employment'!L189),'Change in Employment'!L189, "")</f>
        <v/>
      </c>
      <c r="C182" t="str">
        <f>IFERROR(IF(ISNUMBER('Change in Employment'!M189),TEXT('Change in Employment'!M189, "0"), ""), "")</f>
        <v/>
      </c>
      <c r="D182" s="8" t="str">
        <f>IF(ISNUMBER('Change in Employment'!G189),'Change in Employment'!G189,"")</f>
        <v/>
      </c>
    </row>
    <row r="183" spans="1:4">
      <c r="A183" t="str">
        <f>TEXT(IF('Change in Employment'!B190&lt;&gt;0,DATE(YEAR('Change in Employment'!B190), MONTH('Change in Employment'!B190), 1), ""), "mm/dd/yyyy")</f>
        <v/>
      </c>
      <c r="B183" t="str">
        <f>IF(ISNUMBER('Change in Employment'!L190),'Change in Employment'!L190, "")</f>
        <v/>
      </c>
      <c r="C183" t="str">
        <f>IFERROR(IF(ISNUMBER('Change in Employment'!M190),TEXT('Change in Employment'!M190, "0"), ""), "")</f>
        <v/>
      </c>
      <c r="D183" s="8" t="str">
        <f>IF(ISNUMBER('Change in Employment'!G190),'Change in Employment'!G190,"")</f>
        <v/>
      </c>
    </row>
    <row r="184" spans="1:4">
      <c r="A184" t="str">
        <f>TEXT(IF('Change in Employment'!B191&lt;&gt;0,DATE(YEAR('Change in Employment'!B191), MONTH('Change in Employment'!B191), 1), ""), "mm/dd/yyyy")</f>
        <v/>
      </c>
      <c r="B184" t="str">
        <f>IF(ISNUMBER('Change in Employment'!L191),'Change in Employment'!L191, "")</f>
        <v/>
      </c>
      <c r="C184" t="str">
        <f>IFERROR(IF(ISNUMBER('Change in Employment'!M191),TEXT('Change in Employment'!M191, "0"), ""), "")</f>
        <v/>
      </c>
      <c r="D184" s="8" t="str">
        <f>IF(ISNUMBER('Change in Employment'!G191),'Change in Employment'!G191,"")</f>
        <v/>
      </c>
    </row>
    <row r="185" spans="1:4">
      <c r="A185" t="str">
        <f>TEXT(IF('Change in Employment'!B192&lt;&gt;0,DATE(YEAR('Change in Employment'!B192), MONTH('Change in Employment'!B192), 1), ""), "mm/dd/yyyy")</f>
        <v/>
      </c>
      <c r="B185" t="str">
        <f>IF(ISNUMBER('Change in Employment'!L192),'Change in Employment'!L192, "")</f>
        <v/>
      </c>
      <c r="C185" t="str">
        <f>IFERROR(IF(ISNUMBER('Change in Employment'!M192),TEXT('Change in Employment'!M192, "0"), ""), "")</f>
        <v/>
      </c>
      <c r="D185" s="8" t="str">
        <f>IF(ISNUMBER('Change in Employment'!G192),'Change in Employment'!G192,"")</f>
        <v/>
      </c>
    </row>
    <row r="186" spans="1:4">
      <c r="A186" t="str">
        <f>TEXT(IF('Change in Employment'!B193&lt;&gt;0,DATE(YEAR('Change in Employment'!B193), MONTH('Change in Employment'!B193), 1), ""), "mm/dd/yyyy")</f>
        <v/>
      </c>
      <c r="B186" t="str">
        <f>IF(ISNUMBER('Change in Employment'!L193),'Change in Employment'!L193, "")</f>
        <v/>
      </c>
      <c r="C186" t="str">
        <f>IFERROR(IF(ISNUMBER('Change in Employment'!M193),TEXT('Change in Employment'!M193, "0"), ""), "")</f>
        <v/>
      </c>
      <c r="D186" s="8" t="str">
        <f>IF(ISNUMBER('Change in Employment'!G193),'Change in Employment'!G193,"")</f>
        <v/>
      </c>
    </row>
    <row r="187" spans="1:4">
      <c r="A187" t="str">
        <f>TEXT(IF('Change in Employment'!B194&lt;&gt;0,DATE(YEAR('Change in Employment'!B194), MONTH('Change in Employment'!B194), 1), ""), "mm/dd/yyyy")</f>
        <v/>
      </c>
      <c r="B187" t="str">
        <f>IF(ISNUMBER('Change in Employment'!L194),'Change in Employment'!L194, "")</f>
        <v/>
      </c>
      <c r="C187" t="str">
        <f>IFERROR(IF(ISNUMBER('Change in Employment'!M194),TEXT('Change in Employment'!M194, "0"), ""), "")</f>
        <v/>
      </c>
      <c r="D187" s="8" t="str">
        <f>IF(ISNUMBER('Change in Employment'!G194),'Change in Employment'!G194,"")</f>
        <v/>
      </c>
    </row>
    <row r="188" spans="1:4">
      <c r="A188" t="str">
        <f>TEXT(IF('Change in Employment'!B195&lt;&gt;0,DATE(YEAR('Change in Employment'!B195), MONTH('Change in Employment'!B195), 1), ""), "mm/dd/yyyy")</f>
        <v/>
      </c>
      <c r="B188" t="str">
        <f>IF(ISNUMBER('Change in Employment'!L195),'Change in Employment'!L195, "")</f>
        <v/>
      </c>
      <c r="C188" t="str">
        <f>IFERROR(IF(ISNUMBER('Change in Employment'!M195),TEXT('Change in Employment'!M195, "0"), ""), "")</f>
        <v/>
      </c>
      <c r="D188" s="8" t="str">
        <f>IF(ISNUMBER('Change in Employment'!G195),'Change in Employment'!G195,"")</f>
        <v/>
      </c>
    </row>
    <row r="189" spans="1:4">
      <c r="A189" t="str">
        <f>TEXT(IF('Change in Employment'!B196&lt;&gt;0,DATE(YEAR('Change in Employment'!B196), MONTH('Change in Employment'!B196), 1), ""), "mm/dd/yyyy")</f>
        <v/>
      </c>
      <c r="B189" t="str">
        <f>IF(ISNUMBER('Change in Employment'!L196),'Change in Employment'!L196, "")</f>
        <v/>
      </c>
      <c r="C189" t="str">
        <f>IFERROR(IF(ISNUMBER('Change in Employment'!M196),TEXT('Change in Employment'!M196, "0"), ""), "")</f>
        <v/>
      </c>
      <c r="D189" s="8" t="str">
        <f>IF(ISNUMBER('Change in Employment'!G196),'Change in Employment'!G196,"")</f>
        <v/>
      </c>
    </row>
    <row r="190" spans="1:4">
      <c r="A190" t="str">
        <f>TEXT(IF('Change in Employment'!B197&lt;&gt;0,DATE(YEAR('Change in Employment'!B197), MONTH('Change in Employment'!B197), 1), ""), "mm/dd/yyyy")</f>
        <v/>
      </c>
      <c r="B190" t="str">
        <f>IF(ISNUMBER('Change in Employment'!L197),'Change in Employment'!L197, "")</f>
        <v/>
      </c>
      <c r="C190" t="str">
        <f>IFERROR(IF(ISNUMBER('Change in Employment'!M197),TEXT('Change in Employment'!M197, "0"), ""), "")</f>
        <v/>
      </c>
      <c r="D190" s="8" t="str">
        <f>IF(ISNUMBER('Change in Employment'!G197),'Change in Employment'!G197,"")</f>
        <v/>
      </c>
    </row>
    <row r="191" spans="1:4">
      <c r="A191" t="str">
        <f>TEXT(IF('Change in Employment'!B198&lt;&gt;0,DATE(YEAR('Change in Employment'!B198), MONTH('Change in Employment'!B198), 1), ""), "mm/dd/yyyy")</f>
        <v/>
      </c>
      <c r="B191" t="str">
        <f>IF(ISNUMBER('Change in Employment'!L198),'Change in Employment'!L198, "")</f>
        <v/>
      </c>
      <c r="C191" t="str">
        <f>IFERROR(IF(ISNUMBER('Change in Employment'!M198),TEXT('Change in Employment'!M198, "0"), ""), "")</f>
        <v/>
      </c>
      <c r="D191" s="8" t="str">
        <f>IF(ISNUMBER('Change in Employment'!G198),'Change in Employment'!G198,"")</f>
        <v/>
      </c>
    </row>
    <row r="192" spans="1:4">
      <c r="A192" t="str">
        <f>TEXT(IF('Change in Employment'!B199&lt;&gt;0,DATE(YEAR('Change in Employment'!B199), MONTH('Change in Employment'!B199), 1), ""), "mm/dd/yyyy")</f>
        <v/>
      </c>
      <c r="B192" t="str">
        <f>IF(ISNUMBER('Change in Employment'!L199),'Change in Employment'!L199, "")</f>
        <v/>
      </c>
      <c r="C192" t="str">
        <f>IFERROR(IF(ISNUMBER('Change in Employment'!M199),TEXT('Change in Employment'!M199, "0"), ""), "")</f>
        <v/>
      </c>
      <c r="D192" s="8" t="str">
        <f>IF(ISNUMBER('Change in Employment'!G199),'Change in Employment'!G199,"")</f>
        <v/>
      </c>
    </row>
    <row r="193" spans="1:4">
      <c r="A193" t="str">
        <f>TEXT(IF('Change in Employment'!B200&lt;&gt;0,DATE(YEAR('Change in Employment'!B200), MONTH('Change in Employment'!B200), 1), ""), "mm/dd/yyyy")</f>
        <v/>
      </c>
      <c r="B193" t="str">
        <f>IF(ISNUMBER('Change in Employment'!L200),'Change in Employment'!L200, "")</f>
        <v/>
      </c>
      <c r="C193" t="str">
        <f>IFERROR(IF(ISNUMBER('Change in Employment'!M200),TEXT('Change in Employment'!M200, "0"), ""), "")</f>
        <v/>
      </c>
      <c r="D193" s="8" t="str">
        <f>IF(ISNUMBER('Change in Employment'!G200),'Change in Employment'!G200,"")</f>
        <v/>
      </c>
    </row>
    <row r="194" spans="1:4">
      <c r="A194" t="str">
        <f>TEXT(IF('Change in Employment'!B201&lt;&gt;0,DATE(YEAR('Change in Employment'!B201), MONTH('Change in Employment'!B201), 1), ""), "mm/dd/yyyy")</f>
        <v/>
      </c>
      <c r="B194" t="str">
        <f>IF(ISNUMBER('Change in Employment'!L201),'Change in Employment'!L201, "")</f>
        <v/>
      </c>
      <c r="C194" t="str">
        <f>IFERROR(IF(ISNUMBER('Change in Employment'!M201),TEXT('Change in Employment'!M201, "0"), ""), "")</f>
        <v/>
      </c>
      <c r="D194" s="8" t="str">
        <f>IF(ISNUMBER('Change in Employment'!G201),'Change in Employment'!G201,"")</f>
        <v/>
      </c>
    </row>
    <row r="195" spans="1:4">
      <c r="A195" t="str">
        <f>TEXT(IF('Change in Employment'!B202&lt;&gt;0,DATE(YEAR('Change in Employment'!B202), MONTH('Change in Employment'!B202), 1), ""), "mm/dd/yyyy")</f>
        <v/>
      </c>
      <c r="B195" t="str">
        <f>IF(ISNUMBER('Change in Employment'!L202),'Change in Employment'!L202, "")</f>
        <v/>
      </c>
      <c r="C195" t="str">
        <f>IFERROR(IF(ISNUMBER('Change in Employment'!M202),TEXT('Change in Employment'!M202, "0"), ""), "")</f>
        <v/>
      </c>
      <c r="D195" s="8" t="str">
        <f>IF(ISNUMBER('Change in Employment'!G202),'Change in Employment'!G202,"")</f>
        <v/>
      </c>
    </row>
    <row r="196" spans="1:4">
      <c r="A196" t="str">
        <f>TEXT(IF('Change in Employment'!B203&lt;&gt;0,DATE(YEAR('Change in Employment'!B203), MONTH('Change in Employment'!B203), 1), ""), "mm/dd/yyyy")</f>
        <v/>
      </c>
      <c r="B196" t="str">
        <f>IF(ISNUMBER('Change in Employment'!L203),'Change in Employment'!L203, "")</f>
        <v/>
      </c>
      <c r="C196" t="str">
        <f>IFERROR(IF(ISNUMBER('Change in Employment'!M203),TEXT('Change in Employment'!M203, "0"), ""), "")</f>
        <v/>
      </c>
      <c r="D196" s="8" t="str">
        <f>IF(ISNUMBER('Change in Employment'!G203),'Change in Employment'!G203,"")</f>
        <v/>
      </c>
    </row>
    <row r="197" spans="1:4">
      <c r="A197" t="str">
        <f>TEXT(IF('Change in Employment'!B204&lt;&gt;0,DATE(YEAR('Change in Employment'!B204), MONTH('Change in Employment'!B204), 1), ""), "mm/dd/yyyy")</f>
        <v/>
      </c>
      <c r="B197" t="str">
        <f>IF(ISNUMBER('Change in Employment'!L204),'Change in Employment'!L204, "")</f>
        <v/>
      </c>
      <c r="C197" t="str">
        <f>IFERROR(IF(ISNUMBER('Change in Employment'!M204),TEXT('Change in Employment'!M204, "0"), ""), "")</f>
        <v/>
      </c>
      <c r="D197" s="8" t="str">
        <f>IF(ISNUMBER('Change in Employment'!G204),'Change in Employment'!G204,"")</f>
        <v/>
      </c>
    </row>
    <row r="198" spans="1:4">
      <c r="A198" t="str">
        <f>TEXT(IF('Change in Employment'!B205&lt;&gt;0,DATE(YEAR('Change in Employment'!B205), MONTH('Change in Employment'!B205), 1), ""), "mm/dd/yyyy")</f>
        <v/>
      </c>
      <c r="B198" t="str">
        <f>IF(ISNUMBER('Change in Employment'!L205),'Change in Employment'!L205, "")</f>
        <v/>
      </c>
      <c r="C198" t="str">
        <f>IFERROR(IF(ISNUMBER('Change in Employment'!M205),TEXT('Change in Employment'!M205, "0"), ""), "")</f>
        <v/>
      </c>
      <c r="D198" s="8" t="str">
        <f>IF(ISNUMBER('Change in Employment'!G205),'Change in Employment'!G205,"")</f>
        <v/>
      </c>
    </row>
    <row r="199" spans="1:4">
      <c r="A199" t="str">
        <f>TEXT(IF('Change in Employment'!B206&lt;&gt;0,DATE(YEAR('Change in Employment'!B206), MONTH('Change in Employment'!B206), 1), ""), "mm/dd/yyyy")</f>
        <v/>
      </c>
      <c r="B199" t="str">
        <f>IF(ISNUMBER('Change in Employment'!L206),'Change in Employment'!L206, "")</f>
        <v/>
      </c>
      <c r="C199" t="str">
        <f>IFERROR(IF(ISNUMBER('Change in Employment'!M206),TEXT('Change in Employment'!M206, "0"), ""), "")</f>
        <v/>
      </c>
      <c r="D199" s="8" t="str">
        <f>IF(ISNUMBER('Change in Employment'!G206),'Change in Employment'!G206,"")</f>
        <v/>
      </c>
    </row>
    <row r="200" spans="1:4">
      <c r="A200" t="str">
        <f>TEXT(IF('Change in Employment'!B207&lt;&gt;0,DATE(YEAR('Change in Employment'!B207), MONTH('Change in Employment'!B207), 1), ""), "mm/dd/yyyy")</f>
        <v/>
      </c>
      <c r="B200" t="str">
        <f>IF(ISNUMBER('Change in Employment'!L207),'Change in Employment'!L207, "")</f>
        <v/>
      </c>
      <c r="C200" t="str">
        <f>IFERROR(IF(ISNUMBER('Change in Employment'!M207),TEXT('Change in Employment'!M207, "0"), ""), "")</f>
        <v/>
      </c>
      <c r="D200" s="8" t="str">
        <f>IF(ISNUMBER('Change in Employment'!G207),'Change in Employment'!G207,"")</f>
        <v/>
      </c>
    </row>
    <row r="201" spans="1:4">
      <c r="A201" t="str">
        <f>TEXT(IF('Change in Employment'!B208&lt;&gt;0,DATE(YEAR('Change in Employment'!B208), MONTH('Change in Employment'!B208), 1), ""), "mm/dd/yyyy")</f>
        <v/>
      </c>
      <c r="B201" t="str">
        <f>IF(ISNUMBER('Change in Employment'!L208),'Change in Employment'!L208, "")</f>
        <v/>
      </c>
      <c r="C201" t="str">
        <f>IFERROR(IF(ISNUMBER('Change in Employment'!M208),TEXT('Change in Employment'!M208, "0"), ""), "")</f>
        <v/>
      </c>
      <c r="D201" s="8" t="str">
        <f>IF(ISNUMBER('Change in Employment'!G208),'Change in Employment'!G208,"")</f>
        <v/>
      </c>
    </row>
    <row r="202" spans="1:4">
      <c r="A202" t="str">
        <f>TEXT(IF('Change in Employment'!B209&lt;&gt;0,DATE(YEAR('Change in Employment'!B209), MONTH('Change in Employment'!B209), 1), ""), "mm/dd/yyyy")</f>
        <v/>
      </c>
      <c r="B202" t="str">
        <f>IF(ISNUMBER('Change in Employment'!L209),'Change in Employment'!L209, "")</f>
        <v/>
      </c>
      <c r="C202" t="str">
        <f>IFERROR(IF(ISNUMBER('Change in Employment'!M209),TEXT('Change in Employment'!M209, "0"), ""), "")</f>
        <v/>
      </c>
      <c r="D202" s="8" t="str">
        <f>IF(ISNUMBER('Change in Employment'!G209),'Change in Employment'!G209,"")</f>
        <v/>
      </c>
    </row>
    <row r="203" spans="1:4">
      <c r="A203" t="str">
        <f>TEXT(IF('Change in Employment'!B210&lt;&gt;0,DATE(YEAR('Change in Employment'!B210), MONTH('Change in Employment'!B210), 1), ""), "mm/dd/yyyy")</f>
        <v/>
      </c>
      <c r="B203" t="str">
        <f>IF(ISNUMBER('Change in Employment'!L210),'Change in Employment'!L210, "")</f>
        <v/>
      </c>
      <c r="C203" t="str">
        <f>IFERROR(IF(ISNUMBER('Change in Employment'!M210),TEXT('Change in Employment'!M210, "0"), ""), "")</f>
        <v/>
      </c>
      <c r="D203" s="8" t="str">
        <f>IF(ISNUMBER('Change in Employment'!G210),'Change in Employment'!G210,"")</f>
        <v/>
      </c>
    </row>
    <row r="204" spans="1:4">
      <c r="A204" t="str">
        <f>TEXT(IF('Change in Employment'!B211&lt;&gt;0,DATE(YEAR('Change in Employment'!B211), MONTH('Change in Employment'!B211), 1), ""), "mm/dd/yyyy")</f>
        <v/>
      </c>
      <c r="B204" t="str">
        <f>IF(ISNUMBER('Change in Employment'!L211),'Change in Employment'!L211, "")</f>
        <v/>
      </c>
      <c r="C204" t="str">
        <f>IFERROR(IF(ISNUMBER('Change in Employment'!M211),TEXT('Change in Employment'!M211, "0"), ""), "")</f>
        <v/>
      </c>
      <c r="D204" s="8" t="str">
        <f>IF(ISNUMBER('Change in Employment'!G211),'Change in Employment'!G211,"")</f>
        <v/>
      </c>
    </row>
    <row r="205" spans="1:4">
      <c r="A205" t="str">
        <f>TEXT(IF('Change in Employment'!B212&lt;&gt;0,DATE(YEAR('Change in Employment'!B212), MONTH('Change in Employment'!B212), 1), ""), "mm/dd/yyyy")</f>
        <v/>
      </c>
      <c r="B205" t="str">
        <f>IF(ISNUMBER('Change in Employment'!L212),'Change in Employment'!L212, "")</f>
        <v/>
      </c>
      <c r="C205" t="str">
        <f>IFERROR(IF(ISNUMBER('Change in Employment'!M212),TEXT('Change in Employment'!M212, "0"), ""), "")</f>
        <v/>
      </c>
      <c r="D205" s="8" t="str">
        <f>IF(ISNUMBER('Change in Employment'!G212),'Change in Employment'!G212,"")</f>
        <v/>
      </c>
    </row>
    <row r="206" spans="1:4">
      <c r="A206" t="str">
        <f>TEXT(IF('Change in Employment'!B213&lt;&gt;0,DATE(YEAR('Change in Employment'!B213), MONTH('Change in Employment'!B213), 1), ""), "mm/dd/yyyy")</f>
        <v/>
      </c>
      <c r="B206" t="str">
        <f>IF(ISNUMBER('Change in Employment'!L213),'Change in Employment'!L213, "")</f>
        <v/>
      </c>
      <c r="C206" t="str">
        <f>IFERROR(IF(ISNUMBER('Change in Employment'!M213),TEXT('Change in Employment'!M213, "0"), ""), "")</f>
        <v/>
      </c>
      <c r="D206" s="8" t="str">
        <f>IF(ISNUMBER('Change in Employment'!G213),'Change in Employment'!G213,"")</f>
        <v/>
      </c>
    </row>
    <row r="207" spans="1:4">
      <c r="A207" t="str">
        <f>TEXT(IF('Change in Employment'!B214&lt;&gt;0,DATE(YEAR('Change in Employment'!B214), MONTH('Change in Employment'!B214), 1), ""), "mm/dd/yyyy")</f>
        <v/>
      </c>
      <c r="B207" t="str">
        <f>IF(ISNUMBER('Change in Employment'!L214),'Change in Employment'!L214, "")</f>
        <v/>
      </c>
      <c r="C207" t="str">
        <f>IFERROR(IF(ISNUMBER('Change in Employment'!M214),TEXT('Change in Employment'!M214, "0"), ""), "")</f>
        <v/>
      </c>
      <c r="D207" s="8" t="str">
        <f>IF(ISNUMBER('Change in Employment'!G214),'Change in Employment'!G214,"")</f>
        <v/>
      </c>
    </row>
    <row r="208" spans="1:4">
      <c r="A208" t="str">
        <f>TEXT(IF('Change in Employment'!B215&lt;&gt;0,DATE(YEAR('Change in Employment'!B215), MONTH('Change in Employment'!B215), 1), ""), "mm/dd/yyyy")</f>
        <v/>
      </c>
      <c r="B208" t="str">
        <f>IF(ISNUMBER('Change in Employment'!L215),'Change in Employment'!L215, "")</f>
        <v/>
      </c>
      <c r="C208" t="str">
        <f>IFERROR(IF(ISNUMBER('Change in Employment'!M215),TEXT('Change in Employment'!M215, "0"), ""), "")</f>
        <v/>
      </c>
      <c r="D208" s="8" t="str">
        <f>IF(ISNUMBER('Change in Employment'!G215),'Change in Employment'!G215,"")</f>
        <v/>
      </c>
    </row>
    <row r="209" spans="1:4">
      <c r="A209" t="str">
        <f>TEXT(IF('Change in Employment'!B216&lt;&gt;0,DATE(YEAR('Change in Employment'!B216), MONTH('Change in Employment'!B216), 1), ""), "mm/dd/yyyy")</f>
        <v/>
      </c>
      <c r="B209" t="str">
        <f>IF(ISNUMBER('Change in Employment'!L216),'Change in Employment'!L216, "")</f>
        <v/>
      </c>
      <c r="C209" t="str">
        <f>IFERROR(IF(ISNUMBER('Change in Employment'!M216),TEXT('Change in Employment'!M216, "0"), ""), "")</f>
        <v/>
      </c>
      <c r="D209" s="8" t="str">
        <f>IF(ISNUMBER('Change in Employment'!G216),'Change in Employment'!G216,"")</f>
        <v/>
      </c>
    </row>
    <row r="210" spans="1:4">
      <c r="A210" t="str">
        <f>TEXT(IF('Change in Employment'!B217&lt;&gt;0,DATE(YEAR('Change in Employment'!B217), MONTH('Change in Employment'!B217), 1), ""), "mm/dd/yyyy")</f>
        <v/>
      </c>
      <c r="B210" t="str">
        <f>IF(ISNUMBER('Change in Employment'!L217),'Change in Employment'!L217, "")</f>
        <v/>
      </c>
      <c r="C210" t="str">
        <f>IFERROR(IF(ISNUMBER('Change in Employment'!M217),TEXT('Change in Employment'!M217, "0"), ""), "")</f>
        <v/>
      </c>
      <c r="D210" s="8" t="str">
        <f>IF(ISNUMBER('Change in Employment'!G217),'Change in Employment'!G217,"")</f>
        <v/>
      </c>
    </row>
    <row r="211" spans="1:4">
      <c r="A211" t="str">
        <f>TEXT(IF('Change in Employment'!B218&lt;&gt;0,DATE(YEAR('Change in Employment'!B218), MONTH('Change in Employment'!B218), 1), ""), "mm/dd/yyyy")</f>
        <v/>
      </c>
      <c r="B211" t="str">
        <f>IF(ISNUMBER('Change in Employment'!L218),'Change in Employment'!L218, "")</f>
        <v/>
      </c>
      <c r="C211" t="str">
        <f>IFERROR(IF(ISNUMBER('Change in Employment'!M218),TEXT('Change in Employment'!M218, "0"), ""), "")</f>
        <v/>
      </c>
      <c r="D211" s="8" t="str">
        <f>IF(ISNUMBER('Change in Employment'!G218),'Change in Employment'!G218,"")</f>
        <v/>
      </c>
    </row>
    <row r="212" spans="1:4">
      <c r="A212" t="str">
        <f>TEXT(IF('Change in Employment'!B219&lt;&gt;0,DATE(YEAR('Change in Employment'!B219), MONTH('Change in Employment'!B219), 1), ""), "mm/dd/yyyy")</f>
        <v/>
      </c>
      <c r="B212" t="str">
        <f>IF(ISNUMBER('Change in Employment'!L219),'Change in Employment'!L219, "")</f>
        <v/>
      </c>
      <c r="C212" t="str">
        <f>IFERROR(IF(ISNUMBER('Change in Employment'!M219),TEXT('Change in Employment'!M219, "0"), ""), "")</f>
        <v/>
      </c>
      <c r="D212" s="8" t="str">
        <f>IF(ISNUMBER('Change in Employment'!G219),'Change in Employment'!G219,"")</f>
        <v/>
      </c>
    </row>
    <row r="213" spans="1:4">
      <c r="A213" t="str">
        <f>TEXT(IF('Change in Employment'!B220&lt;&gt;0,DATE(YEAR('Change in Employment'!B220), MONTH('Change in Employment'!B220), 1), ""), "mm/dd/yyyy")</f>
        <v/>
      </c>
      <c r="B213" t="str">
        <f>IF(ISNUMBER('Change in Employment'!L220),'Change in Employment'!L220, "")</f>
        <v/>
      </c>
      <c r="C213" t="str">
        <f>IFERROR(IF(ISNUMBER('Change in Employment'!M220),TEXT('Change in Employment'!M220, "0"), ""), "")</f>
        <v/>
      </c>
      <c r="D213" s="8" t="str">
        <f>IF(ISNUMBER('Change in Employment'!G220),'Change in Employment'!G220,"")</f>
        <v/>
      </c>
    </row>
    <row r="214" spans="1:4">
      <c r="A214" t="str">
        <f>TEXT(IF('Change in Employment'!B221&lt;&gt;0,DATE(YEAR('Change in Employment'!B221), MONTH('Change in Employment'!B221), 1), ""), "mm/dd/yyyy")</f>
        <v/>
      </c>
      <c r="B214" t="str">
        <f>IF(ISNUMBER('Change in Employment'!L221),'Change in Employment'!L221, "")</f>
        <v/>
      </c>
      <c r="C214" t="str">
        <f>IFERROR(IF(ISNUMBER('Change in Employment'!M221),TEXT('Change in Employment'!M221, "0"), ""), "")</f>
        <v/>
      </c>
      <c r="D214" s="8" t="str">
        <f>IF(ISNUMBER('Change in Employment'!G221),'Change in Employment'!G221,"")</f>
        <v/>
      </c>
    </row>
    <row r="215" spans="1:4">
      <c r="A215" t="str">
        <f>TEXT(IF('Change in Employment'!B222&lt;&gt;0,DATE(YEAR('Change in Employment'!B222), MONTH('Change in Employment'!B222), 1), ""), "mm/dd/yyyy")</f>
        <v/>
      </c>
      <c r="B215" t="str">
        <f>IF(ISNUMBER('Change in Employment'!L222),'Change in Employment'!L222, "")</f>
        <v/>
      </c>
      <c r="C215" t="str">
        <f>IFERROR(IF(ISNUMBER('Change in Employment'!M222),TEXT('Change in Employment'!M222, "0"), ""), "")</f>
        <v/>
      </c>
      <c r="D215" s="8" t="str">
        <f>IF(ISNUMBER('Change in Employment'!G222),'Change in Employment'!G222,"")</f>
        <v/>
      </c>
    </row>
    <row r="216" spans="1:4">
      <c r="A216" t="str">
        <f>TEXT(IF('Change in Employment'!B223&lt;&gt;0,DATE(YEAR('Change in Employment'!B223), MONTH('Change in Employment'!B223), 1), ""), "mm/dd/yyyy")</f>
        <v/>
      </c>
      <c r="B216" t="str">
        <f>IF(ISNUMBER('Change in Employment'!L223),'Change in Employment'!L223, "")</f>
        <v/>
      </c>
      <c r="C216" t="str">
        <f>IFERROR(IF(ISNUMBER('Change in Employment'!M223),TEXT('Change in Employment'!M223, "0"), ""), "")</f>
        <v/>
      </c>
      <c r="D216" s="8" t="str">
        <f>IF(ISNUMBER('Change in Employment'!G223),'Change in Employment'!G223,"")</f>
        <v/>
      </c>
    </row>
    <row r="217" spans="1:4">
      <c r="A217" t="str">
        <f>TEXT(IF('Change in Employment'!B224&lt;&gt;0,DATE(YEAR('Change in Employment'!B224), MONTH('Change in Employment'!B224), 1), ""), "mm/dd/yyyy")</f>
        <v/>
      </c>
      <c r="B217" t="str">
        <f>IF(ISNUMBER('Change in Employment'!L224),'Change in Employment'!L224, "")</f>
        <v/>
      </c>
      <c r="C217" t="str">
        <f>IFERROR(IF(ISNUMBER('Change in Employment'!M224),TEXT('Change in Employment'!M224, "0"), ""), "")</f>
        <v/>
      </c>
      <c r="D217" s="8" t="str">
        <f>IF(ISNUMBER('Change in Employment'!G224),'Change in Employment'!G224,"")</f>
        <v/>
      </c>
    </row>
    <row r="218" spans="1:4">
      <c r="A218" t="str">
        <f>TEXT(IF('Change in Employment'!B225&lt;&gt;0,DATE(YEAR('Change in Employment'!B225), MONTH('Change in Employment'!B225), 1), ""), "mm/dd/yyyy")</f>
        <v/>
      </c>
      <c r="B218" t="str">
        <f>IF(ISNUMBER('Change in Employment'!L225),'Change in Employment'!L225, "")</f>
        <v/>
      </c>
      <c r="C218" t="str">
        <f>IFERROR(IF(ISNUMBER('Change in Employment'!M225),TEXT('Change in Employment'!M225, "0"), ""), "")</f>
        <v/>
      </c>
      <c r="D218" s="8" t="str">
        <f>IF(ISNUMBER('Change in Employment'!G225),'Change in Employment'!G225,"")</f>
        <v/>
      </c>
    </row>
    <row r="219" spans="1:4">
      <c r="A219" t="str">
        <f>TEXT(IF('Change in Employment'!B226&lt;&gt;0,DATE(YEAR('Change in Employment'!B226), MONTH('Change in Employment'!B226), 1), ""), "mm/dd/yyyy")</f>
        <v/>
      </c>
      <c r="B219" t="str">
        <f>IF(ISNUMBER('Change in Employment'!L226),'Change in Employment'!L226, "")</f>
        <v/>
      </c>
      <c r="C219" t="str">
        <f>IFERROR(IF(ISNUMBER('Change in Employment'!M226),TEXT('Change in Employment'!M226, "0"), ""), "")</f>
        <v/>
      </c>
      <c r="D219" s="8" t="str">
        <f>IF(ISNUMBER('Change in Employment'!G226),'Change in Employment'!G226,"")</f>
        <v/>
      </c>
    </row>
    <row r="220" spans="1:4">
      <c r="A220" t="str">
        <f>TEXT(IF('Change in Employment'!B227&lt;&gt;0,DATE(YEAR('Change in Employment'!B227), MONTH('Change in Employment'!B227), 1), ""), "mm/dd/yyyy")</f>
        <v/>
      </c>
      <c r="B220" t="str">
        <f>IF(ISNUMBER('Change in Employment'!L227),'Change in Employment'!L227, "")</f>
        <v/>
      </c>
      <c r="C220" t="str">
        <f>IFERROR(IF(ISNUMBER('Change in Employment'!M227),TEXT('Change in Employment'!M227, "0"), ""), "")</f>
        <v/>
      </c>
      <c r="D220" s="8" t="str">
        <f>IF(ISNUMBER('Change in Employment'!G227),'Change in Employment'!G227,"")</f>
        <v/>
      </c>
    </row>
    <row r="221" spans="1:4">
      <c r="A221" t="str">
        <f>TEXT(IF('Change in Employment'!B228&lt;&gt;0,DATE(YEAR('Change in Employment'!B228), MONTH('Change in Employment'!B228), 1), ""), "mm/dd/yyyy")</f>
        <v/>
      </c>
      <c r="B221" t="str">
        <f>IF(ISNUMBER('Change in Employment'!L228),'Change in Employment'!L228, "")</f>
        <v/>
      </c>
      <c r="C221" t="str">
        <f>IFERROR(IF(ISNUMBER('Change in Employment'!M228),TEXT('Change in Employment'!M228, "0"), ""), "")</f>
        <v/>
      </c>
      <c r="D221" s="8" t="str">
        <f>IF(ISNUMBER('Change in Employment'!G228),'Change in Employment'!G228,"")</f>
        <v/>
      </c>
    </row>
    <row r="222" spans="1:4">
      <c r="A222" t="str">
        <f>TEXT(IF('Change in Employment'!B229&lt;&gt;0,DATE(YEAR('Change in Employment'!B229), MONTH('Change in Employment'!B229), 1), ""), "mm/dd/yyyy")</f>
        <v/>
      </c>
      <c r="B222" t="str">
        <f>IF(ISNUMBER('Change in Employment'!L229),'Change in Employment'!L229, "")</f>
        <v/>
      </c>
      <c r="C222" t="str">
        <f>IFERROR(IF(ISNUMBER('Change in Employment'!M229),TEXT('Change in Employment'!M229, "0"), ""), "")</f>
        <v/>
      </c>
      <c r="D222" s="8" t="str">
        <f>IF(ISNUMBER('Change in Employment'!G229),'Change in Employment'!G229,"")</f>
        <v/>
      </c>
    </row>
    <row r="223" spans="1:4">
      <c r="A223" t="str">
        <f>TEXT(IF('Change in Employment'!B230&lt;&gt;0,DATE(YEAR('Change in Employment'!B230), MONTH('Change in Employment'!B230), 1), ""), "mm/dd/yyyy")</f>
        <v/>
      </c>
      <c r="B223" t="str">
        <f>IF(ISNUMBER('Change in Employment'!L230),'Change in Employment'!L230, "")</f>
        <v/>
      </c>
      <c r="C223" t="str">
        <f>IFERROR(IF(ISNUMBER('Change in Employment'!M230),TEXT('Change in Employment'!M230, "0"), ""), "")</f>
        <v/>
      </c>
      <c r="D223" s="8" t="str">
        <f>IF(ISNUMBER('Change in Employment'!G230),'Change in Employment'!G230,"")</f>
        <v/>
      </c>
    </row>
    <row r="224" spans="1:4">
      <c r="A224" t="str">
        <f>TEXT(IF('Change in Employment'!B231&lt;&gt;0,DATE(YEAR('Change in Employment'!B231), MONTH('Change in Employment'!B231), 1), ""), "mm/dd/yyyy")</f>
        <v/>
      </c>
      <c r="B224" t="str">
        <f>IF(ISNUMBER('Change in Employment'!L231),'Change in Employment'!L231, "")</f>
        <v/>
      </c>
      <c r="C224" t="str">
        <f>IFERROR(IF(ISNUMBER('Change in Employment'!M231),TEXT('Change in Employment'!M231, "0"), ""), "")</f>
        <v/>
      </c>
      <c r="D224" s="8" t="str">
        <f>IF(ISNUMBER('Change in Employment'!G231),'Change in Employment'!G231,"")</f>
        <v/>
      </c>
    </row>
    <row r="225" spans="1:4">
      <c r="A225" t="str">
        <f>TEXT(IF('Change in Employment'!B232&lt;&gt;0,DATE(YEAR('Change in Employment'!B232), MONTH('Change in Employment'!B232), 1), ""), "mm/dd/yyyy")</f>
        <v/>
      </c>
      <c r="B225" t="str">
        <f>IF(ISNUMBER('Change in Employment'!L232),'Change in Employment'!L232, "")</f>
        <v/>
      </c>
      <c r="C225" t="str">
        <f>IFERROR(IF(ISNUMBER('Change in Employment'!M232),TEXT('Change in Employment'!M232, "0"), ""), "")</f>
        <v/>
      </c>
      <c r="D225" s="8" t="str">
        <f>IF(ISNUMBER('Change in Employment'!G232),'Change in Employment'!G232,"")</f>
        <v/>
      </c>
    </row>
    <row r="226" spans="1:4">
      <c r="A226" t="str">
        <f>TEXT(IF('Change in Employment'!B233&lt;&gt;0,DATE(YEAR('Change in Employment'!B233), MONTH('Change in Employment'!B233), 1), ""), "mm/dd/yyyy")</f>
        <v/>
      </c>
      <c r="B226" t="str">
        <f>IF(ISNUMBER('Change in Employment'!L233),'Change in Employment'!L233, "")</f>
        <v/>
      </c>
      <c r="C226" t="str">
        <f>IFERROR(IF(ISNUMBER('Change in Employment'!M233),TEXT('Change in Employment'!M233, "0"), ""), "")</f>
        <v/>
      </c>
      <c r="D226" s="8" t="str">
        <f>IF(ISNUMBER('Change in Employment'!G233),'Change in Employment'!G233,"")</f>
        <v/>
      </c>
    </row>
    <row r="227" spans="1:4">
      <c r="A227" t="str">
        <f>TEXT(IF('Change in Employment'!B234&lt;&gt;0,DATE(YEAR('Change in Employment'!B234), MONTH('Change in Employment'!B234), 1), ""), "mm/dd/yyyy")</f>
        <v/>
      </c>
      <c r="B227" t="str">
        <f>IF(ISNUMBER('Change in Employment'!L234),'Change in Employment'!L234, "")</f>
        <v/>
      </c>
      <c r="C227" t="str">
        <f>IFERROR(IF(ISNUMBER('Change in Employment'!M234),TEXT('Change in Employment'!M234, "0"), ""), "")</f>
        <v/>
      </c>
      <c r="D227" s="8" t="str">
        <f>IF(ISNUMBER('Change in Employment'!G234),'Change in Employment'!G234,"")</f>
        <v/>
      </c>
    </row>
    <row r="228" spans="1:4">
      <c r="A228" t="str">
        <f>TEXT(IF('Change in Employment'!B235&lt;&gt;0,DATE(YEAR('Change in Employment'!B235), MONTH('Change in Employment'!B235), 1), ""), "mm/dd/yyyy")</f>
        <v/>
      </c>
      <c r="B228" t="str">
        <f>IF(ISNUMBER('Change in Employment'!L235),'Change in Employment'!L235, "")</f>
        <v/>
      </c>
      <c r="C228" t="str">
        <f>IFERROR(IF(ISNUMBER('Change in Employment'!M235),TEXT('Change in Employment'!M235, "0"), ""), "")</f>
        <v/>
      </c>
      <c r="D228" s="8" t="str">
        <f>IF(ISNUMBER('Change in Employment'!G235),'Change in Employment'!G235,"")</f>
        <v/>
      </c>
    </row>
    <row r="229" spans="1:4">
      <c r="A229" t="str">
        <f>TEXT(IF('Change in Employment'!B236&lt;&gt;0,DATE(YEAR('Change in Employment'!B236), MONTH('Change in Employment'!B236), 1), ""), "mm/dd/yyyy")</f>
        <v/>
      </c>
      <c r="B229" t="str">
        <f>IF(ISNUMBER('Change in Employment'!L236),'Change in Employment'!L236, "")</f>
        <v/>
      </c>
      <c r="C229" t="str">
        <f>IFERROR(IF(ISNUMBER('Change in Employment'!M236),TEXT('Change in Employment'!M236, "0"), ""), "")</f>
        <v/>
      </c>
      <c r="D229" s="8" t="str">
        <f>IF(ISNUMBER('Change in Employment'!G236),'Change in Employment'!G236,"")</f>
        <v/>
      </c>
    </row>
    <row r="230" spans="1:4">
      <c r="A230" t="str">
        <f>TEXT(IF('Change in Employment'!B237&lt;&gt;0,DATE(YEAR('Change in Employment'!B237), MONTH('Change in Employment'!B237), 1), ""), "mm/dd/yyyy")</f>
        <v/>
      </c>
      <c r="B230" t="str">
        <f>IF(ISNUMBER('Change in Employment'!L237),'Change in Employment'!L237, "")</f>
        <v/>
      </c>
      <c r="C230" t="str">
        <f>IFERROR(IF(ISNUMBER('Change in Employment'!M237),TEXT('Change in Employment'!M237, "0"), ""), "")</f>
        <v/>
      </c>
      <c r="D230" s="8" t="str">
        <f>IF(ISNUMBER('Change in Employment'!G237),'Change in Employment'!G237,"")</f>
        <v/>
      </c>
    </row>
    <row r="231" spans="1:4">
      <c r="A231" t="str">
        <f>TEXT(IF('Change in Employment'!B238&lt;&gt;0,DATE(YEAR('Change in Employment'!B238), MONTH('Change in Employment'!B238), 1), ""), "mm/dd/yyyy")</f>
        <v/>
      </c>
      <c r="B231" t="str">
        <f>IF(ISNUMBER('Change in Employment'!L238),'Change in Employment'!L238, "")</f>
        <v/>
      </c>
      <c r="C231" t="str">
        <f>IFERROR(IF(ISNUMBER('Change in Employment'!M238),TEXT('Change in Employment'!M238, "0"), ""), "")</f>
        <v/>
      </c>
      <c r="D231" s="8" t="str">
        <f>IF(ISNUMBER('Change in Employment'!G238),'Change in Employment'!G238,"")</f>
        <v/>
      </c>
    </row>
    <row r="232" spans="1:4">
      <c r="A232" t="str">
        <f>TEXT(IF('Change in Employment'!B239&lt;&gt;0,DATE(YEAR('Change in Employment'!B239), MONTH('Change in Employment'!B239), 1), ""), "mm/dd/yyyy")</f>
        <v/>
      </c>
      <c r="B232" t="str">
        <f>IF(ISNUMBER('Change in Employment'!L239),'Change in Employment'!L239, "")</f>
        <v/>
      </c>
      <c r="C232" t="str">
        <f>IFERROR(IF(ISNUMBER('Change in Employment'!M239),TEXT('Change in Employment'!M239, "0"), ""), "")</f>
        <v/>
      </c>
      <c r="D232" s="8" t="str">
        <f>IF(ISNUMBER('Change in Employment'!G239),'Change in Employment'!G239,"")</f>
        <v/>
      </c>
    </row>
    <row r="233" spans="1:4">
      <c r="A233" t="str">
        <f>TEXT(IF('Change in Employment'!B240&lt;&gt;0,DATE(YEAR('Change in Employment'!B240), MONTH('Change in Employment'!B240), 1), ""), "mm/dd/yyyy")</f>
        <v/>
      </c>
      <c r="B233" t="str">
        <f>IF(ISNUMBER('Change in Employment'!L240),'Change in Employment'!L240, "")</f>
        <v/>
      </c>
      <c r="C233" t="str">
        <f>IFERROR(IF(ISNUMBER('Change in Employment'!M240),TEXT('Change in Employment'!M240, "0"), ""), "")</f>
        <v/>
      </c>
      <c r="D233" s="8" t="str">
        <f>IF(ISNUMBER('Change in Employment'!G240),'Change in Employment'!G240,"")</f>
        <v/>
      </c>
    </row>
    <row r="234" spans="1:4">
      <c r="A234" t="str">
        <f>TEXT(IF('Change in Employment'!B241&lt;&gt;0,DATE(YEAR('Change in Employment'!B241), MONTH('Change in Employment'!B241), 1), ""), "mm/dd/yyyy")</f>
        <v/>
      </c>
      <c r="B234" t="str">
        <f>IF(ISNUMBER('Change in Employment'!L241),'Change in Employment'!L241, "")</f>
        <v/>
      </c>
      <c r="C234" t="str">
        <f>IFERROR(IF(ISNUMBER('Change in Employment'!M241),TEXT('Change in Employment'!M241, "0"), ""), "")</f>
        <v/>
      </c>
      <c r="D234" s="8" t="str">
        <f>IF(ISNUMBER('Change in Employment'!G241),'Change in Employment'!G241,"")</f>
        <v/>
      </c>
    </row>
    <row r="235" spans="1:4">
      <c r="A235" t="str">
        <f>TEXT(IF('Change in Employment'!B242&lt;&gt;0,DATE(YEAR('Change in Employment'!B242), MONTH('Change in Employment'!B242), 1), ""), "mm/dd/yyyy")</f>
        <v/>
      </c>
      <c r="B235" t="str">
        <f>IF(ISNUMBER('Change in Employment'!L242),'Change in Employment'!L242, "")</f>
        <v/>
      </c>
      <c r="C235" t="str">
        <f>IFERROR(IF(ISNUMBER('Change in Employment'!M242),TEXT('Change in Employment'!M242, "0"), ""), "")</f>
        <v/>
      </c>
      <c r="D235" s="8" t="str">
        <f>IF(ISNUMBER('Change in Employment'!G242),'Change in Employment'!G242,"")</f>
        <v/>
      </c>
    </row>
    <row r="236" spans="1:4">
      <c r="A236" t="str">
        <f>TEXT(IF('Change in Employment'!B243&lt;&gt;0,DATE(YEAR('Change in Employment'!B243), MONTH('Change in Employment'!B243), 1), ""), "mm/dd/yyyy")</f>
        <v/>
      </c>
      <c r="B236" t="str">
        <f>IF(ISNUMBER('Change in Employment'!L243),'Change in Employment'!L243, "")</f>
        <v/>
      </c>
      <c r="C236" t="str">
        <f>IFERROR(IF(ISNUMBER('Change in Employment'!M243),TEXT('Change in Employment'!M243, "0"), ""), "")</f>
        <v/>
      </c>
      <c r="D236" s="8" t="str">
        <f>IF(ISNUMBER('Change in Employment'!G243),'Change in Employment'!G243,"")</f>
        <v/>
      </c>
    </row>
    <row r="237" spans="1:4">
      <c r="A237" t="str">
        <f>TEXT(IF('Change in Employment'!B244&lt;&gt;0,DATE(YEAR('Change in Employment'!B244), MONTH('Change in Employment'!B244), 1), ""), "mm/dd/yyyy")</f>
        <v/>
      </c>
      <c r="B237" t="str">
        <f>IF(ISNUMBER('Change in Employment'!L244),'Change in Employment'!L244, "")</f>
        <v/>
      </c>
      <c r="C237" t="str">
        <f>IFERROR(IF(ISNUMBER('Change in Employment'!M244),TEXT('Change in Employment'!M244, "0"), ""), "")</f>
        <v/>
      </c>
      <c r="D237" s="8" t="str">
        <f>IF(ISNUMBER('Change in Employment'!G244),'Change in Employment'!G244,"")</f>
        <v/>
      </c>
    </row>
    <row r="238" spans="1:4">
      <c r="A238" t="str">
        <f>TEXT(IF('Change in Employment'!B245&lt;&gt;0,DATE(YEAR('Change in Employment'!B245), MONTH('Change in Employment'!B245), 1), ""), "mm/dd/yyyy")</f>
        <v/>
      </c>
      <c r="B238" t="str">
        <f>IF(ISNUMBER('Change in Employment'!L245),'Change in Employment'!L245, "")</f>
        <v/>
      </c>
      <c r="C238" t="str">
        <f>IFERROR(IF(ISNUMBER('Change in Employment'!M245),TEXT('Change in Employment'!M245, "0"), ""), "")</f>
        <v/>
      </c>
      <c r="D238" s="8" t="str">
        <f>IF(ISNUMBER('Change in Employment'!G245),'Change in Employment'!G245,"")</f>
        <v/>
      </c>
    </row>
    <row r="239" spans="1:4">
      <c r="A239" t="str">
        <f>TEXT(IF('Change in Employment'!B246&lt;&gt;0,DATE(YEAR('Change in Employment'!B246), MONTH('Change in Employment'!B246), 1), ""), "mm/dd/yyyy")</f>
        <v/>
      </c>
      <c r="B239" t="str">
        <f>IF(ISNUMBER('Change in Employment'!L246),'Change in Employment'!L246, "")</f>
        <v/>
      </c>
      <c r="C239" t="str">
        <f>IFERROR(IF(ISNUMBER('Change in Employment'!M246),TEXT('Change in Employment'!M246, "0"), ""), "")</f>
        <v/>
      </c>
      <c r="D239" s="8" t="str">
        <f>IF(ISNUMBER('Change in Employment'!G246),'Change in Employment'!G246,"")</f>
        <v/>
      </c>
    </row>
    <row r="240" spans="1:4">
      <c r="A240" t="str">
        <f>TEXT(IF('Change in Employment'!B247&lt;&gt;0,DATE(YEAR('Change in Employment'!B247), MONTH('Change in Employment'!B247), 1), ""), "mm/dd/yyyy")</f>
        <v/>
      </c>
      <c r="B240" t="str">
        <f>IF(ISNUMBER('Change in Employment'!L247),'Change in Employment'!L247, "")</f>
        <v/>
      </c>
      <c r="C240" t="str">
        <f>IFERROR(IF(ISNUMBER('Change in Employment'!M247),TEXT('Change in Employment'!M247, "0"), ""), "")</f>
        <v/>
      </c>
      <c r="D240" s="8" t="str">
        <f>IF(ISNUMBER('Change in Employment'!G247),'Change in Employment'!G247,"")</f>
        <v/>
      </c>
    </row>
    <row r="241" spans="1:4">
      <c r="A241" t="str">
        <f>TEXT(IF('Change in Employment'!B248&lt;&gt;0,DATE(YEAR('Change in Employment'!B248), MONTH('Change in Employment'!B248), 1), ""), "mm/dd/yyyy")</f>
        <v/>
      </c>
      <c r="B241" t="str">
        <f>IF(ISNUMBER('Change in Employment'!L248),'Change in Employment'!L248, "")</f>
        <v/>
      </c>
      <c r="C241" t="str">
        <f>IFERROR(IF(ISNUMBER('Change in Employment'!M248),TEXT('Change in Employment'!M248, "0"), ""), "")</f>
        <v/>
      </c>
      <c r="D241" s="8" t="str">
        <f>IF(ISNUMBER('Change in Employment'!G248),'Change in Employment'!G248,"")</f>
        <v/>
      </c>
    </row>
    <row r="242" spans="1:4">
      <c r="A242" t="str">
        <f>TEXT(IF('Change in Employment'!B249&lt;&gt;0,DATE(YEAR('Change in Employment'!B249), MONTH('Change in Employment'!B249), 1), ""), "mm/dd/yyyy")</f>
        <v/>
      </c>
      <c r="B242" t="str">
        <f>IF(ISNUMBER('Change in Employment'!L249),'Change in Employment'!L249, "")</f>
        <v/>
      </c>
      <c r="C242" t="str">
        <f>IFERROR(IF(ISNUMBER('Change in Employment'!M249),TEXT('Change in Employment'!M249, "0"), ""), "")</f>
        <v/>
      </c>
      <c r="D242" s="8" t="str">
        <f>IF(ISNUMBER('Change in Employment'!G249),'Change in Employment'!G249,"")</f>
        <v/>
      </c>
    </row>
    <row r="243" spans="1:4">
      <c r="A243" t="str">
        <f>TEXT(IF('Change in Employment'!B250&lt;&gt;0,DATE(YEAR('Change in Employment'!B250), MONTH('Change in Employment'!B250), 1), ""), "mm/dd/yyyy")</f>
        <v/>
      </c>
      <c r="B243" t="str">
        <f>IF(ISNUMBER('Change in Employment'!L250),'Change in Employment'!L250, "")</f>
        <v/>
      </c>
      <c r="C243" t="str">
        <f>IFERROR(IF(ISNUMBER('Change in Employment'!M250),TEXT('Change in Employment'!M250, "0"), ""), "")</f>
        <v/>
      </c>
      <c r="D243" s="8" t="str">
        <f>IF(ISNUMBER('Change in Employment'!G250),'Change in Employment'!G250,"")</f>
        <v/>
      </c>
    </row>
    <row r="244" spans="1:4">
      <c r="A244" t="str">
        <f>TEXT(IF('Change in Employment'!B251&lt;&gt;0,DATE(YEAR('Change in Employment'!B251), MONTH('Change in Employment'!B251), 1), ""), "mm/dd/yyyy")</f>
        <v/>
      </c>
      <c r="B244" t="str">
        <f>IF(ISNUMBER('Change in Employment'!L251),'Change in Employment'!L251, "")</f>
        <v/>
      </c>
      <c r="C244" t="str">
        <f>IFERROR(IF(ISNUMBER('Change in Employment'!M251),TEXT('Change in Employment'!M251, "0"), ""), "")</f>
        <v/>
      </c>
      <c r="D244" s="8" t="str">
        <f>IF(ISNUMBER('Change in Employment'!G251),'Change in Employment'!G251,"")</f>
        <v/>
      </c>
    </row>
    <row r="245" spans="1:4">
      <c r="A245" t="str">
        <f>TEXT(IF('Change in Employment'!B252&lt;&gt;0,DATE(YEAR('Change in Employment'!B252), MONTH('Change in Employment'!B252), 1), ""), "mm/dd/yyyy")</f>
        <v/>
      </c>
      <c r="B245" t="str">
        <f>IF(ISNUMBER('Change in Employment'!L252),'Change in Employment'!L252, "")</f>
        <v/>
      </c>
      <c r="C245" t="str">
        <f>IFERROR(IF(ISNUMBER('Change in Employment'!M252),TEXT('Change in Employment'!M252, "0"), ""), "")</f>
        <v/>
      </c>
      <c r="D245" s="8" t="str">
        <f>IF(ISNUMBER('Change in Employment'!G252),'Change in Employment'!G252,"")</f>
        <v/>
      </c>
    </row>
    <row r="246" spans="1:4">
      <c r="A246" t="str">
        <f>TEXT(IF('Change in Employment'!B253&lt;&gt;0,DATE(YEAR('Change in Employment'!B253), MONTH('Change in Employment'!B253), 1), ""), "mm/dd/yyyy")</f>
        <v/>
      </c>
      <c r="B246" t="str">
        <f>IF(ISNUMBER('Change in Employment'!L253),'Change in Employment'!L253, "")</f>
        <v/>
      </c>
      <c r="C246" t="str">
        <f>IFERROR(IF(ISNUMBER('Change in Employment'!M253),TEXT('Change in Employment'!M253, "0"), ""), "")</f>
        <v/>
      </c>
      <c r="D246" s="8" t="str">
        <f>IF(ISNUMBER('Change in Employment'!G253),'Change in Employment'!G253,"")</f>
        <v/>
      </c>
    </row>
    <row r="247" spans="1:4">
      <c r="A247" t="str">
        <f>TEXT(IF('Change in Employment'!B254&lt;&gt;0,DATE(YEAR('Change in Employment'!B254), MONTH('Change in Employment'!B254), 1), ""), "mm/dd/yyyy")</f>
        <v/>
      </c>
      <c r="B247" t="str">
        <f>IF(ISNUMBER('Change in Employment'!L254),'Change in Employment'!L254, "")</f>
        <v/>
      </c>
      <c r="C247" t="str">
        <f>IFERROR(IF(ISNUMBER('Change in Employment'!M254),TEXT('Change in Employment'!M254, "0"), ""), "")</f>
        <v/>
      </c>
      <c r="D247" s="8" t="str">
        <f>IF(ISNUMBER('Change in Employment'!G254),'Change in Employment'!G254,"")</f>
        <v/>
      </c>
    </row>
    <row r="248" spans="1:4">
      <c r="A248" t="str">
        <f>TEXT(IF('Change in Employment'!B255&lt;&gt;0,DATE(YEAR('Change in Employment'!B255), MONTH('Change in Employment'!B255), 1), ""), "mm/dd/yyyy")</f>
        <v/>
      </c>
      <c r="B248" t="str">
        <f>IF(ISNUMBER('Change in Employment'!L255),'Change in Employment'!L255, "")</f>
        <v/>
      </c>
      <c r="C248" t="str">
        <f>IFERROR(IF(ISNUMBER('Change in Employment'!M255),TEXT('Change in Employment'!M255, "0"), ""), "")</f>
        <v/>
      </c>
      <c r="D248" s="8" t="str">
        <f>IF(ISNUMBER('Change in Employment'!G255),'Change in Employment'!G255,"")</f>
        <v/>
      </c>
    </row>
    <row r="249" spans="1:4">
      <c r="A249" t="str">
        <f>TEXT(IF('Change in Employment'!B256&lt;&gt;0,DATE(YEAR('Change in Employment'!B256), MONTH('Change in Employment'!B256), 1), ""), "mm/dd/yyyy")</f>
        <v/>
      </c>
      <c r="B249" t="str">
        <f>IF(ISNUMBER('Change in Employment'!L256),'Change in Employment'!L256, "")</f>
        <v/>
      </c>
      <c r="C249" t="str">
        <f>IFERROR(IF(ISNUMBER('Change in Employment'!M256),TEXT('Change in Employment'!M256, "0"), ""), "")</f>
        <v/>
      </c>
      <c r="D249" s="8" t="str">
        <f>IF(ISNUMBER('Change in Employment'!G256),'Change in Employment'!G256,"")</f>
        <v/>
      </c>
    </row>
    <row r="250" spans="1:4">
      <c r="A250" t="str">
        <f>TEXT(IF('Change in Employment'!B257&lt;&gt;0,DATE(YEAR('Change in Employment'!B257), MONTH('Change in Employment'!B257), 1), ""), "mm/dd/yyyy")</f>
        <v/>
      </c>
      <c r="B250" t="str">
        <f>IF(ISNUMBER('Change in Employment'!L257),'Change in Employment'!L257, "")</f>
        <v/>
      </c>
      <c r="C250" t="str">
        <f>IFERROR(IF(ISNUMBER('Change in Employment'!M257),TEXT('Change in Employment'!M257, "0"), ""), "")</f>
        <v/>
      </c>
      <c r="D250" s="8" t="str">
        <f>IF(ISNUMBER('Change in Employment'!G257),'Change in Employment'!G257,"")</f>
        <v/>
      </c>
    </row>
    <row r="251" spans="1:4">
      <c r="A251" t="str">
        <f>TEXT(IF('Change in Employment'!B258&lt;&gt;0,DATE(YEAR('Change in Employment'!B258), MONTH('Change in Employment'!B258), 1), ""), "mm/dd/yyyy")</f>
        <v/>
      </c>
      <c r="B251" t="str">
        <f>IF(ISNUMBER('Change in Employment'!L258),'Change in Employment'!L258, "")</f>
        <v/>
      </c>
      <c r="C251" t="str">
        <f>IFERROR(IF(ISNUMBER('Change in Employment'!M258),TEXT('Change in Employment'!M258, "0"), ""), "")</f>
        <v/>
      </c>
      <c r="D251" s="8" t="str">
        <f>IF(ISNUMBER('Change in Employment'!G258),'Change in Employment'!G258,"")</f>
        <v/>
      </c>
    </row>
    <row r="252" spans="1:4">
      <c r="A252" t="str">
        <f>TEXT(IF('Change in Employment'!B259&lt;&gt;0,DATE(YEAR('Change in Employment'!B259), MONTH('Change in Employment'!B259), 1), ""), "mm/dd/yyyy")</f>
        <v/>
      </c>
      <c r="B252" t="str">
        <f>IF(ISNUMBER('Change in Employment'!L259),'Change in Employment'!L259, "")</f>
        <v/>
      </c>
      <c r="C252" t="str">
        <f>IFERROR(IF(ISNUMBER('Change in Employment'!M259),TEXT('Change in Employment'!M259, "0"), ""), "")</f>
        <v/>
      </c>
      <c r="D252" s="8" t="str">
        <f>IF(ISNUMBER('Change in Employment'!G259),'Change in Employment'!G259,"")</f>
        <v/>
      </c>
    </row>
    <row r="253" spans="1:4">
      <c r="A253" t="str">
        <f>TEXT(IF('Change in Employment'!B260&lt;&gt;0,DATE(YEAR('Change in Employment'!B260), MONTH('Change in Employment'!B260), 1), ""), "mm/dd/yyyy")</f>
        <v/>
      </c>
      <c r="B253" t="str">
        <f>IF(ISNUMBER('Change in Employment'!L260),'Change in Employment'!L260, "")</f>
        <v/>
      </c>
      <c r="C253" t="str">
        <f>IFERROR(IF(ISNUMBER('Change in Employment'!M260),TEXT('Change in Employment'!M260, "0"), ""), "")</f>
        <v/>
      </c>
      <c r="D253" s="8" t="str">
        <f>IF(ISNUMBER('Change in Employment'!G260),'Change in Employment'!G260,"")</f>
        <v/>
      </c>
    </row>
    <row r="254" spans="1:4">
      <c r="A254" t="str">
        <f>TEXT(IF('Change in Employment'!B261&lt;&gt;0,DATE(YEAR('Change in Employment'!B261), MONTH('Change in Employment'!B261), 1), ""), "mm/dd/yyyy")</f>
        <v/>
      </c>
      <c r="B254" t="str">
        <f>IF(ISNUMBER('Change in Employment'!L261),'Change in Employment'!L261, "")</f>
        <v/>
      </c>
      <c r="C254" t="str">
        <f>IFERROR(IF(ISNUMBER('Change in Employment'!M261),TEXT('Change in Employment'!M261, "0"), ""), "")</f>
        <v/>
      </c>
      <c r="D254" s="8" t="str">
        <f>IF(ISNUMBER('Change in Employment'!G261),'Change in Employment'!G261,"")</f>
        <v/>
      </c>
    </row>
    <row r="255" spans="1:4">
      <c r="A255" t="str">
        <f>TEXT(IF('Change in Employment'!B262&lt;&gt;0,DATE(YEAR('Change in Employment'!B262), MONTH('Change in Employment'!B262), 1), ""), "mm/dd/yyyy")</f>
        <v/>
      </c>
      <c r="B255" t="str">
        <f>IF(ISNUMBER('Change in Employment'!L262),'Change in Employment'!L262, "")</f>
        <v/>
      </c>
      <c r="C255" t="str">
        <f>IFERROR(IF(ISNUMBER('Change in Employment'!M262),TEXT('Change in Employment'!M262, "0"), ""), "")</f>
        <v/>
      </c>
      <c r="D255" s="8" t="str">
        <f>IF(ISNUMBER('Change in Employment'!G262),'Change in Employment'!G262,"")</f>
        <v/>
      </c>
    </row>
    <row r="256" spans="1:4">
      <c r="A256" t="str">
        <f>TEXT(IF('Change in Employment'!B263&lt;&gt;0,DATE(YEAR('Change in Employment'!B263), MONTH('Change in Employment'!B263), 1), ""), "mm/dd/yyyy")</f>
        <v/>
      </c>
      <c r="B256" t="str">
        <f>IF(ISNUMBER('Change in Employment'!L263),'Change in Employment'!L263, "")</f>
        <v/>
      </c>
      <c r="C256" t="str">
        <f>IFERROR(IF(ISNUMBER('Change in Employment'!M263),TEXT('Change in Employment'!M263, "0"), ""), "")</f>
        <v/>
      </c>
      <c r="D256" s="8" t="str">
        <f>IF(ISNUMBER('Change in Employment'!G263),'Change in Employment'!G263,"")</f>
        <v/>
      </c>
    </row>
    <row r="257" spans="1:4">
      <c r="A257" t="str">
        <f>TEXT(IF('Change in Employment'!B264&lt;&gt;0,DATE(YEAR('Change in Employment'!B264), MONTH('Change in Employment'!B264), 1), ""), "mm/dd/yyyy")</f>
        <v/>
      </c>
      <c r="B257" t="str">
        <f>IF(ISNUMBER('Change in Employment'!L264),'Change in Employment'!L264, "")</f>
        <v/>
      </c>
      <c r="C257" t="str">
        <f>IFERROR(IF(ISNUMBER('Change in Employment'!M264),TEXT('Change in Employment'!M264, "0"), ""), "")</f>
        <v/>
      </c>
      <c r="D257" s="8" t="str">
        <f>IF(ISNUMBER('Change in Employment'!G264),'Change in Employment'!G264,"")</f>
        <v/>
      </c>
    </row>
    <row r="258" spans="1:4">
      <c r="A258" t="str">
        <f>TEXT(IF('Change in Employment'!B265&lt;&gt;0,DATE(YEAR('Change in Employment'!B265), MONTH('Change in Employment'!B265), 1), ""), "mm/dd/yyyy")</f>
        <v/>
      </c>
      <c r="B258" t="str">
        <f>IF(ISNUMBER('Change in Employment'!L265),'Change in Employment'!L265, "")</f>
        <v/>
      </c>
      <c r="C258" t="str">
        <f>IFERROR(IF(ISNUMBER('Change in Employment'!M265),TEXT('Change in Employment'!M265, "0"), ""), "")</f>
        <v/>
      </c>
      <c r="D258" s="8" t="str">
        <f>IF(ISNUMBER('Change in Employment'!G265),'Change in Employment'!G265,"")</f>
        <v/>
      </c>
    </row>
    <row r="259" spans="1:4">
      <c r="A259" t="str">
        <f>TEXT(IF('Change in Employment'!B266&lt;&gt;0,DATE(YEAR('Change in Employment'!B266), MONTH('Change in Employment'!B266), 1), ""), "mm/dd/yyyy")</f>
        <v/>
      </c>
      <c r="B259" t="str">
        <f>IF(ISNUMBER('Change in Employment'!L266),'Change in Employment'!L266, "")</f>
        <v/>
      </c>
      <c r="C259" t="str">
        <f>IFERROR(IF(ISNUMBER('Change in Employment'!M266),TEXT('Change in Employment'!M266, "0"), ""), "")</f>
        <v/>
      </c>
      <c r="D259" s="8" t="str">
        <f>IF(ISNUMBER('Change in Employment'!G266),'Change in Employment'!G266,"")</f>
        <v/>
      </c>
    </row>
    <row r="260" spans="1:4">
      <c r="A260" t="str">
        <f>TEXT(IF('Change in Employment'!B267&lt;&gt;0,DATE(YEAR('Change in Employment'!B267), MONTH('Change in Employment'!B267), 1), ""), "mm/dd/yyyy")</f>
        <v/>
      </c>
      <c r="B260" t="str">
        <f>IF(ISNUMBER('Change in Employment'!L267),'Change in Employment'!L267, "")</f>
        <v/>
      </c>
      <c r="C260" t="str">
        <f>IFERROR(IF(ISNUMBER('Change in Employment'!M267),TEXT('Change in Employment'!M267, "0"), ""), "")</f>
        <v/>
      </c>
      <c r="D260" s="8" t="str">
        <f>IF(ISNUMBER('Change in Employment'!G267),'Change in Employment'!G267,"")</f>
        <v/>
      </c>
    </row>
    <row r="261" spans="1:4">
      <c r="A261" t="str">
        <f>TEXT(IF('Change in Employment'!B268&lt;&gt;0,DATE(YEAR('Change in Employment'!B268), MONTH('Change in Employment'!B268), 1), ""), "mm/dd/yyyy")</f>
        <v/>
      </c>
      <c r="B261" t="str">
        <f>IF(ISNUMBER('Change in Employment'!L268),'Change in Employment'!L268, "")</f>
        <v/>
      </c>
      <c r="C261" t="str">
        <f>IFERROR(IF(ISNUMBER('Change in Employment'!M268),TEXT('Change in Employment'!M268, "0"), ""), "")</f>
        <v/>
      </c>
      <c r="D261" s="8" t="str">
        <f>IF(ISNUMBER('Change in Employment'!G268),'Change in Employment'!G268,"")</f>
        <v/>
      </c>
    </row>
    <row r="262" spans="1:4">
      <c r="A262" t="str">
        <f>TEXT(IF('Change in Employment'!B269&lt;&gt;0,DATE(YEAR('Change in Employment'!B269), MONTH('Change in Employment'!B269), 1), ""), "mm/dd/yyyy")</f>
        <v/>
      </c>
      <c r="B262" t="str">
        <f>IF(ISNUMBER('Change in Employment'!L269),'Change in Employment'!L269, "")</f>
        <v/>
      </c>
      <c r="C262" t="str">
        <f>IFERROR(IF(ISNUMBER('Change in Employment'!M269),TEXT('Change in Employment'!M269, "0"), ""), "")</f>
        <v/>
      </c>
      <c r="D262" s="8" t="str">
        <f>IF(ISNUMBER('Change in Employment'!G269),'Change in Employment'!G269,"")</f>
        <v/>
      </c>
    </row>
    <row r="263" spans="1:4">
      <c r="A263" t="str">
        <f>TEXT(IF('Change in Employment'!B270&lt;&gt;0,DATE(YEAR('Change in Employment'!B270), MONTH('Change in Employment'!B270), 1), ""), "mm/dd/yyyy")</f>
        <v/>
      </c>
      <c r="B263" t="str">
        <f>IF(ISNUMBER('Change in Employment'!L270),'Change in Employment'!L270, "")</f>
        <v/>
      </c>
      <c r="C263" t="str">
        <f>IFERROR(IF(ISNUMBER('Change in Employment'!M270),TEXT('Change in Employment'!M270, "0"), ""), "")</f>
        <v/>
      </c>
      <c r="D263" s="8" t="str">
        <f>IF(ISNUMBER('Change in Employment'!G270),'Change in Employment'!G270,"")</f>
        <v/>
      </c>
    </row>
    <row r="264" spans="1:4">
      <c r="A264" t="str">
        <f>TEXT(IF('Change in Employment'!B271&lt;&gt;0,DATE(YEAR('Change in Employment'!B271), MONTH('Change in Employment'!B271), 1), ""), "mm/dd/yyyy")</f>
        <v/>
      </c>
      <c r="B264" t="str">
        <f>IF(ISNUMBER('Change in Employment'!L271),'Change in Employment'!L271, "")</f>
        <v/>
      </c>
      <c r="C264" t="str">
        <f>IFERROR(IF(ISNUMBER('Change in Employment'!M271),TEXT('Change in Employment'!M271, "0"), ""), "")</f>
        <v/>
      </c>
      <c r="D264" s="8" t="str">
        <f>IF(ISNUMBER('Change in Employment'!G271),'Change in Employment'!G271,"")</f>
        <v/>
      </c>
    </row>
    <row r="265" spans="1:4">
      <c r="A265" t="str">
        <f>TEXT(IF('Change in Employment'!B272&lt;&gt;0,DATE(YEAR('Change in Employment'!B272), MONTH('Change in Employment'!B272), 1), ""), "mm/dd/yyyy")</f>
        <v/>
      </c>
      <c r="B265" t="str">
        <f>IF(ISNUMBER('Change in Employment'!L272),'Change in Employment'!L272, "")</f>
        <v/>
      </c>
      <c r="C265" t="str">
        <f>IFERROR(IF(ISNUMBER('Change in Employment'!M272),TEXT('Change in Employment'!M272, "0"), ""), "")</f>
        <v/>
      </c>
      <c r="D265" s="8" t="str">
        <f>IF(ISNUMBER('Change in Employment'!G272),'Change in Employment'!G272,"")</f>
        <v/>
      </c>
    </row>
    <row r="266" spans="1:4">
      <c r="A266" t="str">
        <f>TEXT(IF('Change in Employment'!B273&lt;&gt;0,DATE(YEAR('Change in Employment'!B273), MONTH('Change in Employment'!B273), 1), ""), "mm/dd/yyyy")</f>
        <v/>
      </c>
      <c r="B266" t="str">
        <f>IF(ISNUMBER('Change in Employment'!L273),'Change in Employment'!L273, "")</f>
        <v/>
      </c>
      <c r="C266" t="str">
        <f>IFERROR(IF(ISNUMBER('Change in Employment'!M273),TEXT('Change in Employment'!M273, "0"), ""), "")</f>
        <v/>
      </c>
      <c r="D266" s="8" t="str">
        <f>IF(ISNUMBER('Change in Employment'!G273),'Change in Employment'!G273,"")</f>
        <v/>
      </c>
    </row>
    <row r="267" spans="1:4">
      <c r="A267" t="str">
        <f>TEXT(IF('Change in Employment'!B274&lt;&gt;0,DATE(YEAR('Change in Employment'!B274), MONTH('Change in Employment'!B274), 1), ""), "mm/dd/yyyy")</f>
        <v/>
      </c>
      <c r="B267" t="str">
        <f>IF(ISNUMBER('Change in Employment'!L274),'Change in Employment'!L274, "")</f>
        <v/>
      </c>
      <c r="C267" t="str">
        <f>IFERROR(IF(ISNUMBER('Change in Employment'!M274),TEXT('Change in Employment'!M274, "0"), ""), "")</f>
        <v/>
      </c>
      <c r="D267" s="8" t="str">
        <f>IF(ISNUMBER('Change in Employment'!G274),'Change in Employment'!G274,"")</f>
        <v/>
      </c>
    </row>
    <row r="268" spans="1:4">
      <c r="A268" t="str">
        <f>TEXT(IF('Change in Employment'!B275&lt;&gt;0,DATE(YEAR('Change in Employment'!B275), MONTH('Change in Employment'!B275), 1), ""), "mm/dd/yyyy")</f>
        <v/>
      </c>
      <c r="B268" t="str">
        <f>IF(ISNUMBER('Change in Employment'!L275),'Change in Employment'!L275, "")</f>
        <v/>
      </c>
      <c r="C268" t="str">
        <f>IFERROR(IF(ISNUMBER('Change in Employment'!M275),TEXT('Change in Employment'!M275, "0"), ""), "")</f>
        <v/>
      </c>
      <c r="D268" s="8" t="str">
        <f>IF(ISNUMBER('Change in Employment'!G275),'Change in Employment'!G275,"")</f>
        <v/>
      </c>
    </row>
    <row r="269" spans="1:4">
      <c r="A269" t="str">
        <f>TEXT(IF('Change in Employment'!B276&lt;&gt;0,DATE(YEAR('Change in Employment'!B276), MONTH('Change in Employment'!B276), 1), ""), "mm/dd/yyyy")</f>
        <v/>
      </c>
      <c r="B269" t="str">
        <f>IF(ISNUMBER('Change in Employment'!L276),'Change in Employment'!L276, "")</f>
        <v/>
      </c>
      <c r="C269" t="str">
        <f>IFERROR(IF(ISNUMBER('Change in Employment'!M276),TEXT('Change in Employment'!M276, "0"), ""), "")</f>
        <v/>
      </c>
      <c r="D269" s="8" t="str">
        <f>IF(ISNUMBER('Change in Employment'!G276),'Change in Employment'!G276,"")</f>
        <v/>
      </c>
    </row>
    <row r="270" spans="1:4">
      <c r="A270" t="str">
        <f>TEXT(IF('Change in Employment'!B277&lt;&gt;0,DATE(YEAR('Change in Employment'!B277), MONTH('Change in Employment'!B277), 1), ""), "mm/dd/yyyy")</f>
        <v/>
      </c>
      <c r="B270" t="str">
        <f>IF(ISNUMBER('Change in Employment'!L277),'Change in Employment'!L277, "")</f>
        <v/>
      </c>
      <c r="C270" t="str">
        <f>IFERROR(IF(ISNUMBER('Change in Employment'!M277),TEXT('Change in Employment'!M277, "0"), ""), "")</f>
        <v/>
      </c>
      <c r="D270" s="8" t="str">
        <f>IF(ISNUMBER('Change in Employment'!G277),'Change in Employment'!G277,"")</f>
        <v/>
      </c>
    </row>
    <row r="271" spans="1:4">
      <c r="A271" t="str">
        <f>TEXT(IF('Change in Employment'!B278&lt;&gt;0,DATE(YEAR('Change in Employment'!B278), MONTH('Change in Employment'!B278), 1), ""), "mm/dd/yyyy")</f>
        <v/>
      </c>
      <c r="B271" t="str">
        <f>IF(ISNUMBER('Change in Employment'!L278),'Change in Employment'!L278, "")</f>
        <v/>
      </c>
      <c r="C271" t="str">
        <f>IFERROR(IF(ISNUMBER('Change in Employment'!M278),TEXT('Change in Employment'!M278, "0"), ""), "")</f>
        <v/>
      </c>
      <c r="D271" s="8" t="str">
        <f>IF(ISNUMBER('Change in Employment'!G278),'Change in Employment'!G278,"")</f>
        <v/>
      </c>
    </row>
    <row r="272" spans="1:4">
      <c r="A272" t="str">
        <f>TEXT(IF('Change in Employment'!B279&lt;&gt;0,DATE(YEAR('Change in Employment'!B279), MONTH('Change in Employment'!B279), 1), ""), "mm/dd/yyyy")</f>
        <v/>
      </c>
      <c r="B272" t="str">
        <f>IF(ISNUMBER('Change in Employment'!L279),'Change in Employment'!L279, "")</f>
        <v/>
      </c>
      <c r="C272" t="str">
        <f>IFERROR(IF(ISNUMBER('Change in Employment'!M279),TEXT('Change in Employment'!M279, "0"), ""), "")</f>
        <v/>
      </c>
      <c r="D272" s="8" t="str">
        <f>IF(ISNUMBER('Change in Employment'!G279),'Change in Employment'!G279,"")</f>
        <v/>
      </c>
    </row>
    <row r="273" spans="1:4">
      <c r="A273" t="str">
        <f>TEXT(IF('Change in Employment'!B280&lt;&gt;0,DATE(YEAR('Change in Employment'!B280), MONTH('Change in Employment'!B280), 1), ""), "mm/dd/yyyy")</f>
        <v/>
      </c>
      <c r="B273" t="str">
        <f>IF(ISNUMBER('Change in Employment'!L280),'Change in Employment'!L280, "")</f>
        <v/>
      </c>
      <c r="C273" t="str">
        <f>IFERROR(IF(ISNUMBER('Change in Employment'!M280),TEXT('Change in Employment'!M280, "0"), ""), "")</f>
        <v/>
      </c>
      <c r="D273" s="8" t="str">
        <f>IF(ISNUMBER('Change in Employment'!G280),'Change in Employment'!G280,"")</f>
        <v/>
      </c>
    </row>
    <row r="274" spans="1:4">
      <c r="A274" t="str">
        <f>TEXT(IF('Change in Employment'!B281&lt;&gt;0,DATE(YEAR('Change in Employment'!B281), MONTH('Change in Employment'!B281), 1), ""), "mm/dd/yyyy")</f>
        <v/>
      </c>
      <c r="B274" t="str">
        <f>IF(ISNUMBER('Change in Employment'!L281),'Change in Employment'!L281, "")</f>
        <v/>
      </c>
      <c r="C274" t="str">
        <f>IFERROR(IF(ISNUMBER('Change in Employment'!M281),TEXT('Change in Employment'!M281, "0"), ""), "")</f>
        <v/>
      </c>
      <c r="D274" s="8" t="str">
        <f>IF(ISNUMBER('Change in Employment'!G281),'Change in Employment'!G281,"")</f>
        <v/>
      </c>
    </row>
    <row r="275" spans="1:4">
      <c r="A275" t="str">
        <f>TEXT(IF('Change in Employment'!B282&lt;&gt;0,DATE(YEAR('Change in Employment'!B282), MONTH('Change in Employment'!B282), 1), ""), "mm/dd/yyyy")</f>
        <v/>
      </c>
      <c r="B275" t="str">
        <f>IF(ISNUMBER('Change in Employment'!L282),'Change in Employment'!L282, "")</f>
        <v/>
      </c>
      <c r="C275" t="str">
        <f>IFERROR(IF(ISNUMBER('Change in Employment'!M282),TEXT('Change in Employment'!M282, "0"), ""), "")</f>
        <v/>
      </c>
      <c r="D275" s="8" t="str">
        <f>IF(ISNUMBER('Change in Employment'!G282),'Change in Employment'!G282,"")</f>
        <v/>
      </c>
    </row>
    <row r="276" spans="1:4">
      <c r="A276" t="str">
        <f>TEXT(IF('Change in Employment'!B283&lt;&gt;0,DATE(YEAR('Change in Employment'!B283), MONTH('Change in Employment'!B283), 1), ""), "mm/dd/yyyy")</f>
        <v/>
      </c>
      <c r="B276" t="str">
        <f>IF(ISNUMBER('Change in Employment'!L283),'Change in Employment'!L283, "")</f>
        <v/>
      </c>
      <c r="C276" t="str">
        <f>IFERROR(IF(ISNUMBER('Change in Employment'!M283),TEXT('Change in Employment'!M283, "0"), ""), "")</f>
        <v/>
      </c>
      <c r="D276" s="8" t="str">
        <f>IF(ISNUMBER('Change in Employment'!G283),'Change in Employment'!G283,"")</f>
        <v/>
      </c>
    </row>
    <row r="277" spans="1:4">
      <c r="A277" t="str">
        <f>TEXT(IF('Change in Employment'!B284&lt;&gt;0,DATE(YEAR('Change in Employment'!B284), MONTH('Change in Employment'!B284), 1), ""), "mm/dd/yyyy")</f>
        <v/>
      </c>
      <c r="B277" t="str">
        <f>IF(ISNUMBER('Change in Employment'!L284),'Change in Employment'!L284, "")</f>
        <v/>
      </c>
      <c r="C277" t="str">
        <f>IFERROR(IF(ISNUMBER('Change in Employment'!M284),TEXT('Change in Employment'!M284, "0"), ""), "")</f>
        <v/>
      </c>
      <c r="D277" s="8" t="str">
        <f>IF(ISNUMBER('Change in Employment'!G284),'Change in Employment'!G284,"")</f>
        <v/>
      </c>
    </row>
    <row r="278" spans="1:4">
      <c r="A278" t="str">
        <f>TEXT(IF('Change in Employment'!B285&lt;&gt;0,DATE(YEAR('Change in Employment'!B285), MONTH('Change in Employment'!B285), 1), ""), "mm/dd/yyyy")</f>
        <v/>
      </c>
      <c r="B278" t="str">
        <f>IF(ISNUMBER('Change in Employment'!L285),'Change in Employment'!L285, "")</f>
        <v/>
      </c>
      <c r="C278" t="str">
        <f>IFERROR(IF(ISNUMBER('Change in Employment'!M285),TEXT('Change in Employment'!M285, "0"), ""), "")</f>
        <v/>
      </c>
      <c r="D278" s="8" t="str">
        <f>IF(ISNUMBER('Change in Employment'!G285),'Change in Employment'!G285,"")</f>
        <v/>
      </c>
    </row>
    <row r="279" spans="1:4">
      <c r="A279" t="str">
        <f>TEXT(IF('Change in Employment'!B286&lt;&gt;0,DATE(YEAR('Change in Employment'!B286), MONTH('Change in Employment'!B286), 1), ""), "mm/dd/yyyy")</f>
        <v/>
      </c>
      <c r="B279" t="str">
        <f>IF(ISNUMBER('Change in Employment'!L286),'Change in Employment'!L286, "")</f>
        <v/>
      </c>
      <c r="C279" t="str">
        <f>IFERROR(IF(ISNUMBER('Change in Employment'!M286),TEXT('Change in Employment'!M286, "0"), ""), "")</f>
        <v/>
      </c>
      <c r="D279" s="8" t="str">
        <f>IF(ISNUMBER('Change in Employment'!G286),'Change in Employment'!G286,"")</f>
        <v/>
      </c>
    </row>
    <row r="280" spans="1:4">
      <c r="A280" t="str">
        <f>TEXT(IF('Change in Employment'!B287&lt;&gt;0,DATE(YEAR('Change in Employment'!B287), MONTH('Change in Employment'!B287), 1), ""), "mm/dd/yyyy")</f>
        <v/>
      </c>
      <c r="B280" t="str">
        <f>IF(ISNUMBER('Change in Employment'!L287),'Change in Employment'!L287, "")</f>
        <v/>
      </c>
      <c r="C280" t="str">
        <f>IFERROR(IF(ISNUMBER('Change in Employment'!M287),TEXT('Change in Employment'!M287, "0"), ""), "")</f>
        <v/>
      </c>
      <c r="D280" s="8" t="str">
        <f>IF(ISNUMBER('Change in Employment'!G287),'Change in Employment'!G287,"")</f>
        <v/>
      </c>
    </row>
    <row r="281" spans="1:4">
      <c r="A281" t="str">
        <f>TEXT(IF('Change in Employment'!B288&lt;&gt;0,DATE(YEAR('Change in Employment'!B288), MONTH('Change in Employment'!B288), 1), ""), "mm/dd/yyyy")</f>
        <v/>
      </c>
      <c r="B281" t="str">
        <f>IF(ISNUMBER('Change in Employment'!L288),'Change in Employment'!L288, "")</f>
        <v/>
      </c>
      <c r="C281" t="str">
        <f>IFERROR(IF(ISNUMBER('Change in Employment'!M288),TEXT('Change in Employment'!M288, "0"), ""), "")</f>
        <v/>
      </c>
      <c r="D281" s="8" t="str">
        <f>IF(ISNUMBER('Change in Employment'!G288),'Change in Employment'!G288,"")</f>
        <v/>
      </c>
    </row>
    <row r="282" spans="1:4">
      <c r="A282" t="str">
        <f>TEXT(IF('Change in Employment'!B289&lt;&gt;0,DATE(YEAR('Change in Employment'!B289), MONTH('Change in Employment'!B289), 1), ""), "mm/dd/yyyy")</f>
        <v/>
      </c>
      <c r="B282" t="str">
        <f>IF(ISNUMBER('Change in Employment'!L289),'Change in Employment'!L289, "")</f>
        <v/>
      </c>
      <c r="C282" t="str">
        <f>IFERROR(IF(ISNUMBER('Change in Employment'!M289),TEXT('Change in Employment'!M289, "0"), ""), "")</f>
        <v/>
      </c>
      <c r="D282" s="8" t="str">
        <f>IF(ISNUMBER('Change in Employment'!G289),'Change in Employment'!G289,"")</f>
        <v/>
      </c>
    </row>
    <row r="283" spans="1:4">
      <c r="A283" t="str">
        <f>TEXT(IF('Change in Employment'!B290&lt;&gt;0,DATE(YEAR('Change in Employment'!B290), MONTH('Change in Employment'!B290), 1), ""), "mm/dd/yyyy")</f>
        <v/>
      </c>
      <c r="B283" t="str">
        <f>IF(ISNUMBER('Change in Employment'!L290),'Change in Employment'!L290, "")</f>
        <v/>
      </c>
      <c r="C283" t="str">
        <f>IFERROR(IF(ISNUMBER('Change in Employment'!M290),TEXT('Change in Employment'!M290, "0"), ""), "")</f>
        <v/>
      </c>
      <c r="D283" s="8" t="str">
        <f>IF(ISNUMBER('Change in Employment'!G290),'Change in Employment'!G290,"")</f>
        <v/>
      </c>
    </row>
    <row r="284" spans="1:4">
      <c r="A284" t="str">
        <f>TEXT(IF('Change in Employment'!B291&lt;&gt;0,DATE(YEAR('Change in Employment'!B291), MONTH('Change in Employment'!B291), 1), ""), "mm/dd/yyyy")</f>
        <v/>
      </c>
      <c r="B284" t="str">
        <f>IF(ISNUMBER('Change in Employment'!L291),'Change in Employment'!L291, "")</f>
        <v/>
      </c>
      <c r="C284" t="str">
        <f>IFERROR(IF(ISNUMBER('Change in Employment'!M291),TEXT('Change in Employment'!M291, "0"), ""), "")</f>
        <v/>
      </c>
      <c r="D284" s="8" t="str">
        <f>IF(ISNUMBER('Change in Employment'!G291),'Change in Employment'!G291,"")</f>
        <v/>
      </c>
    </row>
    <row r="285" spans="1:4">
      <c r="A285" t="str">
        <f>TEXT(IF('Change in Employment'!B292&lt;&gt;0,DATE(YEAR('Change in Employment'!B292), MONTH('Change in Employment'!B292), 1), ""), "mm/dd/yyyy")</f>
        <v/>
      </c>
      <c r="B285" t="str">
        <f>IF(ISNUMBER('Change in Employment'!L292),'Change in Employment'!L292, "")</f>
        <v/>
      </c>
      <c r="C285" t="str">
        <f>IFERROR(IF(ISNUMBER('Change in Employment'!M292),TEXT('Change in Employment'!M292, "0"), ""), "")</f>
        <v/>
      </c>
      <c r="D285" s="8" t="str">
        <f>IF(ISNUMBER('Change in Employment'!G292),'Change in Employment'!G292,"")</f>
        <v/>
      </c>
    </row>
    <row r="286" spans="1:4">
      <c r="A286" t="str">
        <f>TEXT(IF('Change in Employment'!B293&lt;&gt;0,DATE(YEAR('Change in Employment'!B293), MONTH('Change in Employment'!B293), 1), ""), "mm/dd/yyyy")</f>
        <v/>
      </c>
      <c r="B286" t="str">
        <f>IF(ISNUMBER('Change in Employment'!L293),'Change in Employment'!L293, "")</f>
        <v/>
      </c>
      <c r="C286" t="str">
        <f>IFERROR(IF(ISNUMBER('Change in Employment'!M293),TEXT('Change in Employment'!M293, "0"), ""), "")</f>
        <v/>
      </c>
      <c r="D286" s="8" t="str">
        <f>IF(ISNUMBER('Change in Employment'!G293),'Change in Employment'!G293,"")</f>
        <v/>
      </c>
    </row>
    <row r="287" spans="1:4">
      <c r="A287" t="str">
        <f>TEXT(IF('Change in Employment'!B294&lt;&gt;0,DATE(YEAR('Change in Employment'!B294), MONTH('Change in Employment'!B294), 1), ""), "mm/dd/yyyy")</f>
        <v/>
      </c>
      <c r="B287" t="str">
        <f>IF(ISNUMBER('Change in Employment'!L294),'Change in Employment'!L294, "")</f>
        <v/>
      </c>
      <c r="C287" t="str">
        <f>IFERROR(IF(ISNUMBER('Change in Employment'!M294),TEXT('Change in Employment'!M294, "0"), ""), "")</f>
        <v/>
      </c>
      <c r="D287" s="8" t="str">
        <f>IF(ISNUMBER('Change in Employment'!G294),'Change in Employment'!G294,"")</f>
        <v/>
      </c>
    </row>
    <row r="288" spans="1:4">
      <c r="A288" t="str">
        <f>TEXT(IF('Change in Employment'!B295&lt;&gt;0,DATE(YEAR('Change in Employment'!B295), MONTH('Change in Employment'!B295), 1), ""), "mm/dd/yyyy")</f>
        <v/>
      </c>
      <c r="B288" t="str">
        <f>IF(ISNUMBER('Change in Employment'!L295),'Change in Employment'!L295, "")</f>
        <v/>
      </c>
      <c r="C288" t="str">
        <f>IFERROR(IF(ISNUMBER('Change in Employment'!M295),TEXT('Change in Employment'!M295, "0"), ""), "")</f>
        <v/>
      </c>
      <c r="D288" s="8" t="str">
        <f>IF(ISNUMBER('Change in Employment'!G295),'Change in Employment'!G295,"")</f>
        <v/>
      </c>
    </row>
    <row r="289" spans="1:4">
      <c r="A289" t="str">
        <f>TEXT(IF('Change in Employment'!B296&lt;&gt;0,DATE(YEAR('Change in Employment'!B296), MONTH('Change in Employment'!B296), 1), ""), "mm/dd/yyyy")</f>
        <v/>
      </c>
      <c r="B289" t="str">
        <f>IF(ISNUMBER('Change in Employment'!L296),'Change in Employment'!L296, "")</f>
        <v/>
      </c>
      <c r="C289" t="str">
        <f>IFERROR(IF(ISNUMBER('Change in Employment'!M296),TEXT('Change in Employment'!M296, "0"), ""), "")</f>
        <v/>
      </c>
      <c r="D289" s="8" t="str">
        <f>IF(ISNUMBER('Change in Employment'!G296),'Change in Employment'!G296,"")</f>
        <v/>
      </c>
    </row>
    <row r="290" spans="1:4">
      <c r="A290" t="str">
        <f>TEXT(IF('Change in Employment'!B297&lt;&gt;0,DATE(YEAR('Change in Employment'!B297), MONTH('Change in Employment'!B297), 1), ""), "mm/dd/yyyy")</f>
        <v/>
      </c>
      <c r="B290" t="str">
        <f>IF(ISNUMBER('Change in Employment'!L297),'Change in Employment'!L297, "")</f>
        <v/>
      </c>
      <c r="C290" t="str">
        <f>IFERROR(IF(ISNUMBER('Change in Employment'!M297),TEXT('Change in Employment'!M297, "0"), ""), "")</f>
        <v/>
      </c>
      <c r="D290" s="8" t="str">
        <f>IF(ISNUMBER('Change in Employment'!G297),'Change in Employment'!G297,"")</f>
        <v/>
      </c>
    </row>
    <row r="291" spans="1:4">
      <c r="A291" t="str">
        <f>TEXT(IF('Change in Employment'!B298&lt;&gt;0,DATE(YEAR('Change in Employment'!B298), MONTH('Change in Employment'!B298), 1), ""), "mm/dd/yyyy")</f>
        <v/>
      </c>
      <c r="B291" t="str">
        <f>IF(ISNUMBER('Change in Employment'!L298),'Change in Employment'!L298, "")</f>
        <v/>
      </c>
      <c r="C291" t="str">
        <f>IFERROR(IF(ISNUMBER('Change in Employment'!M298),TEXT('Change in Employment'!M298, "0"), ""), "")</f>
        <v/>
      </c>
      <c r="D291" s="8" t="str">
        <f>IF(ISNUMBER('Change in Employment'!G298),'Change in Employment'!G298,"")</f>
        <v/>
      </c>
    </row>
    <row r="292" spans="1:4">
      <c r="A292" t="str">
        <f>TEXT(IF('Change in Employment'!B299&lt;&gt;0,DATE(YEAR('Change in Employment'!B299), MONTH('Change in Employment'!B299), 1), ""), "mm/dd/yyyy")</f>
        <v/>
      </c>
      <c r="B292" t="str">
        <f>IF(ISNUMBER('Change in Employment'!L299),'Change in Employment'!L299, "")</f>
        <v/>
      </c>
      <c r="C292" t="str">
        <f>IFERROR(IF(ISNUMBER('Change in Employment'!M299),TEXT('Change in Employment'!M299, "0"), ""), "")</f>
        <v/>
      </c>
      <c r="D292" s="8" t="str">
        <f>IF(ISNUMBER('Change in Employment'!G299),'Change in Employment'!G299,"")</f>
        <v/>
      </c>
    </row>
    <row r="293" spans="1:4">
      <c r="A293" t="str">
        <f>TEXT(IF('Change in Employment'!B300&lt;&gt;0,DATE(YEAR('Change in Employment'!B300), MONTH('Change in Employment'!B300), 1), ""), "mm/dd/yyyy")</f>
        <v/>
      </c>
      <c r="B293" t="str">
        <f>IF(ISNUMBER('Change in Employment'!L300),'Change in Employment'!L300, "")</f>
        <v/>
      </c>
      <c r="C293" t="str">
        <f>IFERROR(IF(ISNUMBER('Change in Employment'!M300),TEXT('Change in Employment'!M300, "0"), ""), "")</f>
        <v/>
      </c>
      <c r="D293" s="8" t="str">
        <f>IF(ISNUMBER('Change in Employment'!G300),'Change in Employment'!G300,"")</f>
        <v/>
      </c>
    </row>
    <row r="294" spans="1:4">
      <c r="A294" t="str">
        <f>TEXT(IF('Change in Employment'!B301&lt;&gt;0,DATE(YEAR('Change in Employment'!B301), MONTH('Change in Employment'!B301), 1), ""), "mm/dd/yyyy")</f>
        <v/>
      </c>
      <c r="B294" t="str">
        <f>IF(ISNUMBER('Change in Employment'!L301),'Change in Employment'!L301, "")</f>
        <v/>
      </c>
      <c r="C294" t="str">
        <f>IFERROR(IF(ISNUMBER('Change in Employment'!M301),TEXT('Change in Employment'!M301, "0"), ""), "")</f>
        <v/>
      </c>
      <c r="D294" s="8" t="str">
        <f>IF(ISNUMBER('Change in Employment'!G301),'Change in Employment'!G301,"")</f>
        <v/>
      </c>
    </row>
    <row r="295" spans="1:4">
      <c r="A295" t="str">
        <f>TEXT(IF('Change in Employment'!B302&lt;&gt;0,DATE(YEAR('Change in Employment'!B302), MONTH('Change in Employment'!B302), 1), ""), "mm/dd/yyyy")</f>
        <v/>
      </c>
      <c r="B295" t="str">
        <f>IF(ISNUMBER('Change in Employment'!L302),'Change in Employment'!L302, "")</f>
        <v/>
      </c>
      <c r="C295" t="str">
        <f>IFERROR(IF(ISNUMBER('Change in Employment'!M302),TEXT('Change in Employment'!M302, "0"), ""), "")</f>
        <v/>
      </c>
      <c r="D295" s="8" t="str">
        <f>IF(ISNUMBER('Change in Employment'!G302),'Change in Employment'!G302,"")</f>
        <v/>
      </c>
    </row>
    <row r="296" spans="1:4">
      <c r="A296" t="str">
        <f>TEXT(IF('Change in Employment'!B303&lt;&gt;0,DATE(YEAR('Change in Employment'!B303), MONTH('Change in Employment'!B303), 1), ""), "mm/dd/yyyy")</f>
        <v/>
      </c>
      <c r="B296" t="str">
        <f>IF(ISNUMBER('Change in Employment'!L303),'Change in Employment'!L303, "")</f>
        <v/>
      </c>
      <c r="C296" t="str">
        <f>IFERROR(IF(ISNUMBER('Change in Employment'!M303),TEXT('Change in Employment'!M303, "0"), ""), "")</f>
        <v/>
      </c>
      <c r="D296" s="8" t="str">
        <f>IF(ISNUMBER('Change in Employment'!G303),'Change in Employment'!G303,"")</f>
        <v/>
      </c>
    </row>
    <row r="297" spans="1:4">
      <c r="A297" t="str">
        <f>TEXT(IF('Change in Employment'!B304&lt;&gt;0,DATE(YEAR('Change in Employment'!B304), MONTH('Change in Employment'!B304), 1), ""), "mm/dd/yyyy")</f>
        <v/>
      </c>
      <c r="B297" t="str">
        <f>IF(ISNUMBER('Change in Employment'!L304),'Change in Employment'!L304, "")</f>
        <v/>
      </c>
      <c r="C297" t="str">
        <f>IFERROR(IF(ISNUMBER('Change in Employment'!M304),TEXT('Change in Employment'!M304, "0"), ""), "")</f>
        <v/>
      </c>
      <c r="D297" s="8" t="str">
        <f>IF(ISNUMBER('Change in Employment'!G304),'Change in Employment'!G304,"")</f>
        <v/>
      </c>
    </row>
    <row r="298" spans="1:4">
      <c r="A298" t="str">
        <f>TEXT(IF('Change in Employment'!B305&lt;&gt;0,DATE(YEAR('Change in Employment'!B305), MONTH('Change in Employment'!B305), 1), ""), "mm/dd/yyyy")</f>
        <v/>
      </c>
      <c r="B298" t="str">
        <f>IF(ISNUMBER('Change in Employment'!L305),'Change in Employment'!L305, "")</f>
        <v/>
      </c>
      <c r="C298" t="str">
        <f>IFERROR(IF(ISNUMBER('Change in Employment'!M305),TEXT('Change in Employment'!M305, "0"), ""), "")</f>
        <v/>
      </c>
      <c r="D298" s="8" t="str">
        <f>IF(ISNUMBER('Change in Employment'!G305),'Change in Employment'!G305,"")</f>
        <v/>
      </c>
    </row>
    <row r="299" spans="1:4">
      <c r="A299" t="str">
        <f>TEXT(IF('Change in Employment'!B306&lt;&gt;0,DATE(YEAR('Change in Employment'!B306), MONTH('Change in Employment'!B306), 1), ""), "mm/dd/yyyy")</f>
        <v/>
      </c>
      <c r="B299" t="str">
        <f>IF(ISNUMBER('Change in Employment'!L306),'Change in Employment'!L306, "")</f>
        <v/>
      </c>
      <c r="C299" t="str">
        <f>IFERROR(IF(ISNUMBER('Change in Employment'!M306),TEXT('Change in Employment'!M306, "0"), ""), "")</f>
        <v/>
      </c>
      <c r="D299" s="8" t="str">
        <f>IF(ISNUMBER('Change in Employment'!G306),'Change in Employment'!G306,"")</f>
        <v/>
      </c>
    </row>
    <row r="300" spans="1:4">
      <c r="A300" t="str">
        <f>TEXT(IF('Change in Employment'!B307&lt;&gt;0,DATE(YEAR('Change in Employment'!B307), MONTH('Change in Employment'!B307), 1), ""), "mm/dd/yyyy")</f>
        <v/>
      </c>
      <c r="B300" t="str">
        <f>IF(ISNUMBER('Change in Employment'!L307),'Change in Employment'!L307, "")</f>
        <v/>
      </c>
      <c r="C300" t="str">
        <f>IFERROR(IF(ISNUMBER('Change in Employment'!M307),TEXT('Change in Employment'!M307, "0"), ""), "")</f>
        <v/>
      </c>
      <c r="D300" s="8" t="str">
        <f>IF(ISNUMBER('Change in Employment'!G307),'Change in Employment'!G307,"")</f>
        <v/>
      </c>
    </row>
    <row r="301" spans="1:4">
      <c r="A301" t="str">
        <f>TEXT(IF('Change in Employment'!B308&lt;&gt;0,DATE(YEAR('Change in Employment'!B308), MONTH('Change in Employment'!B308), 1), ""), "mm/dd/yyyy")</f>
        <v/>
      </c>
      <c r="B301" t="str">
        <f>IF(ISNUMBER('Change in Employment'!L308),'Change in Employment'!L308, "")</f>
        <v/>
      </c>
      <c r="C301" t="str">
        <f>IFERROR(IF(ISNUMBER('Change in Employment'!M308),TEXT('Change in Employment'!M308, "0"), ""), "")</f>
        <v/>
      </c>
      <c r="D301" s="8" t="str">
        <f>IF(ISNUMBER('Change in Employment'!G308),'Change in Employment'!G308,"")</f>
        <v/>
      </c>
    </row>
    <row r="302" spans="1:4">
      <c r="A302" t="str">
        <f>TEXT(IF('Change in Employment'!B309&lt;&gt;0,DATE(YEAR('Change in Employment'!B309), MONTH('Change in Employment'!B309), 1), ""), "mm/dd/yyyy")</f>
        <v/>
      </c>
      <c r="B302" t="str">
        <f>IF(ISNUMBER('Change in Employment'!L309),'Change in Employment'!L309, "")</f>
        <v/>
      </c>
      <c r="C302" t="str">
        <f>IFERROR(IF(ISNUMBER('Change in Employment'!M309),TEXT('Change in Employment'!M309, "0"), ""), "")</f>
        <v/>
      </c>
      <c r="D302" s="8" t="str">
        <f>IF(ISNUMBER('Change in Employment'!G309),'Change in Employment'!G309,"")</f>
        <v/>
      </c>
    </row>
    <row r="303" spans="1:4">
      <c r="A303" t="str">
        <f>TEXT(IF('Change in Employment'!B310&lt;&gt;0,DATE(YEAR('Change in Employment'!B310), MONTH('Change in Employment'!B310), 1), ""), "mm/dd/yyyy")</f>
        <v/>
      </c>
      <c r="B303" t="str">
        <f>IF(ISNUMBER('Change in Employment'!L310),'Change in Employment'!L310, "")</f>
        <v/>
      </c>
      <c r="C303" t="str">
        <f>IFERROR(IF(ISNUMBER('Change in Employment'!M310),TEXT('Change in Employment'!M310, "0"), ""), "")</f>
        <v/>
      </c>
      <c r="D303" s="8" t="str">
        <f>IF(ISNUMBER('Change in Employment'!G310),'Change in Employment'!G310,"")</f>
        <v/>
      </c>
    </row>
    <row r="304" spans="1:4">
      <c r="A304" t="str">
        <f>TEXT(IF('Change in Employment'!B311&lt;&gt;0,DATE(YEAR('Change in Employment'!B311), MONTH('Change in Employment'!B311), 1), ""), "mm/dd/yyyy")</f>
        <v/>
      </c>
      <c r="B304" t="str">
        <f>IF(ISNUMBER('Change in Employment'!L311),'Change in Employment'!L311, "")</f>
        <v/>
      </c>
      <c r="C304" t="str">
        <f>IFERROR(IF(ISNUMBER('Change in Employment'!M311),TEXT('Change in Employment'!M311, "0"), ""), "")</f>
        <v/>
      </c>
      <c r="D304" s="8" t="str">
        <f>IF(ISNUMBER('Change in Employment'!G311),'Change in Employment'!G311,"")</f>
        <v/>
      </c>
    </row>
    <row r="305" spans="1:4">
      <c r="A305" t="str">
        <f>TEXT(IF('Change in Employment'!B312&lt;&gt;0,DATE(YEAR('Change in Employment'!B312), MONTH('Change in Employment'!B312), 1), ""), "mm/dd/yyyy")</f>
        <v/>
      </c>
      <c r="B305" t="str">
        <f>IF(ISNUMBER('Change in Employment'!L312),'Change in Employment'!L312, "")</f>
        <v/>
      </c>
      <c r="C305" t="str">
        <f>IFERROR(IF(ISNUMBER('Change in Employment'!M312),TEXT('Change in Employment'!M312, "0"), ""), "")</f>
        <v/>
      </c>
      <c r="D305" s="8" t="str">
        <f>IF(ISNUMBER('Change in Employment'!G312),'Change in Employment'!G312,"")</f>
        <v/>
      </c>
    </row>
    <row r="306" spans="1:4">
      <c r="A306" t="str">
        <f>TEXT(IF('Change in Employment'!B313&lt;&gt;0,DATE(YEAR('Change in Employment'!B313), MONTH('Change in Employment'!B313), 1), ""), "mm/dd/yyyy")</f>
        <v/>
      </c>
      <c r="B306" t="str">
        <f>IF(ISNUMBER('Change in Employment'!L313),'Change in Employment'!L313, "")</f>
        <v/>
      </c>
      <c r="C306" t="str">
        <f>IFERROR(IF(ISNUMBER('Change in Employment'!M313),TEXT('Change in Employment'!M313, "0"), ""), "")</f>
        <v/>
      </c>
      <c r="D306" s="8" t="str">
        <f>IF(ISNUMBER('Change in Employment'!G313),'Change in Employment'!G313,"")</f>
        <v/>
      </c>
    </row>
    <row r="307" spans="1:4">
      <c r="A307" t="str">
        <f>TEXT(IF('Change in Employment'!B314&lt;&gt;0,DATE(YEAR('Change in Employment'!B314), MONTH('Change in Employment'!B314), 1), ""), "mm/dd/yyyy")</f>
        <v/>
      </c>
      <c r="B307" t="str">
        <f>IF(ISNUMBER('Change in Employment'!L314),'Change in Employment'!L314, "")</f>
        <v/>
      </c>
      <c r="C307" t="str">
        <f>IFERROR(IF(ISNUMBER('Change in Employment'!M314),TEXT('Change in Employment'!M314, "0"), ""), "")</f>
        <v/>
      </c>
      <c r="D307" s="8" t="str">
        <f>IF(ISNUMBER('Change in Employment'!G314),'Change in Employment'!G314,"")</f>
        <v/>
      </c>
    </row>
    <row r="308" spans="1:4">
      <c r="A308" t="str">
        <f>TEXT(IF('Change in Employment'!B315&lt;&gt;0,DATE(YEAR('Change in Employment'!B315), MONTH('Change in Employment'!B315), 1), ""), "mm/dd/yyyy")</f>
        <v/>
      </c>
      <c r="B308" t="str">
        <f>IF(ISNUMBER('Change in Employment'!L315),'Change in Employment'!L315, "")</f>
        <v/>
      </c>
      <c r="C308" t="str">
        <f>IFERROR(IF(ISNUMBER('Change in Employment'!M315),TEXT('Change in Employment'!M315, "0"), ""), "")</f>
        <v/>
      </c>
      <c r="D308" s="8" t="str">
        <f>IF(ISNUMBER('Change in Employment'!G315),'Change in Employment'!G315,"")</f>
        <v/>
      </c>
    </row>
    <row r="309" spans="1:4">
      <c r="A309" t="str">
        <f>TEXT(IF('Change in Employment'!B316&lt;&gt;0,DATE(YEAR('Change in Employment'!B316), MONTH('Change in Employment'!B316), 1), ""), "mm/dd/yyyy")</f>
        <v/>
      </c>
      <c r="B309" t="str">
        <f>IF(ISNUMBER('Change in Employment'!L316),'Change in Employment'!L316, "")</f>
        <v/>
      </c>
      <c r="C309" t="str">
        <f>IFERROR(IF(ISNUMBER('Change in Employment'!M316),TEXT('Change in Employment'!M316, "0"), ""), "")</f>
        <v/>
      </c>
      <c r="D309" s="8" t="str">
        <f>IF(ISNUMBER('Change in Employment'!G316),'Change in Employment'!G316,"")</f>
        <v/>
      </c>
    </row>
    <row r="310" spans="1:4">
      <c r="A310" t="str">
        <f>TEXT(IF('Change in Employment'!B317&lt;&gt;0,DATE(YEAR('Change in Employment'!B317), MONTH('Change in Employment'!B317), 1), ""), "mm/dd/yyyy")</f>
        <v/>
      </c>
      <c r="B310" t="str">
        <f>IF(ISNUMBER('Change in Employment'!L317),'Change in Employment'!L317, "")</f>
        <v/>
      </c>
      <c r="C310" t="str">
        <f>IFERROR(IF(ISNUMBER('Change in Employment'!M317),TEXT('Change in Employment'!M317, "0"), ""), "")</f>
        <v/>
      </c>
      <c r="D310" s="8" t="str">
        <f>IF(ISNUMBER('Change in Employment'!G317),'Change in Employment'!G317,"")</f>
        <v/>
      </c>
    </row>
    <row r="311" spans="1:4">
      <c r="A311" t="str">
        <f>TEXT(IF('Change in Employment'!B318&lt;&gt;0,DATE(YEAR('Change in Employment'!B318), MONTH('Change in Employment'!B318), 1), ""), "mm/dd/yyyy")</f>
        <v/>
      </c>
      <c r="B311" t="str">
        <f>IF(ISNUMBER('Change in Employment'!L318),'Change in Employment'!L318, "")</f>
        <v/>
      </c>
      <c r="C311" t="str">
        <f>IFERROR(IF(ISNUMBER('Change in Employment'!M318),TEXT('Change in Employment'!M318, "0"), ""), "")</f>
        <v/>
      </c>
      <c r="D311" s="8" t="str">
        <f>IF(ISNUMBER('Change in Employment'!G318),'Change in Employment'!G318,"")</f>
        <v/>
      </c>
    </row>
    <row r="312" spans="1:4">
      <c r="A312" t="str">
        <f>TEXT(IF('Change in Employment'!B319&lt;&gt;0,DATE(YEAR('Change in Employment'!B319), MONTH('Change in Employment'!B319), 1), ""), "mm/dd/yyyy")</f>
        <v/>
      </c>
      <c r="B312" t="str">
        <f>IF(ISNUMBER('Change in Employment'!L319),'Change in Employment'!L319, "")</f>
        <v/>
      </c>
      <c r="C312" t="str">
        <f>IFERROR(IF(ISNUMBER('Change in Employment'!M319),TEXT('Change in Employment'!M319, "0"), ""), "")</f>
        <v/>
      </c>
      <c r="D312" s="8" t="str">
        <f>IF(ISNUMBER('Change in Employment'!G319),'Change in Employment'!G319,"")</f>
        <v/>
      </c>
    </row>
    <row r="313" spans="1:4">
      <c r="A313" t="str">
        <f>TEXT(IF('Change in Employment'!B320&lt;&gt;0,DATE(YEAR('Change in Employment'!B320), MONTH('Change in Employment'!B320), 1), ""), "mm/dd/yyyy")</f>
        <v/>
      </c>
      <c r="B313" t="str">
        <f>IF(ISNUMBER('Change in Employment'!L320),'Change in Employment'!L320, "")</f>
        <v/>
      </c>
      <c r="C313" t="str">
        <f>IFERROR(IF(ISNUMBER('Change in Employment'!M320),TEXT('Change in Employment'!M320, "0"), ""), "")</f>
        <v/>
      </c>
      <c r="D313" s="8" t="str">
        <f>IF(ISNUMBER('Change in Employment'!G320),'Change in Employment'!G320,"")</f>
        <v/>
      </c>
    </row>
    <row r="314" spans="1:4">
      <c r="A314" t="str">
        <f>TEXT(IF('Change in Employment'!B321&lt;&gt;0,DATE(YEAR('Change in Employment'!B321), MONTH('Change in Employment'!B321), 1), ""), "mm/dd/yyyy")</f>
        <v/>
      </c>
      <c r="B314" t="str">
        <f>IF(ISNUMBER('Change in Employment'!L321),'Change in Employment'!L321, "")</f>
        <v/>
      </c>
      <c r="C314" t="str">
        <f>IFERROR(IF(ISNUMBER('Change in Employment'!M321),TEXT('Change in Employment'!M321, "0"), ""), "")</f>
        <v/>
      </c>
      <c r="D314" s="8" t="str">
        <f>IF(ISNUMBER('Change in Employment'!G321),'Change in Employment'!G321,"")</f>
        <v/>
      </c>
    </row>
    <row r="315" spans="1:4">
      <c r="A315" t="str">
        <f>TEXT(IF('Change in Employment'!B322&lt;&gt;0,DATE(YEAR('Change in Employment'!B322), MONTH('Change in Employment'!B322), 1), ""), "mm/dd/yyyy")</f>
        <v/>
      </c>
      <c r="B315" t="str">
        <f>IF(ISNUMBER('Change in Employment'!L322),'Change in Employment'!L322, "")</f>
        <v/>
      </c>
      <c r="C315" t="str">
        <f>IFERROR(IF(ISNUMBER('Change in Employment'!M322),TEXT('Change in Employment'!M322, "0"), ""), "")</f>
        <v/>
      </c>
      <c r="D315" s="8" t="str">
        <f>IF(ISNUMBER('Change in Employment'!G322),'Change in Employment'!G322,"")</f>
        <v/>
      </c>
    </row>
    <row r="316" spans="1:4">
      <c r="A316" t="str">
        <f>TEXT(IF('Change in Employment'!B323&lt;&gt;0,DATE(YEAR('Change in Employment'!B323), MONTH('Change in Employment'!B323), 1), ""), "mm/dd/yyyy")</f>
        <v/>
      </c>
      <c r="B316" t="str">
        <f>IF(ISNUMBER('Change in Employment'!L323),'Change in Employment'!L323, "")</f>
        <v/>
      </c>
      <c r="C316" t="str">
        <f>IFERROR(IF(ISNUMBER('Change in Employment'!M323),TEXT('Change in Employment'!M323, "0"), ""), "")</f>
        <v/>
      </c>
      <c r="D316" s="8" t="str">
        <f>IF(ISNUMBER('Change in Employment'!G323),'Change in Employment'!G323,"")</f>
        <v/>
      </c>
    </row>
    <row r="317" spans="1:4">
      <c r="A317" t="str">
        <f>TEXT(IF('Change in Employment'!B324&lt;&gt;0,DATE(YEAR('Change in Employment'!B324), MONTH('Change in Employment'!B324), 1), ""), "mm/dd/yyyy")</f>
        <v/>
      </c>
      <c r="B317" t="str">
        <f>IF(ISNUMBER('Change in Employment'!L324),'Change in Employment'!L324, "")</f>
        <v/>
      </c>
      <c r="C317" t="str">
        <f>IFERROR(IF(ISNUMBER('Change in Employment'!M324),TEXT('Change in Employment'!M324, "0"), ""), "")</f>
        <v/>
      </c>
      <c r="D317" s="8" t="str">
        <f>IF(ISNUMBER('Change in Employment'!G324),'Change in Employment'!G324,"")</f>
        <v/>
      </c>
    </row>
    <row r="318" spans="1:4">
      <c r="A318" t="str">
        <f>TEXT(IF('Change in Employment'!B325&lt;&gt;0,DATE(YEAR('Change in Employment'!B325), MONTH('Change in Employment'!B325), 1), ""), "mm/dd/yyyy")</f>
        <v/>
      </c>
      <c r="B318" t="str">
        <f>IF(ISNUMBER('Change in Employment'!L325),'Change in Employment'!L325, "")</f>
        <v/>
      </c>
      <c r="C318" t="str">
        <f>IFERROR(IF(ISNUMBER('Change in Employment'!M325),TEXT('Change in Employment'!M325, "0"), ""), "")</f>
        <v/>
      </c>
      <c r="D318" s="8" t="str">
        <f>IF(ISNUMBER('Change in Employment'!G325),'Change in Employment'!G325,"")</f>
        <v/>
      </c>
    </row>
    <row r="319" spans="1:4">
      <c r="A319" t="str">
        <f>TEXT(IF('Change in Employment'!B326&lt;&gt;0,DATE(YEAR('Change in Employment'!B326), MONTH('Change in Employment'!B326), 1), ""), "mm/dd/yyyy")</f>
        <v/>
      </c>
      <c r="B319" t="str">
        <f>IF(ISNUMBER('Change in Employment'!L326),'Change in Employment'!L326, "")</f>
        <v/>
      </c>
      <c r="C319" t="str">
        <f>IFERROR(IF(ISNUMBER('Change in Employment'!M326),TEXT('Change in Employment'!M326, "0"), ""), "")</f>
        <v/>
      </c>
      <c r="D319" s="8" t="str">
        <f>IF(ISNUMBER('Change in Employment'!G326),'Change in Employment'!G326,"")</f>
        <v/>
      </c>
    </row>
    <row r="320" spans="1:4">
      <c r="A320" t="str">
        <f>TEXT(IF('Change in Employment'!B327&lt;&gt;0,DATE(YEAR('Change in Employment'!B327), MONTH('Change in Employment'!B327), 1), ""), "mm/dd/yyyy")</f>
        <v/>
      </c>
      <c r="B320" t="str">
        <f>IF(ISNUMBER('Change in Employment'!L327),'Change in Employment'!L327, "")</f>
        <v/>
      </c>
      <c r="C320" t="str">
        <f>IFERROR(IF(ISNUMBER('Change in Employment'!M327),TEXT('Change in Employment'!M327, "0"), ""), "")</f>
        <v/>
      </c>
      <c r="D320" s="8" t="str">
        <f>IF(ISNUMBER('Change in Employment'!G327),'Change in Employment'!G327,"")</f>
        <v/>
      </c>
    </row>
    <row r="321" spans="1:4">
      <c r="A321" t="str">
        <f>TEXT(IF('Change in Employment'!B328&lt;&gt;0,DATE(YEAR('Change in Employment'!B328), MONTH('Change in Employment'!B328), 1), ""), "mm/dd/yyyy")</f>
        <v/>
      </c>
      <c r="B321" t="str">
        <f>IF(ISNUMBER('Change in Employment'!L328),'Change in Employment'!L328, "")</f>
        <v/>
      </c>
      <c r="C321" t="str">
        <f>IFERROR(IF(ISNUMBER('Change in Employment'!M328),TEXT('Change in Employment'!M328, "0"), ""), "")</f>
        <v/>
      </c>
      <c r="D321" s="8" t="str">
        <f>IF(ISNUMBER('Change in Employment'!G328),'Change in Employment'!G328,"")</f>
        <v/>
      </c>
    </row>
    <row r="322" spans="1:4">
      <c r="A322" t="str">
        <f>TEXT(IF('Change in Employment'!B329&lt;&gt;0,DATE(YEAR('Change in Employment'!B329), MONTH('Change in Employment'!B329), 1), ""), "mm/dd/yyyy")</f>
        <v/>
      </c>
      <c r="B322" t="str">
        <f>IF(ISNUMBER('Change in Employment'!L329),'Change in Employment'!L329, "")</f>
        <v/>
      </c>
      <c r="C322" t="str">
        <f>IFERROR(IF(ISNUMBER('Change in Employment'!M329),TEXT('Change in Employment'!M329, "0"), ""), "")</f>
        <v/>
      </c>
      <c r="D322" s="8" t="str">
        <f>IF(ISNUMBER('Change in Employment'!G329),'Change in Employment'!G329,"")</f>
        <v/>
      </c>
    </row>
    <row r="323" spans="1:4">
      <c r="A323" t="str">
        <f>TEXT(IF('Change in Employment'!B330&lt;&gt;0,DATE(YEAR('Change in Employment'!B330), MONTH('Change in Employment'!B330), 1), ""), "mm/dd/yyyy")</f>
        <v/>
      </c>
      <c r="B323" t="str">
        <f>IF(ISNUMBER('Change in Employment'!L330),'Change in Employment'!L330, "")</f>
        <v/>
      </c>
      <c r="C323" t="str">
        <f>IFERROR(IF(ISNUMBER('Change in Employment'!M330),TEXT('Change in Employment'!M330, "0"), ""), "")</f>
        <v/>
      </c>
      <c r="D323" s="8" t="str">
        <f>IF(ISNUMBER('Change in Employment'!G330),'Change in Employment'!G330,"")</f>
        <v/>
      </c>
    </row>
    <row r="324" spans="1:4">
      <c r="A324" t="str">
        <f>TEXT(IF('Change in Employment'!B331&lt;&gt;0,DATE(YEAR('Change in Employment'!B331), MONTH('Change in Employment'!B331), 1), ""), "mm/dd/yyyy")</f>
        <v/>
      </c>
      <c r="B324" t="str">
        <f>IF(ISNUMBER('Change in Employment'!L331),'Change in Employment'!L331, "")</f>
        <v/>
      </c>
      <c r="C324" t="str">
        <f>IFERROR(IF(ISNUMBER('Change in Employment'!M331),TEXT('Change in Employment'!M331, "0"), ""), "")</f>
        <v/>
      </c>
      <c r="D324" s="8" t="str">
        <f>IF(ISNUMBER('Change in Employment'!G331),'Change in Employment'!G331,"")</f>
        <v/>
      </c>
    </row>
    <row r="325" spans="1:4">
      <c r="A325" t="str">
        <f>TEXT(IF('Change in Employment'!B332&lt;&gt;0,DATE(YEAR('Change in Employment'!B332), MONTH('Change in Employment'!B332), 1), ""), "mm/dd/yyyy")</f>
        <v/>
      </c>
      <c r="B325" t="str">
        <f>IF(ISNUMBER('Change in Employment'!L332),'Change in Employment'!L332, "")</f>
        <v/>
      </c>
      <c r="C325" t="str">
        <f>IFERROR(IF(ISNUMBER('Change in Employment'!M332),TEXT('Change in Employment'!M332, "0"), ""), "")</f>
        <v/>
      </c>
      <c r="D325" s="8" t="str">
        <f>IF(ISNUMBER('Change in Employment'!G332),'Change in Employment'!G332,"")</f>
        <v/>
      </c>
    </row>
    <row r="326" spans="1:4">
      <c r="A326" t="str">
        <f>TEXT(IF('Change in Employment'!B333&lt;&gt;0,DATE(YEAR('Change in Employment'!B333), MONTH('Change in Employment'!B333), 1), ""), "mm/dd/yyyy")</f>
        <v/>
      </c>
      <c r="B326" t="str">
        <f>IF(ISNUMBER('Change in Employment'!L333),'Change in Employment'!L333, "")</f>
        <v/>
      </c>
      <c r="C326" t="str">
        <f>IFERROR(IF(ISNUMBER('Change in Employment'!M333),TEXT('Change in Employment'!M333, "0"), ""), "")</f>
        <v/>
      </c>
      <c r="D326" s="8" t="str">
        <f>IF(ISNUMBER('Change in Employment'!G333),'Change in Employment'!G333,"")</f>
        <v/>
      </c>
    </row>
    <row r="327" spans="1:4">
      <c r="A327" t="str">
        <f>TEXT(IF('Change in Employment'!B334&lt;&gt;0,DATE(YEAR('Change in Employment'!B334), MONTH('Change in Employment'!B334), 1), ""), "mm/dd/yyyy")</f>
        <v/>
      </c>
      <c r="B327" t="str">
        <f>IF(ISNUMBER('Change in Employment'!L334),'Change in Employment'!L334, "")</f>
        <v/>
      </c>
      <c r="C327" t="str">
        <f>IFERROR(IF(ISNUMBER('Change in Employment'!M334),TEXT('Change in Employment'!M334, "0"), ""), "")</f>
        <v/>
      </c>
      <c r="D327" s="8" t="str">
        <f>IF(ISNUMBER('Change in Employment'!G334),'Change in Employment'!G334,"")</f>
        <v/>
      </c>
    </row>
    <row r="328" spans="1:4">
      <c r="A328" t="str">
        <f>TEXT(IF('Change in Employment'!B335&lt;&gt;0,DATE(YEAR('Change in Employment'!B335), MONTH('Change in Employment'!B335), 1), ""), "mm/dd/yyyy")</f>
        <v/>
      </c>
      <c r="B328" t="str">
        <f>IF(ISNUMBER('Change in Employment'!L335),'Change in Employment'!L335, "")</f>
        <v/>
      </c>
      <c r="C328" t="str">
        <f>IFERROR(IF(ISNUMBER('Change in Employment'!M335),TEXT('Change in Employment'!M335, "0"), ""), "")</f>
        <v/>
      </c>
      <c r="D328" s="8" t="str">
        <f>IF(ISNUMBER('Change in Employment'!G335),'Change in Employment'!G335,"")</f>
        <v/>
      </c>
    </row>
    <row r="329" spans="1:4">
      <c r="A329" t="str">
        <f>TEXT(IF('Change in Employment'!B336&lt;&gt;0,DATE(YEAR('Change in Employment'!B336), MONTH('Change in Employment'!B336), 1), ""), "mm/dd/yyyy")</f>
        <v/>
      </c>
      <c r="B329" t="str">
        <f>IF(ISNUMBER('Change in Employment'!L336),'Change in Employment'!L336, "")</f>
        <v/>
      </c>
      <c r="C329" t="str">
        <f>IFERROR(IF(ISNUMBER('Change in Employment'!M336),TEXT('Change in Employment'!M336, "0"), ""), "")</f>
        <v/>
      </c>
      <c r="D329" s="8" t="str">
        <f>IF(ISNUMBER('Change in Employment'!G336),'Change in Employment'!G336,"")</f>
        <v/>
      </c>
    </row>
    <row r="330" spans="1:4">
      <c r="A330" t="str">
        <f>TEXT(IF('Change in Employment'!B337&lt;&gt;0,DATE(YEAR('Change in Employment'!B337), MONTH('Change in Employment'!B337), 1), ""), "mm/dd/yyyy")</f>
        <v/>
      </c>
      <c r="B330" t="str">
        <f>IF(ISNUMBER('Change in Employment'!L337),'Change in Employment'!L337, "")</f>
        <v/>
      </c>
      <c r="C330" t="str">
        <f>IFERROR(IF(ISNUMBER('Change in Employment'!M337),TEXT('Change in Employment'!M337, "0"), ""), "")</f>
        <v/>
      </c>
      <c r="D330" s="8" t="str">
        <f>IF(ISNUMBER('Change in Employment'!G337),'Change in Employment'!G337,"")</f>
        <v/>
      </c>
    </row>
    <row r="331" spans="1:4">
      <c r="A331" t="str">
        <f>TEXT(IF('Change in Employment'!B338&lt;&gt;0,DATE(YEAR('Change in Employment'!B338), MONTH('Change in Employment'!B338), 1), ""), "mm/dd/yyyy")</f>
        <v/>
      </c>
      <c r="B331" t="str">
        <f>IF(ISNUMBER('Change in Employment'!L338),'Change in Employment'!L338, "")</f>
        <v/>
      </c>
      <c r="C331" t="str">
        <f>IFERROR(IF(ISNUMBER('Change in Employment'!M338),TEXT('Change in Employment'!M338, "0"), ""), "")</f>
        <v/>
      </c>
      <c r="D331" s="8" t="str">
        <f>IF(ISNUMBER('Change in Employment'!G338),'Change in Employment'!G338,"")</f>
        <v/>
      </c>
    </row>
    <row r="332" spans="1:4">
      <c r="A332" t="str">
        <f>TEXT(IF('Change in Employment'!B339&lt;&gt;0,DATE(YEAR('Change in Employment'!B339), MONTH('Change in Employment'!B339), 1), ""), "mm/dd/yyyy")</f>
        <v/>
      </c>
      <c r="B332" t="str">
        <f>IF(ISNUMBER('Change in Employment'!L339),'Change in Employment'!L339, "")</f>
        <v/>
      </c>
      <c r="C332" t="str">
        <f>IFERROR(IF(ISNUMBER('Change in Employment'!M339),TEXT('Change in Employment'!M339, "0"), ""), "")</f>
        <v/>
      </c>
      <c r="D332" s="8" t="str">
        <f>IF(ISNUMBER('Change in Employment'!G339),'Change in Employment'!G339,"")</f>
        <v/>
      </c>
    </row>
    <row r="333" spans="1:4">
      <c r="A333" t="str">
        <f>TEXT(IF('Change in Employment'!B340&lt;&gt;0,DATE(YEAR('Change in Employment'!B340), MONTH('Change in Employment'!B340), 1), ""), "mm/dd/yyyy")</f>
        <v/>
      </c>
      <c r="B333" t="str">
        <f>IF(ISNUMBER('Change in Employment'!L340),'Change in Employment'!L340, "")</f>
        <v/>
      </c>
      <c r="C333" t="str">
        <f>IFERROR(IF(ISNUMBER('Change in Employment'!M340),TEXT('Change in Employment'!M340, "0"), ""), "")</f>
        <v/>
      </c>
      <c r="D333" s="8" t="str">
        <f>IF(ISNUMBER('Change in Employment'!G340),'Change in Employment'!G340,"")</f>
        <v/>
      </c>
    </row>
    <row r="334" spans="1:4">
      <c r="A334" t="str">
        <f>TEXT(IF('Change in Employment'!B341&lt;&gt;0,DATE(YEAR('Change in Employment'!B341), MONTH('Change in Employment'!B341), 1), ""), "mm/dd/yyyy")</f>
        <v/>
      </c>
      <c r="B334" t="str">
        <f>IF(ISNUMBER('Change in Employment'!L341),'Change in Employment'!L341, "")</f>
        <v/>
      </c>
      <c r="C334" t="str">
        <f>IFERROR(IF(ISNUMBER('Change in Employment'!M341),TEXT('Change in Employment'!M341, "0"), ""), "")</f>
        <v/>
      </c>
      <c r="D334" s="8" t="str">
        <f>IF(ISNUMBER('Change in Employment'!G341),'Change in Employment'!G341,"")</f>
        <v/>
      </c>
    </row>
    <row r="335" spans="1:4">
      <c r="A335" t="str">
        <f>TEXT(IF('Change in Employment'!B342&lt;&gt;0,DATE(YEAR('Change in Employment'!B342), MONTH('Change in Employment'!B342), 1), ""), "mm/dd/yyyy")</f>
        <v/>
      </c>
      <c r="B335" t="str">
        <f>IF(ISNUMBER('Change in Employment'!L342),'Change in Employment'!L342, "")</f>
        <v/>
      </c>
      <c r="C335" t="str">
        <f>IFERROR(IF(ISNUMBER('Change in Employment'!M342),TEXT('Change in Employment'!M342, "0"), ""), "")</f>
        <v/>
      </c>
      <c r="D335" s="8" t="str">
        <f>IF(ISNUMBER('Change in Employment'!G342),'Change in Employment'!G342,"")</f>
        <v/>
      </c>
    </row>
    <row r="336" spans="1:4">
      <c r="A336" t="str">
        <f>TEXT(IF('Change in Employment'!B343&lt;&gt;0,DATE(YEAR('Change in Employment'!B343), MONTH('Change in Employment'!B343), 1), ""), "mm/dd/yyyy")</f>
        <v/>
      </c>
      <c r="B336" t="str">
        <f>IF(ISNUMBER('Change in Employment'!L343),'Change in Employment'!L343, "")</f>
        <v/>
      </c>
      <c r="C336" t="str">
        <f>IFERROR(IF(ISNUMBER('Change in Employment'!M343),TEXT('Change in Employment'!M343, "0"), ""), "")</f>
        <v/>
      </c>
      <c r="D336" s="8" t="str">
        <f>IF(ISNUMBER('Change in Employment'!G343),'Change in Employment'!G343,"")</f>
        <v/>
      </c>
    </row>
    <row r="337" spans="1:4">
      <c r="A337" t="str">
        <f>TEXT(IF('Change in Employment'!B344&lt;&gt;0,DATE(YEAR('Change in Employment'!B344), MONTH('Change in Employment'!B344), 1), ""), "mm/dd/yyyy")</f>
        <v/>
      </c>
      <c r="B337" t="str">
        <f>IF(ISNUMBER('Change in Employment'!L344),'Change in Employment'!L344, "")</f>
        <v/>
      </c>
      <c r="C337" t="str">
        <f>IFERROR(IF(ISNUMBER('Change in Employment'!M344),TEXT('Change in Employment'!M344, "0"), ""), "")</f>
        <v/>
      </c>
      <c r="D337" s="8" t="str">
        <f>IF(ISNUMBER('Change in Employment'!G344),'Change in Employment'!G344,"")</f>
        <v/>
      </c>
    </row>
    <row r="338" spans="1:4">
      <c r="A338" t="str">
        <f>TEXT(IF('Change in Employment'!B345&lt;&gt;0,DATE(YEAR('Change in Employment'!B345), MONTH('Change in Employment'!B345), 1), ""), "mm/dd/yyyy")</f>
        <v/>
      </c>
      <c r="B338" t="str">
        <f>IF(ISNUMBER('Change in Employment'!L345),'Change in Employment'!L345, "")</f>
        <v/>
      </c>
      <c r="C338" t="str">
        <f>IFERROR(IF(ISNUMBER('Change in Employment'!M345),TEXT('Change in Employment'!M345, "0"), ""), "")</f>
        <v/>
      </c>
      <c r="D338" s="8" t="str">
        <f>IF(ISNUMBER('Change in Employment'!G345),'Change in Employment'!G345,"")</f>
        <v/>
      </c>
    </row>
    <row r="339" spans="1:4">
      <c r="A339" t="str">
        <f>TEXT(IF('Change in Employment'!B346&lt;&gt;0,DATE(YEAR('Change in Employment'!B346), MONTH('Change in Employment'!B346), 1), ""), "mm/dd/yyyy")</f>
        <v/>
      </c>
      <c r="B339" t="str">
        <f>IF(ISNUMBER('Change in Employment'!L346),'Change in Employment'!L346, "")</f>
        <v/>
      </c>
      <c r="C339" t="str">
        <f>IFERROR(IF(ISNUMBER('Change in Employment'!M346),TEXT('Change in Employment'!M346, "0"), ""), "")</f>
        <v/>
      </c>
      <c r="D339" s="8" t="str">
        <f>IF(ISNUMBER('Change in Employment'!G346),'Change in Employment'!G346,"")</f>
        <v/>
      </c>
    </row>
    <row r="340" spans="1:4">
      <c r="A340" t="str">
        <f>TEXT(IF('Change in Employment'!B347&lt;&gt;0,DATE(YEAR('Change in Employment'!B347), MONTH('Change in Employment'!B347), 1), ""), "mm/dd/yyyy")</f>
        <v/>
      </c>
      <c r="B340" t="str">
        <f>IF(ISNUMBER('Change in Employment'!L347),'Change in Employment'!L347, "")</f>
        <v/>
      </c>
      <c r="C340" t="str">
        <f>IFERROR(IF(ISNUMBER('Change in Employment'!M347),TEXT('Change in Employment'!M347, "0"), ""), "")</f>
        <v/>
      </c>
      <c r="D340" s="8" t="str">
        <f>IF(ISNUMBER('Change in Employment'!G347),'Change in Employment'!G347,"")</f>
        <v/>
      </c>
    </row>
    <row r="341" spans="1:4">
      <c r="A341" t="str">
        <f>TEXT(IF('Change in Employment'!B348&lt;&gt;0,DATE(YEAR('Change in Employment'!B348), MONTH('Change in Employment'!B348), 1), ""), "mm/dd/yyyy")</f>
        <v/>
      </c>
      <c r="B341" t="str">
        <f>IF(ISNUMBER('Change in Employment'!L348),'Change in Employment'!L348, "")</f>
        <v/>
      </c>
      <c r="C341" t="str">
        <f>IFERROR(IF(ISNUMBER('Change in Employment'!M348),TEXT('Change in Employment'!M348, "0"), ""), "")</f>
        <v/>
      </c>
      <c r="D341" s="8" t="str">
        <f>IF(ISNUMBER('Change in Employment'!G348),'Change in Employment'!G348,"")</f>
        <v/>
      </c>
    </row>
    <row r="342" spans="1:4">
      <c r="A342" t="str">
        <f>TEXT(IF('Change in Employment'!B349&lt;&gt;0,DATE(YEAR('Change in Employment'!B349), MONTH('Change in Employment'!B349), 1), ""), "mm/dd/yyyy")</f>
        <v/>
      </c>
      <c r="B342" t="str">
        <f>IF(ISNUMBER('Change in Employment'!L349),'Change in Employment'!L349, "")</f>
        <v/>
      </c>
      <c r="C342" t="str">
        <f>IFERROR(IF(ISNUMBER('Change in Employment'!M349),TEXT('Change in Employment'!M349, "0"), ""), "")</f>
        <v/>
      </c>
      <c r="D342" s="8" t="str">
        <f>IF(ISNUMBER('Change in Employment'!G349),'Change in Employment'!G349,"")</f>
        <v/>
      </c>
    </row>
    <row r="343" spans="1:4">
      <c r="A343" t="str">
        <f>TEXT(IF('Change in Employment'!B350&lt;&gt;0,DATE(YEAR('Change in Employment'!B350), MONTH('Change in Employment'!B350), 1), ""), "mm/dd/yyyy")</f>
        <v/>
      </c>
      <c r="B343" t="str">
        <f>IF(ISNUMBER('Change in Employment'!L350),'Change in Employment'!L350, "")</f>
        <v/>
      </c>
      <c r="C343" t="str">
        <f>IFERROR(IF(ISNUMBER('Change in Employment'!M350),TEXT('Change in Employment'!M350, "0"), ""), "")</f>
        <v/>
      </c>
      <c r="D343" s="8" t="str">
        <f>IF(ISNUMBER('Change in Employment'!G350),'Change in Employment'!G350,"")</f>
        <v/>
      </c>
    </row>
    <row r="344" spans="1:4">
      <c r="A344" t="str">
        <f>TEXT(IF('Change in Employment'!B351&lt;&gt;0,DATE(YEAR('Change in Employment'!B351), MONTH('Change in Employment'!B351), 1), ""), "mm/dd/yyyy")</f>
        <v/>
      </c>
      <c r="B344" t="str">
        <f>IF(ISNUMBER('Change in Employment'!L351),'Change in Employment'!L351, "")</f>
        <v/>
      </c>
      <c r="C344" t="str">
        <f>IFERROR(IF(ISNUMBER('Change in Employment'!M351),TEXT('Change in Employment'!M351, "0"), ""), "")</f>
        <v/>
      </c>
      <c r="D344" s="8" t="str">
        <f>IF(ISNUMBER('Change in Employment'!G351),'Change in Employment'!G351,"")</f>
        <v/>
      </c>
    </row>
    <row r="345" spans="1:4">
      <c r="A345" t="str">
        <f>TEXT(IF('Change in Employment'!B352&lt;&gt;0,DATE(YEAR('Change in Employment'!B352), MONTH('Change in Employment'!B352), 1), ""), "mm/dd/yyyy")</f>
        <v/>
      </c>
      <c r="B345" t="str">
        <f>IF(ISNUMBER('Change in Employment'!L352),'Change in Employment'!L352, "")</f>
        <v/>
      </c>
      <c r="C345" t="str">
        <f>IFERROR(IF(ISNUMBER('Change in Employment'!M352),TEXT('Change in Employment'!M352, "0"), ""), "")</f>
        <v/>
      </c>
      <c r="D345" s="8" t="str">
        <f>IF(ISNUMBER('Change in Employment'!G352),'Change in Employment'!G352,"")</f>
        <v/>
      </c>
    </row>
    <row r="346" spans="1:4">
      <c r="A346" t="str">
        <f>TEXT(IF('Change in Employment'!B353&lt;&gt;0,DATE(YEAR('Change in Employment'!B353), MONTH('Change in Employment'!B353), 1), ""), "mm/dd/yyyy")</f>
        <v/>
      </c>
      <c r="B346" t="str">
        <f>IF(ISNUMBER('Change in Employment'!L353),'Change in Employment'!L353, "")</f>
        <v/>
      </c>
      <c r="C346" t="str">
        <f>IFERROR(IF(ISNUMBER('Change in Employment'!M353),TEXT('Change in Employment'!M353, "0"), ""), "")</f>
        <v/>
      </c>
      <c r="D346" s="8" t="str">
        <f>IF(ISNUMBER('Change in Employment'!G353),'Change in Employment'!G353,"")</f>
        <v/>
      </c>
    </row>
    <row r="347" spans="1:4">
      <c r="A347" t="str">
        <f>TEXT(IF('Change in Employment'!B354&lt;&gt;0,DATE(YEAR('Change in Employment'!B354), MONTH('Change in Employment'!B354), 1), ""), "mm/dd/yyyy")</f>
        <v/>
      </c>
      <c r="B347" t="str">
        <f>IF(ISNUMBER('Change in Employment'!L354),'Change in Employment'!L354, "")</f>
        <v/>
      </c>
      <c r="C347" t="str">
        <f>IFERROR(IF(ISNUMBER('Change in Employment'!M354),TEXT('Change in Employment'!M354, "0"), ""), "")</f>
        <v/>
      </c>
      <c r="D347" s="8" t="str">
        <f>IF(ISNUMBER('Change in Employment'!G354),'Change in Employment'!G354,"")</f>
        <v/>
      </c>
    </row>
    <row r="348" spans="1:4">
      <c r="A348" t="str">
        <f>TEXT(IF('Change in Employment'!B355&lt;&gt;0,DATE(YEAR('Change in Employment'!B355), MONTH('Change in Employment'!B355), 1), ""), "mm/dd/yyyy")</f>
        <v/>
      </c>
      <c r="B348" t="str">
        <f>IF(ISNUMBER('Change in Employment'!L355),'Change in Employment'!L355, "")</f>
        <v/>
      </c>
      <c r="C348" t="str">
        <f>IFERROR(IF(ISNUMBER('Change in Employment'!M355),TEXT('Change in Employment'!M355, "0"), ""), "")</f>
        <v/>
      </c>
      <c r="D348" s="8" t="str">
        <f>IF(ISNUMBER('Change in Employment'!G355),'Change in Employment'!G355,"")</f>
        <v/>
      </c>
    </row>
    <row r="349" spans="1:4">
      <c r="A349" t="str">
        <f>TEXT(IF('Change in Employment'!B356&lt;&gt;0,DATE(YEAR('Change in Employment'!B356), MONTH('Change in Employment'!B356), 1), ""), "mm/dd/yyyy")</f>
        <v/>
      </c>
      <c r="B349" t="str">
        <f>IF(ISNUMBER('Change in Employment'!L356),'Change in Employment'!L356, "")</f>
        <v/>
      </c>
      <c r="C349" t="str">
        <f>IFERROR(IF(ISNUMBER('Change in Employment'!M356),TEXT('Change in Employment'!M356, "0"), ""), "")</f>
        <v/>
      </c>
      <c r="D349" s="8" t="str">
        <f>IF(ISNUMBER('Change in Employment'!G356),'Change in Employment'!G356,"")</f>
        <v/>
      </c>
    </row>
    <row r="350" spans="1:4">
      <c r="A350" t="str">
        <f>TEXT(IF('Change in Employment'!B357&lt;&gt;0,DATE(YEAR('Change in Employment'!B357), MONTH('Change in Employment'!B357), 1), ""), "mm/dd/yyyy")</f>
        <v/>
      </c>
      <c r="B350" t="str">
        <f>IF(ISNUMBER('Change in Employment'!L357),'Change in Employment'!L357, "")</f>
        <v/>
      </c>
      <c r="C350" t="str">
        <f>IFERROR(IF(ISNUMBER('Change in Employment'!M357),TEXT('Change in Employment'!M357, "0"), ""), "")</f>
        <v/>
      </c>
      <c r="D350" s="8" t="str">
        <f>IF(ISNUMBER('Change in Employment'!G357),'Change in Employment'!G357,"")</f>
        <v/>
      </c>
    </row>
    <row r="351" spans="1:4">
      <c r="A351" t="str">
        <f>TEXT(IF('Change in Employment'!B358&lt;&gt;0,DATE(YEAR('Change in Employment'!B358), MONTH('Change in Employment'!B358), 1), ""), "mm/dd/yyyy")</f>
        <v/>
      </c>
      <c r="B351" t="str">
        <f>IF(ISNUMBER('Change in Employment'!L358),'Change in Employment'!L358, "")</f>
        <v/>
      </c>
      <c r="C351" t="str">
        <f>IFERROR(IF(ISNUMBER('Change in Employment'!M358),TEXT('Change in Employment'!M358, "0"), ""), "")</f>
        <v/>
      </c>
      <c r="D351" s="8" t="str">
        <f>IF(ISNUMBER('Change in Employment'!G358),'Change in Employment'!G358,"")</f>
        <v/>
      </c>
    </row>
    <row r="352" spans="1:4">
      <c r="A352" t="str">
        <f>TEXT(IF('Change in Employment'!B359&lt;&gt;0,DATE(YEAR('Change in Employment'!B359), MONTH('Change in Employment'!B359), 1), ""), "mm/dd/yyyy")</f>
        <v/>
      </c>
      <c r="B352" t="str">
        <f>IF(ISNUMBER('Change in Employment'!L359),'Change in Employment'!L359, "")</f>
        <v/>
      </c>
      <c r="C352" t="str">
        <f>IFERROR(IF(ISNUMBER('Change in Employment'!M359),TEXT('Change in Employment'!M359, "0"), ""), "")</f>
        <v/>
      </c>
      <c r="D352" s="8" t="str">
        <f>IF(ISNUMBER('Change in Employment'!G359),'Change in Employment'!G359,"")</f>
        <v/>
      </c>
    </row>
    <row r="353" spans="1:4">
      <c r="A353" t="str">
        <f>TEXT(IF('Change in Employment'!B360&lt;&gt;0,DATE(YEAR('Change in Employment'!B360), MONTH('Change in Employment'!B360), 1), ""), "mm/dd/yyyy")</f>
        <v/>
      </c>
      <c r="B353" t="str">
        <f>IF(ISNUMBER('Change in Employment'!L360),'Change in Employment'!L360, "")</f>
        <v/>
      </c>
      <c r="C353" t="str">
        <f>IFERROR(IF(ISNUMBER('Change in Employment'!M360),TEXT('Change in Employment'!M360, "0"), ""), "")</f>
        <v/>
      </c>
      <c r="D353" s="8" t="str">
        <f>IF(ISNUMBER('Change in Employment'!G360),'Change in Employment'!G360,"")</f>
        <v/>
      </c>
    </row>
    <row r="354" spans="1:4">
      <c r="A354" t="str">
        <f>TEXT(IF('Change in Employment'!B361&lt;&gt;0,DATE(YEAR('Change in Employment'!B361), MONTH('Change in Employment'!B361), 1), ""), "mm/dd/yyyy")</f>
        <v/>
      </c>
      <c r="B354" t="str">
        <f>IF(ISNUMBER('Change in Employment'!L361),'Change in Employment'!L361, "")</f>
        <v/>
      </c>
      <c r="C354" t="str">
        <f>IFERROR(IF(ISNUMBER('Change in Employment'!M361),TEXT('Change in Employment'!M361, "0"), ""), "")</f>
        <v/>
      </c>
      <c r="D354" s="8" t="str">
        <f>IF(ISNUMBER('Change in Employment'!G361),'Change in Employment'!G361,"")</f>
        <v/>
      </c>
    </row>
    <row r="355" spans="1:4">
      <c r="A355" t="str">
        <f>TEXT(IF('Change in Employment'!B362&lt;&gt;0,DATE(YEAR('Change in Employment'!B362), MONTH('Change in Employment'!B362), 1), ""), "mm/dd/yyyy")</f>
        <v/>
      </c>
      <c r="B355" t="str">
        <f>IF(ISNUMBER('Change in Employment'!L362),'Change in Employment'!L362, "")</f>
        <v/>
      </c>
      <c r="C355" t="str">
        <f>IFERROR(IF(ISNUMBER('Change in Employment'!M362),TEXT('Change in Employment'!M362, "0"), ""), "")</f>
        <v/>
      </c>
      <c r="D355" s="8" t="str">
        <f>IF(ISNUMBER('Change in Employment'!G362),'Change in Employment'!G362,"")</f>
        <v/>
      </c>
    </row>
    <row r="356" spans="1:4">
      <c r="A356" t="str">
        <f>TEXT(IF('Change in Employment'!B363&lt;&gt;0,DATE(YEAR('Change in Employment'!B363), MONTH('Change in Employment'!B363), 1), ""), "mm/dd/yyyy")</f>
        <v/>
      </c>
      <c r="B356" t="str">
        <f>IF(ISNUMBER('Change in Employment'!L363),'Change in Employment'!L363, "")</f>
        <v/>
      </c>
      <c r="C356" t="str">
        <f>IFERROR(IF(ISNUMBER('Change in Employment'!M363),TEXT('Change in Employment'!M363, "0"), ""), "")</f>
        <v/>
      </c>
      <c r="D356" s="8" t="str">
        <f>IF(ISNUMBER('Change in Employment'!G363),'Change in Employment'!G363,"")</f>
        <v/>
      </c>
    </row>
    <row r="357" spans="1:4">
      <c r="A357" t="str">
        <f>TEXT(IF('Change in Employment'!B364&lt;&gt;0,DATE(YEAR('Change in Employment'!B364), MONTH('Change in Employment'!B364), 1), ""), "mm/dd/yyyy")</f>
        <v/>
      </c>
      <c r="B357" t="str">
        <f>IF(ISNUMBER('Change in Employment'!L364),'Change in Employment'!L364, "")</f>
        <v/>
      </c>
      <c r="C357" t="str">
        <f>IFERROR(IF(ISNUMBER('Change in Employment'!M364),TEXT('Change in Employment'!M364, "0"), ""), "")</f>
        <v/>
      </c>
      <c r="D357" s="8" t="str">
        <f>IF(ISNUMBER('Change in Employment'!G364),'Change in Employment'!G364,"")</f>
        <v/>
      </c>
    </row>
    <row r="358" spans="1:4">
      <c r="A358" t="str">
        <f>TEXT(IF('Change in Employment'!B365&lt;&gt;0,DATE(YEAR('Change in Employment'!B365), MONTH('Change in Employment'!B365), 1), ""), "mm/dd/yyyy")</f>
        <v/>
      </c>
      <c r="B358" t="str">
        <f>IF(ISNUMBER('Change in Employment'!L365),'Change in Employment'!L365, "")</f>
        <v/>
      </c>
      <c r="C358" t="str">
        <f>IFERROR(IF(ISNUMBER('Change in Employment'!M365),TEXT('Change in Employment'!M365, "0"), ""), "")</f>
        <v/>
      </c>
      <c r="D358" s="8" t="str">
        <f>IF(ISNUMBER('Change in Employment'!G365),'Change in Employment'!G365,"")</f>
        <v/>
      </c>
    </row>
    <row r="359" spans="1:4">
      <c r="A359" t="str">
        <f>TEXT(IF('Change in Employment'!B366&lt;&gt;0,DATE(YEAR('Change in Employment'!B366), MONTH('Change in Employment'!B366), 1), ""), "mm/dd/yyyy")</f>
        <v/>
      </c>
      <c r="B359" t="str">
        <f>IF(ISNUMBER('Change in Employment'!L366),'Change in Employment'!L366, "")</f>
        <v/>
      </c>
      <c r="C359" t="str">
        <f>IFERROR(IF(ISNUMBER('Change in Employment'!M366),TEXT('Change in Employment'!M366, "0"), ""), "")</f>
        <v/>
      </c>
      <c r="D359" s="8" t="str">
        <f>IF(ISNUMBER('Change in Employment'!G366),'Change in Employment'!G366,"")</f>
        <v/>
      </c>
    </row>
    <row r="360" spans="1:4">
      <c r="A360" t="str">
        <f>TEXT(IF('Change in Employment'!B367&lt;&gt;0,DATE(YEAR('Change in Employment'!B367), MONTH('Change in Employment'!B367), 1), ""), "mm/dd/yyyy")</f>
        <v/>
      </c>
      <c r="B360" t="str">
        <f>IF(ISNUMBER('Change in Employment'!L367),'Change in Employment'!L367, "")</f>
        <v/>
      </c>
      <c r="C360" t="str">
        <f>IFERROR(IF(ISNUMBER('Change in Employment'!M367),TEXT('Change in Employment'!M367, "0"), ""), "")</f>
        <v/>
      </c>
      <c r="D360" s="8" t="str">
        <f>IF(ISNUMBER('Change in Employment'!G367),'Change in Employment'!G367,"")</f>
        <v/>
      </c>
    </row>
    <row r="361" spans="1:4">
      <c r="A361" t="str">
        <f>TEXT(IF('Change in Employment'!B368&lt;&gt;0,DATE(YEAR('Change in Employment'!B368), MONTH('Change in Employment'!B368), 1), ""), "mm/dd/yyyy")</f>
        <v/>
      </c>
      <c r="B361" t="str">
        <f>IF(ISNUMBER('Change in Employment'!L368),'Change in Employment'!L368, "")</f>
        <v/>
      </c>
      <c r="C361" t="str">
        <f>IFERROR(IF(ISNUMBER('Change in Employment'!M368),TEXT('Change in Employment'!M368, "0"), ""), "")</f>
        <v/>
      </c>
      <c r="D361" s="8" t="str">
        <f>IF(ISNUMBER('Change in Employment'!G368),'Change in Employment'!G368,"")</f>
        <v/>
      </c>
    </row>
    <row r="362" spans="1:4">
      <c r="A362" t="str">
        <f>TEXT(IF('Change in Employment'!B369&lt;&gt;0,DATE(YEAR('Change in Employment'!B369), MONTH('Change in Employment'!B369), 1), ""), "mm/dd/yyyy")</f>
        <v/>
      </c>
      <c r="B362" t="str">
        <f>IF(ISNUMBER('Change in Employment'!L369),'Change in Employment'!L369, "")</f>
        <v/>
      </c>
      <c r="C362" t="str">
        <f>IFERROR(IF(ISNUMBER('Change in Employment'!M369),TEXT('Change in Employment'!M369, "0"), ""), "")</f>
        <v/>
      </c>
      <c r="D362" s="8" t="str">
        <f>IF(ISNUMBER('Change in Employment'!G369),'Change in Employment'!G369,"")</f>
        <v/>
      </c>
    </row>
    <row r="363" spans="1:4">
      <c r="A363" t="str">
        <f>TEXT(IF('Change in Employment'!B370&lt;&gt;0,DATE(YEAR('Change in Employment'!B370), MONTH('Change in Employment'!B370), 1), ""), "mm/dd/yyyy")</f>
        <v/>
      </c>
      <c r="B363" t="str">
        <f>IF(ISNUMBER('Change in Employment'!L370),'Change in Employment'!L370, "")</f>
        <v/>
      </c>
      <c r="C363" t="str">
        <f>IFERROR(IF(ISNUMBER('Change in Employment'!M370),TEXT('Change in Employment'!M370, "0"), ""), "")</f>
        <v/>
      </c>
      <c r="D363" s="8" t="str">
        <f>IF(ISNUMBER('Change in Employment'!G370),'Change in Employment'!G370,"")</f>
        <v/>
      </c>
    </row>
    <row r="364" spans="1:4">
      <c r="A364" t="str">
        <f>TEXT(IF('Change in Employment'!B371&lt;&gt;0,DATE(YEAR('Change in Employment'!B371), MONTH('Change in Employment'!B371), 1), ""), "mm/dd/yyyy")</f>
        <v/>
      </c>
      <c r="B364" t="str">
        <f>IF(ISNUMBER('Change in Employment'!L371),'Change in Employment'!L371, "")</f>
        <v/>
      </c>
      <c r="C364" t="str">
        <f>IFERROR(IF(ISNUMBER('Change in Employment'!M371),TEXT('Change in Employment'!M371, "0"), ""), "")</f>
        <v/>
      </c>
      <c r="D364" s="8" t="str">
        <f>IF(ISNUMBER('Change in Employment'!G371),'Change in Employment'!G371,"")</f>
        <v/>
      </c>
    </row>
    <row r="365" spans="1:4">
      <c r="A365" t="str">
        <f>TEXT(IF('Change in Employment'!B372&lt;&gt;0,DATE(YEAR('Change in Employment'!B372), MONTH('Change in Employment'!B372), 1), ""), "mm/dd/yyyy")</f>
        <v/>
      </c>
      <c r="B365" t="str">
        <f>IF(ISNUMBER('Change in Employment'!L372),'Change in Employment'!L372, "")</f>
        <v/>
      </c>
      <c r="C365" t="str">
        <f>IFERROR(IF(ISNUMBER('Change in Employment'!M372),TEXT('Change in Employment'!M372, "0"), ""), "")</f>
        <v/>
      </c>
      <c r="D365" s="8" t="str">
        <f>IF(ISNUMBER('Change in Employment'!G372),'Change in Employment'!G372,"")</f>
        <v/>
      </c>
    </row>
    <row r="366" spans="1:4">
      <c r="A366" t="str">
        <f>TEXT(IF('Change in Employment'!B373&lt;&gt;0,DATE(YEAR('Change in Employment'!B373), MONTH('Change in Employment'!B373), 1), ""), "mm/dd/yyyy")</f>
        <v/>
      </c>
      <c r="B366" t="str">
        <f>IF(ISNUMBER('Change in Employment'!L373),'Change in Employment'!L373, "")</f>
        <v/>
      </c>
      <c r="C366" t="str">
        <f>IFERROR(IF(ISNUMBER('Change in Employment'!M373),TEXT('Change in Employment'!M373, "0"), ""), "")</f>
        <v/>
      </c>
      <c r="D366" s="8" t="str">
        <f>IF(ISNUMBER('Change in Employment'!G373),'Change in Employment'!G373,"")</f>
        <v/>
      </c>
    </row>
    <row r="367" spans="1:4">
      <c r="A367" t="str">
        <f>TEXT(IF('Change in Employment'!B374&lt;&gt;0,DATE(YEAR('Change in Employment'!B374), MONTH('Change in Employment'!B374), 1), ""), "mm/dd/yyyy")</f>
        <v/>
      </c>
      <c r="B367" t="str">
        <f>IF(ISNUMBER('Change in Employment'!L374),'Change in Employment'!L374, "")</f>
        <v/>
      </c>
      <c r="C367" t="str">
        <f>IFERROR(IF(ISNUMBER('Change in Employment'!M374),TEXT('Change in Employment'!M374, "0"), ""), "")</f>
        <v/>
      </c>
      <c r="D367" s="8" t="str">
        <f>IF(ISNUMBER('Change in Employment'!G374),'Change in Employment'!G374,"")</f>
        <v/>
      </c>
    </row>
    <row r="368" spans="1:4">
      <c r="A368" t="str">
        <f>TEXT(IF('Change in Employment'!B375&lt;&gt;0,DATE(YEAR('Change in Employment'!B375), MONTH('Change in Employment'!B375), 1), ""), "mm/dd/yyyy")</f>
        <v/>
      </c>
      <c r="B368" t="str">
        <f>IF(ISNUMBER('Change in Employment'!L375),'Change in Employment'!L375, "")</f>
        <v/>
      </c>
      <c r="C368" t="str">
        <f>IFERROR(IF(ISNUMBER('Change in Employment'!M375),TEXT('Change in Employment'!M375, "0"), ""), "")</f>
        <v/>
      </c>
      <c r="D368" s="8" t="str">
        <f>IF(ISNUMBER('Change in Employment'!G375),'Change in Employment'!G375,"")</f>
        <v/>
      </c>
    </row>
    <row r="369" spans="1:4">
      <c r="A369" t="str">
        <f>TEXT(IF('Change in Employment'!B376&lt;&gt;0,DATE(YEAR('Change in Employment'!B376), MONTH('Change in Employment'!B376), 1), ""), "mm/dd/yyyy")</f>
        <v/>
      </c>
      <c r="B369" t="str">
        <f>IF(ISNUMBER('Change in Employment'!L376),'Change in Employment'!L376, "")</f>
        <v/>
      </c>
      <c r="C369" t="str">
        <f>IFERROR(IF(ISNUMBER('Change in Employment'!M376),TEXT('Change in Employment'!M376, "0"), ""), "")</f>
        <v/>
      </c>
      <c r="D369" s="8" t="str">
        <f>IF(ISNUMBER('Change in Employment'!G376),'Change in Employment'!G376,"")</f>
        <v/>
      </c>
    </row>
    <row r="370" spans="1:4">
      <c r="A370" t="str">
        <f>TEXT(IF('Change in Employment'!B377&lt;&gt;0,DATE(YEAR('Change in Employment'!B377), MONTH('Change in Employment'!B377), 1), ""), "mm/dd/yyyy")</f>
        <v/>
      </c>
      <c r="B370" t="str">
        <f>IF(ISNUMBER('Change in Employment'!L377),'Change in Employment'!L377, "")</f>
        <v/>
      </c>
      <c r="C370" t="str">
        <f>IFERROR(IF(ISNUMBER('Change in Employment'!M377),TEXT('Change in Employment'!M377, "0"), ""), "")</f>
        <v/>
      </c>
      <c r="D370" s="8" t="str">
        <f>IF(ISNUMBER('Change in Employment'!G377),'Change in Employment'!G377,"")</f>
        <v/>
      </c>
    </row>
    <row r="371" spans="1:4">
      <c r="A371" t="str">
        <f>TEXT(IF('Change in Employment'!B378&lt;&gt;0,DATE(YEAR('Change in Employment'!B378), MONTH('Change in Employment'!B378), 1), ""), "mm/dd/yyyy")</f>
        <v/>
      </c>
      <c r="B371" t="str">
        <f>IF(ISNUMBER('Change in Employment'!L378),'Change in Employment'!L378, "")</f>
        <v/>
      </c>
      <c r="C371" t="str">
        <f>IFERROR(IF(ISNUMBER('Change in Employment'!M378),TEXT('Change in Employment'!M378, "0"), ""), "")</f>
        <v/>
      </c>
      <c r="D371" s="8" t="str">
        <f>IF(ISNUMBER('Change in Employment'!G378),'Change in Employment'!G378,"")</f>
        <v/>
      </c>
    </row>
    <row r="372" spans="1:4">
      <c r="A372" t="str">
        <f>TEXT(IF('Change in Employment'!B379&lt;&gt;0,DATE(YEAR('Change in Employment'!B379), MONTH('Change in Employment'!B379), 1), ""), "mm/dd/yyyy")</f>
        <v/>
      </c>
      <c r="B372" t="str">
        <f>IF(ISNUMBER('Change in Employment'!L379),'Change in Employment'!L379, "")</f>
        <v/>
      </c>
      <c r="C372" t="str">
        <f>IFERROR(IF(ISNUMBER('Change in Employment'!M379),TEXT('Change in Employment'!M379, "0"), ""), "")</f>
        <v/>
      </c>
      <c r="D372" s="8" t="str">
        <f>IF(ISNUMBER('Change in Employment'!G379),'Change in Employment'!G379,"")</f>
        <v/>
      </c>
    </row>
    <row r="373" spans="1:4">
      <c r="A373" t="str">
        <f>TEXT(IF('Change in Employment'!B380&lt;&gt;0,DATE(YEAR('Change in Employment'!B380), MONTH('Change in Employment'!B380), 1), ""), "mm/dd/yyyy")</f>
        <v/>
      </c>
      <c r="B373" t="str">
        <f>IF(ISNUMBER('Change in Employment'!L380),'Change in Employment'!L380, "")</f>
        <v/>
      </c>
      <c r="C373" t="str">
        <f>IFERROR(IF(ISNUMBER('Change in Employment'!M380),TEXT('Change in Employment'!M380, "0"), ""), "")</f>
        <v/>
      </c>
      <c r="D373" s="8" t="str">
        <f>IF(ISNUMBER('Change in Employment'!G380),'Change in Employment'!G380,"")</f>
        <v/>
      </c>
    </row>
    <row r="374" spans="1:4">
      <c r="A374" t="str">
        <f>TEXT(IF('Change in Employment'!B381&lt;&gt;0,DATE(YEAR('Change in Employment'!B381), MONTH('Change in Employment'!B381), 1), ""), "mm/dd/yyyy")</f>
        <v/>
      </c>
      <c r="B374" t="str">
        <f>IF(ISNUMBER('Change in Employment'!L381),'Change in Employment'!L381, "")</f>
        <v/>
      </c>
      <c r="C374" t="str">
        <f>IFERROR(IF(ISNUMBER('Change in Employment'!M381),TEXT('Change in Employment'!M381, "0"), ""), "")</f>
        <v/>
      </c>
      <c r="D374" s="8" t="str">
        <f>IF(ISNUMBER('Change in Employment'!G381),'Change in Employment'!G381,"")</f>
        <v/>
      </c>
    </row>
    <row r="375" spans="1:4">
      <c r="A375" t="str">
        <f>TEXT(IF('Change in Employment'!B382&lt;&gt;0,DATE(YEAR('Change in Employment'!B382), MONTH('Change in Employment'!B382), 1), ""), "mm/dd/yyyy")</f>
        <v/>
      </c>
      <c r="B375" t="str">
        <f>IF(ISNUMBER('Change in Employment'!L382),'Change in Employment'!L382, "")</f>
        <v/>
      </c>
      <c r="C375" t="str">
        <f>IFERROR(IF(ISNUMBER('Change in Employment'!M382),TEXT('Change in Employment'!M382, "0"), ""), "")</f>
        <v/>
      </c>
      <c r="D375" s="8" t="str">
        <f>IF(ISNUMBER('Change in Employment'!G382),'Change in Employment'!G382,"")</f>
        <v/>
      </c>
    </row>
    <row r="376" spans="1:4">
      <c r="A376" t="str">
        <f>TEXT(IF('Change in Employment'!B383&lt;&gt;0,DATE(YEAR('Change in Employment'!B383), MONTH('Change in Employment'!B383), 1), ""), "mm/dd/yyyy")</f>
        <v/>
      </c>
      <c r="B376" t="str">
        <f>IF(ISNUMBER('Change in Employment'!L383),'Change in Employment'!L383, "")</f>
        <v/>
      </c>
      <c r="C376" t="str">
        <f>IFERROR(IF(ISNUMBER('Change in Employment'!M383),TEXT('Change in Employment'!M383, "0"), ""), "")</f>
        <v/>
      </c>
      <c r="D376" s="8" t="str">
        <f>IF(ISNUMBER('Change in Employment'!G383),'Change in Employment'!G383,"")</f>
        <v/>
      </c>
    </row>
    <row r="377" spans="1:4">
      <c r="A377" t="str">
        <f>TEXT(IF('Change in Employment'!B384&lt;&gt;0,DATE(YEAR('Change in Employment'!B384), MONTH('Change in Employment'!B384), 1), ""), "mm/dd/yyyy")</f>
        <v/>
      </c>
      <c r="B377" t="str">
        <f>IF(ISNUMBER('Change in Employment'!L384),'Change in Employment'!L384, "")</f>
        <v/>
      </c>
      <c r="C377" t="str">
        <f>IFERROR(IF(ISNUMBER('Change in Employment'!M384),TEXT('Change in Employment'!M384, "0"), ""), "")</f>
        <v/>
      </c>
      <c r="D377" s="8" t="str">
        <f>IF(ISNUMBER('Change in Employment'!G384),'Change in Employment'!G384,"")</f>
        <v/>
      </c>
    </row>
    <row r="378" spans="1:4">
      <c r="A378" t="str">
        <f>TEXT(IF('Change in Employment'!B385&lt;&gt;0,DATE(YEAR('Change in Employment'!B385), MONTH('Change in Employment'!B385), 1), ""), "mm/dd/yyyy")</f>
        <v/>
      </c>
      <c r="B378" t="str">
        <f>IF(ISNUMBER('Change in Employment'!L385),'Change in Employment'!L385, "")</f>
        <v/>
      </c>
      <c r="C378" t="str">
        <f>IFERROR(IF(ISNUMBER('Change in Employment'!M385),TEXT('Change in Employment'!M385, "0"), ""), "")</f>
        <v/>
      </c>
      <c r="D378" s="8" t="str">
        <f>IF(ISNUMBER('Change in Employment'!G385),'Change in Employment'!G385,"")</f>
        <v/>
      </c>
    </row>
    <row r="379" spans="1:4">
      <c r="A379" t="str">
        <f>TEXT(IF('Change in Employment'!B386&lt;&gt;0,DATE(YEAR('Change in Employment'!B386), MONTH('Change in Employment'!B386), 1), ""), "mm/dd/yyyy")</f>
        <v/>
      </c>
      <c r="B379" t="str">
        <f>IF(ISNUMBER('Change in Employment'!L386),'Change in Employment'!L386, "")</f>
        <v/>
      </c>
      <c r="C379" t="str">
        <f>IFERROR(IF(ISNUMBER('Change in Employment'!M386),TEXT('Change in Employment'!M386, "0"), ""), "")</f>
        <v/>
      </c>
      <c r="D379" s="8" t="str">
        <f>IF(ISNUMBER('Change in Employment'!G386),'Change in Employment'!G386,"")</f>
        <v/>
      </c>
    </row>
    <row r="380" spans="1:4">
      <c r="A380" t="str">
        <f>TEXT(IF('Change in Employment'!B387&lt;&gt;0,DATE(YEAR('Change in Employment'!B387), MONTH('Change in Employment'!B387), 1), ""), "mm/dd/yyyy")</f>
        <v/>
      </c>
      <c r="B380" t="str">
        <f>IF(ISNUMBER('Change in Employment'!L387),'Change in Employment'!L387, "")</f>
        <v/>
      </c>
      <c r="C380" t="str">
        <f>IFERROR(IF(ISNUMBER('Change in Employment'!M387),TEXT('Change in Employment'!M387, "0"), ""), "")</f>
        <v/>
      </c>
      <c r="D380" s="8" t="str">
        <f>IF(ISNUMBER('Change in Employment'!G387),'Change in Employment'!G387,"")</f>
        <v/>
      </c>
    </row>
    <row r="381" spans="1:4">
      <c r="A381" t="str">
        <f>TEXT(IF('Change in Employment'!B388&lt;&gt;0,DATE(YEAR('Change in Employment'!B388), MONTH('Change in Employment'!B388), 1), ""), "mm/dd/yyyy")</f>
        <v/>
      </c>
      <c r="B381" t="str">
        <f>IF(ISNUMBER('Change in Employment'!L388),'Change in Employment'!L388, "")</f>
        <v/>
      </c>
      <c r="C381" t="str">
        <f>IFERROR(IF(ISNUMBER('Change in Employment'!M388),TEXT('Change in Employment'!M388, "0"), ""), "")</f>
        <v/>
      </c>
      <c r="D381" s="8" t="str">
        <f>IF(ISNUMBER('Change in Employment'!G388),'Change in Employment'!G388,"")</f>
        <v/>
      </c>
    </row>
    <row r="382" spans="1:4">
      <c r="A382" t="str">
        <f>TEXT(IF('Change in Employment'!B389&lt;&gt;0,DATE(YEAR('Change in Employment'!B389), MONTH('Change in Employment'!B389), 1), ""), "mm/dd/yyyy")</f>
        <v/>
      </c>
      <c r="B382" t="str">
        <f>IF(ISNUMBER('Change in Employment'!L389),'Change in Employment'!L389, "")</f>
        <v/>
      </c>
      <c r="C382" t="str">
        <f>IFERROR(IF(ISNUMBER('Change in Employment'!M389),TEXT('Change in Employment'!M389, "0"), ""), "")</f>
        <v/>
      </c>
      <c r="D382" s="8" t="str">
        <f>IF(ISNUMBER('Change in Employment'!G389),'Change in Employment'!G389,"")</f>
        <v/>
      </c>
    </row>
    <row r="383" spans="1:4">
      <c r="A383" t="str">
        <f>TEXT(IF('Change in Employment'!B390&lt;&gt;0,DATE(YEAR('Change in Employment'!B390), MONTH('Change in Employment'!B390), 1), ""), "mm/dd/yyyy")</f>
        <v/>
      </c>
      <c r="B383" t="str">
        <f>IF(ISNUMBER('Change in Employment'!L390),'Change in Employment'!L390, "")</f>
        <v/>
      </c>
      <c r="C383" t="str">
        <f>IFERROR(IF(ISNUMBER('Change in Employment'!M390),TEXT('Change in Employment'!M390, "0"), ""), "")</f>
        <v/>
      </c>
      <c r="D383" s="8" t="str">
        <f>IF(ISNUMBER('Change in Employment'!G390),'Change in Employment'!G390,"")</f>
        <v/>
      </c>
    </row>
    <row r="384" spans="1:4">
      <c r="A384" t="str">
        <f>TEXT(IF('Change in Employment'!B391&lt;&gt;0,DATE(YEAR('Change in Employment'!B391), MONTH('Change in Employment'!B391), 1), ""), "mm/dd/yyyy")</f>
        <v/>
      </c>
      <c r="B384" t="str">
        <f>IF(ISNUMBER('Change in Employment'!L391),'Change in Employment'!L391, "")</f>
        <v/>
      </c>
      <c r="C384" t="str">
        <f>IFERROR(IF(ISNUMBER('Change in Employment'!M391),TEXT('Change in Employment'!M391, "0"), ""), "")</f>
        <v/>
      </c>
      <c r="D384" s="8" t="str">
        <f>IF(ISNUMBER('Change in Employment'!G391),'Change in Employment'!G391,"")</f>
        <v/>
      </c>
    </row>
    <row r="385" spans="1:4">
      <c r="A385" t="str">
        <f>TEXT(IF('Change in Employment'!B392&lt;&gt;0,DATE(YEAR('Change in Employment'!B392), MONTH('Change in Employment'!B392), 1), ""), "mm/dd/yyyy")</f>
        <v/>
      </c>
      <c r="B385" t="str">
        <f>IF(ISNUMBER('Change in Employment'!L392),'Change in Employment'!L392, "")</f>
        <v/>
      </c>
      <c r="C385" t="str">
        <f>IFERROR(IF(ISNUMBER('Change in Employment'!M392),TEXT('Change in Employment'!M392, "0"), ""), "")</f>
        <v/>
      </c>
      <c r="D385" s="8" t="str">
        <f>IF(ISNUMBER('Change in Employment'!G392),'Change in Employment'!G392,"")</f>
        <v/>
      </c>
    </row>
    <row r="386" spans="1:4">
      <c r="A386" t="str">
        <f>TEXT(IF('Change in Employment'!B393&lt;&gt;0,DATE(YEAR('Change in Employment'!B393), MONTH('Change in Employment'!B393), 1), ""), "mm/dd/yyyy")</f>
        <v/>
      </c>
      <c r="B386" t="str">
        <f>IF(ISNUMBER('Change in Employment'!L393),'Change in Employment'!L393, "")</f>
        <v/>
      </c>
      <c r="C386" t="str">
        <f>IFERROR(IF(ISNUMBER('Change in Employment'!M393),TEXT('Change in Employment'!M393, "0"), ""), "")</f>
        <v/>
      </c>
      <c r="D386" s="8" t="str">
        <f>IF(ISNUMBER('Change in Employment'!G393),'Change in Employment'!G393,"")</f>
        <v/>
      </c>
    </row>
    <row r="387" spans="1:4">
      <c r="A387" t="str">
        <f>TEXT(IF('Change in Employment'!B394&lt;&gt;0,DATE(YEAR('Change in Employment'!B394), MONTH('Change in Employment'!B394), 1), ""), "mm/dd/yyyy")</f>
        <v/>
      </c>
      <c r="B387" t="str">
        <f>IF(ISNUMBER('Change in Employment'!L394),'Change in Employment'!L394, "")</f>
        <v/>
      </c>
      <c r="C387" t="str">
        <f>IFERROR(IF(ISNUMBER('Change in Employment'!M394),TEXT('Change in Employment'!M394, "0"), ""), "")</f>
        <v/>
      </c>
      <c r="D387" s="8" t="str">
        <f>IF(ISNUMBER('Change in Employment'!G394),'Change in Employment'!G394,"")</f>
        <v/>
      </c>
    </row>
    <row r="388" spans="1:4">
      <c r="A388" t="str">
        <f>TEXT(IF('Change in Employment'!B395&lt;&gt;0,DATE(YEAR('Change in Employment'!B395), MONTH('Change in Employment'!B395), 1), ""), "mm/dd/yyyy")</f>
        <v/>
      </c>
      <c r="B388" t="str">
        <f>IF(ISNUMBER('Change in Employment'!L395),'Change in Employment'!L395, "")</f>
        <v/>
      </c>
      <c r="C388" t="str">
        <f>IFERROR(IF(ISNUMBER('Change in Employment'!M395),TEXT('Change in Employment'!M395, "0"), ""), "")</f>
        <v/>
      </c>
      <c r="D388" s="8" t="str">
        <f>IF(ISNUMBER('Change in Employment'!G395),'Change in Employment'!G395,"")</f>
        <v/>
      </c>
    </row>
    <row r="389" spans="1:4">
      <c r="A389" t="str">
        <f>TEXT(IF('Change in Employment'!B396&lt;&gt;0,DATE(YEAR('Change in Employment'!B396), MONTH('Change in Employment'!B396), 1), ""), "mm/dd/yyyy")</f>
        <v/>
      </c>
      <c r="B389" t="str">
        <f>IF(ISNUMBER('Change in Employment'!L396),'Change in Employment'!L396, "")</f>
        <v/>
      </c>
      <c r="C389" t="str">
        <f>IFERROR(IF(ISNUMBER('Change in Employment'!M396),TEXT('Change in Employment'!M396, "0"), ""), "")</f>
        <v/>
      </c>
      <c r="D389" s="8" t="str">
        <f>IF(ISNUMBER('Change in Employment'!G396),'Change in Employment'!G396,"")</f>
        <v/>
      </c>
    </row>
    <row r="390" spans="1:4">
      <c r="A390" t="str">
        <f>TEXT(IF('Change in Employment'!B397&lt;&gt;0,DATE(YEAR('Change in Employment'!B397), MONTH('Change in Employment'!B397), 1), ""), "mm/dd/yyyy")</f>
        <v/>
      </c>
      <c r="B390" t="str">
        <f>IF(ISNUMBER('Change in Employment'!L397),'Change in Employment'!L397, "")</f>
        <v/>
      </c>
      <c r="C390" t="str">
        <f>IFERROR(IF(ISNUMBER('Change in Employment'!M397),TEXT('Change in Employment'!M397, "0"), ""), "")</f>
        <v/>
      </c>
      <c r="D390" s="8" t="str">
        <f>IF(ISNUMBER('Change in Employment'!G397),'Change in Employment'!G397,"")</f>
        <v/>
      </c>
    </row>
    <row r="391" spans="1:4">
      <c r="A391" t="str">
        <f>TEXT(IF('Change in Employment'!B398&lt;&gt;0,DATE(YEAR('Change in Employment'!B398), MONTH('Change in Employment'!B398), 1), ""), "mm/dd/yyyy")</f>
        <v/>
      </c>
      <c r="B391" t="str">
        <f>IF(ISNUMBER('Change in Employment'!L398),'Change in Employment'!L398, "")</f>
        <v/>
      </c>
      <c r="C391" t="str">
        <f>IFERROR(IF(ISNUMBER('Change in Employment'!M398),TEXT('Change in Employment'!M398, "0"), ""), "")</f>
        <v/>
      </c>
      <c r="D391" s="8" t="str">
        <f>IF(ISNUMBER('Change in Employment'!G398),'Change in Employment'!G398,"")</f>
        <v/>
      </c>
    </row>
    <row r="392" spans="1:4">
      <c r="A392" t="str">
        <f>TEXT(IF('Change in Employment'!B399&lt;&gt;0,DATE(YEAR('Change in Employment'!B399), MONTH('Change in Employment'!B399), 1), ""), "mm/dd/yyyy")</f>
        <v/>
      </c>
      <c r="B392" t="str">
        <f>IF(ISNUMBER('Change in Employment'!L399),'Change in Employment'!L399, "")</f>
        <v/>
      </c>
      <c r="C392" t="str">
        <f>IFERROR(IF(ISNUMBER('Change in Employment'!M399),TEXT('Change in Employment'!M399, "0"), ""), "")</f>
        <v/>
      </c>
      <c r="D392" s="8" t="str">
        <f>IF(ISNUMBER('Change in Employment'!G399),'Change in Employment'!G399,"")</f>
        <v/>
      </c>
    </row>
    <row r="393" spans="1:4">
      <c r="A393" t="str">
        <f>TEXT(IF('Change in Employment'!B400&lt;&gt;0,DATE(YEAR('Change in Employment'!B400), MONTH('Change in Employment'!B400), 1), ""), "mm/dd/yyyy")</f>
        <v/>
      </c>
      <c r="B393" t="str">
        <f>IF(ISNUMBER('Change in Employment'!L400),'Change in Employment'!L400, "")</f>
        <v/>
      </c>
      <c r="C393" t="str">
        <f>IFERROR(IF(ISNUMBER('Change in Employment'!M400),TEXT('Change in Employment'!M400, "0"), ""), "")</f>
        <v/>
      </c>
      <c r="D393" s="8" t="str">
        <f>IF(ISNUMBER('Change in Employment'!G400),'Change in Employment'!G400,"")</f>
        <v/>
      </c>
    </row>
    <row r="394" spans="1:4">
      <c r="A394" t="str">
        <f>TEXT(IF('Change in Employment'!B401&lt;&gt;0,DATE(YEAR('Change in Employment'!B401), MONTH('Change in Employment'!B401), 1), ""), "mm/dd/yyyy")</f>
        <v/>
      </c>
      <c r="B394" t="str">
        <f>IF(ISNUMBER('Change in Employment'!L401),'Change in Employment'!L401, "")</f>
        <v/>
      </c>
      <c r="C394" t="str">
        <f>IFERROR(IF(ISNUMBER('Change in Employment'!M401),TEXT('Change in Employment'!M401, "0"), ""), "")</f>
        <v/>
      </c>
      <c r="D394" s="8" t="str">
        <f>IF(ISNUMBER('Change in Employment'!G401),'Change in Employment'!G401,"")</f>
        <v/>
      </c>
    </row>
    <row r="395" spans="1:4">
      <c r="A395" t="str">
        <f>TEXT(IF('Change in Employment'!B402&lt;&gt;0,DATE(YEAR('Change in Employment'!B402), MONTH('Change in Employment'!B402), 1), ""), "mm/dd/yyyy")</f>
        <v/>
      </c>
      <c r="B395" t="str">
        <f>IF(ISNUMBER('Change in Employment'!L402),'Change in Employment'!L402, "")</f>
        <v/>
      </c>
      <c r="C395" t="str">
        <f>IFERROR(IF(ISNUMBER('Change in Employment'!M402),TEXT('Change in Employment'!M402, "0"), ""), "")</f>
        <v/>
      </c>
      <c r="D395" s="8" t="str">
        <f>IF(ISNUMBER('Change in Employment'!G402),'Change in Employment'!G402,"")</f>
        <v/>
      </c>
    </row>
    <row r="396" spans="1:4">
      <c r="A396" t="str">
        <f>TEXT(IF('Change in Employment'!B403&lt;&gt;0,DATE(YEAR('Change in Employment'!B403), MONTH('Change in Employment'!B403), 1), ""), "mm/dd/yyyy")</f>
        <v/>
      </c>
      <c r="B396" t="str">
        <f>IF(ISNUMBER('Change in Employment'!L403),'Change in Employment'!L403, "")</f>
        <v/>
      </c>
      <c r="C396" t="str">
        <f>IFERROR(IF(ISNUMBER('Change in Employment'!M403),TEXT('Change in Employment'!M403, "0"), ""), "")</f>
        <v/>
      </c>
      <c r="D396" s="8" t="str">
        <f>IF(ISNUMBER('Change in Employment'!G403),'Change in Employment'!G403,"")</f>
        <v/>
      </c>
    </row>
    <row r="397" spans="1:4">
      <c r="A397" t="str">
        <f>TEXT(IF('Change in Employment'!B404&lt;&gt;0,DATE(YEAR('Change in Employment'!B404), MONTH('Change in Employment'!B404), 1), ""), "mm/dd/yyyy")</f>
        <v/>
      </c>
      <c r="B397" t="str">
        <f>IF(ISNUMBER('Change in Employment'!L404),'Change in Employment'!L404, "")</f>
        <v/>
      </c>
      <c r="C397" t="str">
        <f>IFERROR(IF(ISNUMBER('Change in Employment'!M404),TEXT('Change in Employment'!M404, "0"), ""), "")</f>
        <v/>
      </c>
      <c r="D397" s="8" t="str">
        <f>IF(ISNUMBER('Change in Employment'!G404),'Change in Employment'!G404,"")</f>
        <v/>
      </c>
    </row>
    <row r="398" spans="1:4">
      <c r="A398" t="str">
        <f>TEXT(IF('Change in Employment'!B405&lt;&gt;0,DATE(YEAR('Change in Employment'!B405), MONTH('Change in Employment'!B405), 1), ""), "mm/dd/yyyy")</f>
        <v/>
      </c>
      <c r="B398" t="str">
        <f>IF(ISNUMBER('Change in Employment'!L405),'Change in Employment'!L405, "")</f>
        <v/>
      </c>
      <c r="C398" t="str">
        <f>IFERROR(IF(ISNUMBER('Change in Employment'!M405),TEXT('Change in Employment'!M405, "0"), ""), "")</f>
        <v/>
      </c>
      <c r="D398" s="8" t="str">
        <f>IF(ISNUMBER('Change in Employment'!G405),'Change in Employment'!G405,"")</f>
        <v/>
      </c>
    </row>
    <row r="399" spans="1:4">
      <c r="A399" t="str">
        <f>TEXT(IF('Change in Employment'!B406&lt;&gt;0,DATE(YEAR('Change in Employment'!B406), MONTH('Change in Employment'!B406), 1), ""), "mm/dd/yyyy")</f>
        <v/>
      </c>
      <c r="B399" t="str">
        <f>IF(ISNUMBER('Change in Employment'!L406),'Change in Employment'!L406, "")</f>
        <v/>
      </c>
      <c r="C399" t="str">
        <f>IFERROR(IF(ISNUMBER('Change in Employment'!M406),TEXT('Change in Employment'!M406, "0"), ""), "")</f>
        <v/>
      </c>
      <c r="D399" s="8" t="str">
        <f>IF(ISNUMBER('Change in Employment'!G406),'Change in Employment'!G406,"")</f>
        <v/>
      </c>
    </row>
    <row r="400" spans="1:4">
      <c r="A400" t="str">
        <f>TEXT(IF('Change in Employment'!B407&lt;&gt;0,DATE(YEAR('Change in Employment'!B407), MONTH('Change in Employment'!B407), 1), ""), "mm/dd/yyyy")</f>
        <v/>
      </c>
      <c r="B400" t="str">
        <f>IF(ISNUMBER('Change in Employment'!L407),'Change in Employment'!L407, "")</f>
        <v/>
      </c>
      <c r="C400" t="str">
        <f>IFERROR(IF(ISNUMBER('Change in Employment'!M407),TEXT('Change in Employment'!M407, "0"), ""), "")</f>
        <v/>
      </c>
      <c r="D400" s="8" t="str">
        <f>IF(ISNUMBER('Change in Employment'!G407),'Change in Employment'!G407,"")</f>
        <v/>
      </c>
    </row>
    <row r="401" spans="1:4">
      <c r="A401" t="str">
        <f>TEXT(IF('Change in Employment'!B408&lt;&gt;0,DATE(YEAR('Change in Employment'!B408), MONTH('Change in Employment'!B408), 1), ""), "mm/dd/yyyy")</f>
        <v/>
      </c>
      <c r="B401" t="str">
        <f>IF(ISNUMBER('Change in Employment'!L408),'Change in Employment'!L408, "")</f>
        <v/>
      </c>
      <c r="C401" t="str">
        <f>IFERROR(IF(ISNUMBER('Change in Employment'!M408),TEXT('Change in Employment'!M408, "0"), ""), "")</f>
        <v/>
      </c>
      <c r="D401" s="8" t="str">
        <f>IF(ISNUMBER('Change in Employment'!G408),'Change in Employment'!G408,"")</f>
        <v/>
      </c>
    </row>
    <row r="402" spans="1:4">
      <c r="A402" t="str">
        <f>TEXT(IF('Change in Employment'!B409&lt;&gt;0,DATE(YEAR('Change in Employment'!B409), MONTH('Change in Employment'!B409), 1), ""), "mm/dd/yyyy")</f>
        <v/>
      </c>
      <c r="B402" t="str">
        <f>IF(ISNUMBER('Change in Employment'!L409),'Change in Employment'!L409, "")</f>
        <v/>
      </c>
      <c r="C402" t="str">
        <f>IFERROR(IF(ISNUMBER('Change in Employment'!M409),TEXT('Change in Employment'!M409, "0"), ""), "")</f>
        <v/>
      </c>
      <c r="D402" s="8" t="str">
        <f>IF(ISNUMBER('Change in Employment'!G409),'Change in Employment'!G409,"")</f>
        <v/>
      </c>
    </row>
    <row r="403" spans="1:4">
      <c r="A403" t="str">
        <f>TEXT(IF('Change in Employment'!B410&lt;&gt;0,DATE(YEAR('Change in Employment'!B410), MONTH('Change in Employment'!B410), 1), ""), "mm/dd/yyyy")</f>
        <v/>
      </c>
      <c r="B403" t="str">
        <f>IF(ISNUMBER('Change in Employment'!L410),'Change in Employment'!L410, "")</f>
        <v/>
      </c>
      <c r="C403" t="str">
        <f>IFERROR(IF(ISNUMBER('Change in Employment'!M410),TEXT('Change in Employment'!M410, "0"), ""), "")</f>
        <v/>
      </c>
      <c r="D403" s="8" t="str">
        <f>IF(ISNUMBER('Change in Employment'!G410),'Change in Employment'!G410,"")</f>
        <v/>
      </c>
    </row>
    <row r="404" spans="1:4">
      <c r="A404" t="str">
        <f>TEXT(IF('Change in Employment'!B411&lt;&gt;0,DATE(YEAR('Change in Employment'!B411), MONTH('Change in Employment'!B411), 1), ""), "mm/dd/yyyy")</f>
        <v/>
      </c>
      <c r="B404" t="str">
        <f>IF(ISNUMBER('Change in Employment'!L411),'Change in Employment'!L411, "")</f>
        <v/>
      </c>
      <c r="C404" t="str">
        <f>IFERROR(IF(ISNUMBER('Change in Employment'!M411),TEXT('Change in Employment'!M411, "0"), ""), "")</f>
        <v/>
      </c>
      <c r="D404" s="8" t="str">
        <f>IF(ISNUMBER('Change in Employment'!G411),'Change in Employment'!G411,"")</f>
        <v/>
      </c>
    </row>
    <row r="405" spans="1:4">
      <c r="A405" t="str">
        <f>TEXT(IF('Change in Employment'!B412&lt;&gt;0,DATE(YEAR('Change in Employment'!B412), MONTH('Change in Employment'!B412), 1), ""), "mm/dd/yyyy")</f>
        <v/>
      </c>
      <c r="B405" t="str">
        <f>IF(ISNUMBER('Change in Employment'!L412),'Change in Employment'!L412, "")</f>
        <v/>
      </c>
      <c r="C405" t="str">
        <f>IFERROR(IF(ISNUMBER('Change in Employment'!M412),TEXT('Change in Employment'!M412, "0"), ""), "")</f>
        <v/>
      </c>
      <c r="D405" s="8" t="str">
        <f>IF(ISNUMBER('Change in Employment'!G412),'Change in Employment'!G412,"")</f>
        <v/>
      </c>
    </row>
    <row r="406" spans="1:4">
      <c r="A406" t="str">
        <f>TEXT(IF('Change in Employment'!B413&lt;&gt;0,DATE(YEAR('Change in Employment'!B413), MONTH('Change in Employment'!B413), 1), ""), "mm/dd/yyyy")</f>
        <v/>
      </c>
      <c r="B406" t="str">
        <f>IF(ISNUMBER('Change in Employment'!L413),'Change in Employment'!L413, "")</f>
        <v/>
      </c>
      <c r="C406" t="str">
        <f>IFERROR(IF(ISNUMBER('Change in Employment'!M413),TEXT('Change in Employment'!M413, "0"), ""), "")</f>
        <v/>
      </c>
      <c r="D406" s="8" t="str">
        <f>IF(ISNUMBER('Change in Employment'!G413),'Change in Employment'!G413,"")</f>
        <v/>
      </c>
    </row>
    <row r="407" spans="1:4">
      <c r="A407" t="str">
        <f>TEXT(IF('Change in Employment'!B414&lt;&gt;0,DATE(YEAR('Change in Employment'!B414), MONTH('Change in Employment'!B414), 1), ""), "mm/dd/yyyy")</f>
        <v/>
      </c>
      <c r="B407" t="str">
        <f>IF(ISNUMBER('Change in Employment'!L414),'Change in Employment'!L414, "")</f>
        <v/>
      </c>
      <c r="C407" t="str">
        <f>IFERROR(IF(ISNUMBER('Change in Employment'!M414),TEXT('Change in Employment'!M414, "0"), ""), "")</f>
        <v/>
      </c>
      <c r="D407" s="8" t="str">
        <f>IF(ISNUMBER('Change in Employment'!G414),'Change in Employment'!G414,"")</f>
        <v/>
      </c>
    </row>
    <row r="408" spans="1:4">
      <c r="A408" t="str">
        <f>TEXT(IF('Change in Employment'!B415&lt;&gt;0,DATE(YEAR('Change in Employment'!B415), MONTH('Change in Employment'!B415), 1), ""), "mm/dd/yyyy")</f>
        <v/>
      </c>
      <c r="B408" t="str">
        <f>IF(ISNUMBER('Change in Employment'!L415),'Change in Employment'!L415, "")</f>
        <v/>
      </c>
      <c r="C408" t="str">
        <f>IFERROR(IF(ISNUMBER('Change in Employment'!M415),TEXT('Change in Employment'!M415, "0"), ""), "")</f>
        <v/>
      </c>
      <c r="D408" s="8" t="str">
        <f>IF(ISNUMBER('Change in Employment'!G415),'Change in Employment'!G415,"")</f>
        <v/>
      </c>
    </row>
    <row r="409" spans="1:4">
      <c r="A409" t="str">
        <f>TEXT(IF('Change in Employment'!B416&lt;&gt;0,DATE(YEAR('Change in Employment'!B416), MONTH('Change in Employment'!B416), 1), ""), "mm/dd/yyyy")</f>
        <v/>
      </c>
      <c r="B409" t="str">
        <f>IF(ISNUMBER('Change in Employment'!L416),'Change in Employment'!L416, "")</f>
        <v/>
      </c>
      <c r="C409" t="str">
        <f>IFERROR(IF(ISNUMBER('Change in Employment'!M416),TEXT('Change in Employment'!M416, "0"), ""), "")</f>
        <v/>
      </c>
      <c r="D409" s="8" t="str">
        <f>IF(ISNUMBER('Change in Employment'!G416),'Change in Employment'!G416,"")</f>
        <v/>
      </c>
    </row>
    <row r="410" spans="1:4">
      <c r="A410" t="str">
        <f>TEXT(IF('Change in Employment'!B417&lt;&gt;0,DATE(YEAR('Change in Employment'!B417), MONTH('Change in Employment'!B417), 1), ""), "mm/dd/yyyy")</f>
        <v/>
      </c>
      <c r="B410" t="str">
        <f>IF(ISNUMBER('Change in Employment'!L417),'Change in Employment'!L417, "")</f>
        <v/>
      </c>
      <c r="C410" t="str">
        <f>IFERROR(IF(ISNUMBER('Change in Employment'!M417),TEXT('Change in Employment'!M417, "0"), ""), "")</f>
        <v/>
      </c>
      <c r="D410" s="8" t="str">
        <f>IF(ISNUMBER('Change in Employment'!G417),'Change in Employment'!G417,"")</f>
        <v/>
      </c>
    </row>
    <row r="411" spans="1:4">
      <c r="A411" t="str">
        <f>TEXT(IF('Change in Employment'!B418&lt;&gt;0,DATE(YEAR('Change in Employment'!B418), MONTH('Change in Employment'!B418), 1), ""), "mm/dd/yyyy")</f>
        <v/>
      </c>
      <c r="B411" t="str">
        <f>IF(ISNUMBER('Change in Employment'!L418),'Change in Employment'!L418, "")</f>
        <v/>
      </c>
      <c r="C411" t="str">
        <f>IFERROR(IF(ISNUMBER('Change in Employment'!M418),TEXT('Change in Employment'!M418, "0"), ""), "")</f>
        <v/>
      </c>
      <c r="D411" s="8" t="str">
        <f>IF(ISNUMBER('Change in Employment'!G418),'Change in Employment'!G418,"")</f>
        <v/>
      </c>
    </row>
    <row r="412" spans="1:4">
      <c r="A412" t="str">
        <f>TEXT(IF('Change in Employment'!B419&lt;&gt;0,DATE(YEAR('Change in Employment'!B419), MONTH('Change in Employment'!B419), 1), ""), "mm/dd/yyyy")</f>
        <v/>
      </c>
      <c r="B412" t="str">
        <f>IF(ISNUMBER('Change in Employment'!L419),'Change in Employment'!L419, "")</f>
        <v/>
      </c>
      <c r="C412" t="str">
        <f>IFERROR(IF(ISNUMBER('Change in Employment'!M419),TEXT('Change in Employment'!M419, "0"), ""), "")</f>
        <v/>
      </c>
      <c r="D412" s="8" t="str">
        <f>IF(ISNUMBER('Change in Employment'!G419),'Change in Employment'!G419,"")</f>
        <v/>
      </c>
    </row>
    <row r="413" spans="1:4">
      <c r="A413" t="str">
        <f>TEXT(IF('Change in Employment'!B420&lt;&gt;0,DATE(YEAR('Change in Employment'!B420), MONTH('Change in Employment'!B420), 1), ""), "mm/dd/yyyy")</f>
        <v/>
      </c>
      <c r="B413" t="str">
        <f>IF(ISNUMBER('Change in Employment'!L420),'Change in Employment'!L420, "")</f>
        <v/>
      </c>
      <c r="C413" t="str">
        <f>IFERROR(IF(ISNUMBER('Change in Employment'!M420),TEXT('Change in Employment'!M420, "0"), ""), "")</f>
        <v/>
      </c>
      <c r="D413" s="8" t="str">
        <f>IF(ISNUMBER('Change in Employment'!G420),'Change in Employment'!G420,"")</f>
        <v/>
      </c>
    </row>
    <row r="414" spans="1:4">
      <c r="A414" t="str">
        <f>TEXT(IF('Change in Employment'!B421&lt;&gt;0,DATE(YEAR('Change in Employment'!B421), MONTH('Change in Employment'!B421), 1), ""), "mm/dd/yyyy")</f>
        <v/>
      </c>
      <c r="B414" t="str">
        <f>IF(ISNUMBER('Change in Employment'!L421),'Change in Employment'!L421, "")</f>
        <v/>
      </c>
      <c r="C414" t="str">
        <f>IFERROR(IF(ISNUMBER('Change in Employment'!M421),TEXT('Change in Employment'!M421, "0"), ""), "")</f>
        <v/>
      </c>
      <c r="D414" s="8" t="str">
        <f>IF(ISNUMBER('Change in Employment'!G421),'Change in Employment'!G421,"")</f>
        <v/>
      </c>
    </row>
    <row r="415" spans="1:4">
      <c r="A415" t="str">
        <f>TEXT(IF('Change in Employment'!B422&lt;&gt;0,DATE(YEAR('Change in Employment'!B422), MONTH('Change in Employment'!B422), 1), ""), "mm/dd/yyyy")</f>
        <v/>
      </c>
      <c r="B415" t="str">
        <f>IF(ISNUMBER('Change in Employment'!L422),'Change in Employment'!L422, "")</f>
        <v/>
      </c>
      <c r="C415" t="str">
        <f>IFERROR(IF(ISNUMBER('Change in Employment'!M422),TEXT('Change in Employment'!M422, "0"), ""), "")</f>
        <v/>
      </c>
      <c r="D415" s="8" t="str">
        <f>IF(ISNUMBER('Change in Employment'!G422),'Change in Employment'!G422,"")</f>
        <v/>
      </c>
    </row>
    <row r="416" spans="1:4">
      <c r="A416" t="str">
        <f>TEXT(IF('Change in Employment'!B423&lt;&gt;0,DATE(YEAR('Change in Employment'!B423), MONTH('Change in Employment'!B423), 1), ""), "mm/dd/yyyy")</f>
        <v/>
      </c>
      <c r="B416" t="str">
        <f>IF(ISNUMBER('Change in Employment'!L423),'Change in Employment'!L423, "")</f>
        <v/>
      </c>
      <c r="C416" t="str">
        <f>IFERROR(IF(ISNUMBER('Change in Employment'!M423),TEXT('Change in Employment'!M423, "0"), ""), "")</f>
        <v/>
      </c>
      <c r="D416" s="8" t="str">
        <f>IF(ISNUMBER('Change in Employment'!G423),'Change in Employment'!G423,"")</f>
        <v/>
      </c>
    </row>
    <row r="417" spans="1:4">
      <c r="A417" t="str">
        <f>TEXT(IF('Change in Employment'!B424&lt;&gt;0,DATE(YEAR('Change in Employment'!B424), MONTH('Change in Employment'!B424), 1), ""), "mm/dd/yyyy")</f>
        <v/>
      </c>
      <c r="B417" t="str">
        <f>IF(ISNUMBER('Change in Employment'!L424),'Change in Employment'!L424, "")</f>
        <v/>
      </c>
      <c r="C417" t="str">
        <f>IFERROR(IF(ISNUMBER('Change in Employment'!M424),TEXT('Change in Employment'!M424, "0"), ""), "")</f>
        <v/>
      </c>
      <c r="D417" s="8" t="str">
        <f>IF(ISNUMBER('Change in Employment'!G424),'Change in Employment'!G424,"")</f>
        <v/>
      </c>
    </row>
    <row r="418" spans="1:4">
      <c r="A418" t="str">
        <f>TEXT(IF('Change in Employment'!B425&lt;&gt;0,DATE(YEAR('Change in Employment'!B425), MONTH('Change in Employment'!B425), 1), ""), "mm/dd/yyyy")</f>
        <v/>
      </c>
      <c r="B418" t="str">
        <f>IF(ISNUMBER('Change in Employment'!L425),'Change in Employment'!L425, "")</f>
        <v/>
      </c>
      <c r="C418" t="str">
        <f>IFERROR(IF(ISNUMBER('Change in Employment'!M425),TEXT('Change in Employment'!M425, "0"), ""), "")</f>
        <v/>
      </c>
      <c r="D418" s="8" t="str">
        <f>IF(ISNUMBER('Change in Employment'!G425),'Change in Employment'!G425,"")</f>
        <v/>
      </c>
    </row>
    <row r="419" spans="1:4">
      <c r="A419" t="str">
        <f>TEXT(IF('Change in Employment'!B426&lt;&gt;0,DATE(YEAR('Change in Employment'!B426), MONTH('Change in Employment'!B426), 1), ""), "mm/dd/yyyy")</f>
        <v/>
      </c>
      <c r="B419" t="str">
        <f>IF(ISNUMBER('Change in Employment'!L426),'Change in Employment'!L426, "")</f>
        <v/>
      </c>
      <c r="C419" t="str">
        <f>IFERROR(IF(ISNUMBER('Change in Employment'!M426),TEXT('Change in Employment'!M426, "0"), ""), "")</f>
        <v/>
      </c>
      <c r="D419" s="8" t="str">
        <f>IF(ISNUMBER('Change in Employment'!G426),'Change in Employment'!G426,"")</f>
        <v/>
      </c>
    </row>
    <row r="420" spans="1:4">
      <c r="A420" t="str">
        <f>TEXT(IF('Change in Employment'!B427&lt;&gt;0,DATE(YEAR('Change in Employment'!B427), MONTH('Change in Employment'!B427), 1), ""), "mm/dd/yyyy")</f>
        <v/>
      </c>
      <c r="B420" t="str">
        <f>IF(ISNUMBER('Change in Employment'!L427),'Change in Employment'!L427, "")</f>
        <v/>
      </c>
      <c r="C420" t="str">
        <f>IFERROR(IF(ISNUMBER('Change in Employment'!M427),TEXT('Change in Employment'!M427, "0"), ""), "")</f>
        <v/>
      </c>
      <c r="D420" s="8" t="str">
        <f>IF(ISNUMBER('Change in Employment'!G427),'Change in Employment'!G427,"")</f>
        <v/>
      </c>
    </row>
    <row r="421" spans="1:4">
      <c r="A421" t="str">
        <f>TEXT(IF('Change in Employment'!B428&lt;&gt;0,DATE(YEAR('Change in Employment'!B428), MONTH('Change in Employment'!B428), 1), ""), "mm/dd/yyyy")</f>
        <v/>
      </c>
      <c r="B421" t="str">
        <f>IF(ISNUMBER('Change in Employment'!L428),'Change in Employment'!L428, "")</f>
        <v/>
      </c>
      <c r="C421" t="str">
        <f>IFERROR(IF(ISNUMBER('Change in Employment'!M428),TEXT('Change in Employment'!M428, "0"), ""), "")</f>
        <v/>
      </c>
      <c r="D421" s="8" t="str">
        <f>IF(ISNUMBER('Change in Employment'!G428),'Change in Employment'!G428,"")</f>
        <v/>
      </c>
    </row>
    <row r="422" spans="1:4">
      <c r="A422" t="str">
        <f>TEXT(IF('Change in Employment'!B429&lt;&gt;0,DATE(YEAR('Change in Employment'!B429), MONTH('Change in Employment'!B429), 1), ""), "mm/dd/yyyy")</f>
        <v/>
      </c>
      <c r="B422" t="str">
        <f>IF(ISNUMBER('Change in Employment'!L429),'Change in Employment'!L429, "")</f>
        <v/>
      </c>
      <c r="C422" t="str">
        <f>IFERROR(IF(ISNUMBER('Change in Employment'!M429),TEXT('Change in Employment'!M429, "0"), ""), "")</f>
        <v/>
      </c>
      <c r="D422" s="8" t="str">
        <f>IF(ISNUMBER('Change in Employment'!G429),'Change in Employment'!G429,"")</f>
        <v/>
      </c>
    </row>
    <row r="423" spans="1:4">
      <c r="A423" t="str">
        <f>TEXT(IF('Change in Employment'!B430&lt;&gt;0,DATE(YEAR('Change in Employment'!B430), MONTH('Change in Employment'!B430), 1), ""), "mm/dd/yyyy")</f>
        <v/>
      </c>
      <c r="B423" t="str">
        <f>IF(ISNUMBER('Change in Employment'!L430),'Change in Employment'!L430, "")</f>
        <v/>
      </c>
      <c r="C423" t="str">
        <f>IFERROR(IF(ISNUMBER('Change in Employment'!M430),TEXT('Change in Employment'!M430, "0"), ""), "")</f>
        <v/>
      </c>
      <c r="D423" s="8" t="str">
        <f>IF(ISNUMBER('Change in Employment'!G430),'Change in Employment'!G430,"")</f>
        <v/>
      </c>
    </row>
    <row r="424" spans="1:4">
      <c r="A424" t="str">
        <f>TEXT(IF('Change in Employment'!B431&lt;&gt;0,DATE(YEAR('Change in Employment'!B431), MONTH('Change in Employment'!B431), 1), ""), "mm/dd/yyyy")</f>
        <v/>
      </c>
      <c r="B424" t="str">
        <f>IF(ISNUMBER('Change in Employment'!L431),'Change in Employment'!L431, "")</f>
        <v/>
      </c>
      <c r="C424" t="str">
        <f>IFERROR(IF(ISNUMBER('Change in Employment'!M431),TEXT('Change in Employment'!M431, "0"), ""), "")</f>
        <v/>
      </c>
      <c r="D424" s="8" t="str">
        <f>IF(ISNUMBER('Change in Employment'!G431),'Change in Employment'!G431,"")</f>
        <v/>
      </c>
    </row>
    <row r="425" spans="1:4">
      <c r="A425" t="str">
        <f>TEXT(IF('Change in Employment'!B432&lt;&gt;0,DATE(YEAR('Change in Employment'!B432), MONTH('Change in Employment'!B432), 1), ""), "mm/dd/yyyy")</f>
        <v/>
      </c>
      <c r="B425" t="str">
        <f>IF(ISNUMBER('Change in Employment'!L432),'Change in Employment'!L432, "")</f>
        <v/>
      </c>
      <c r="C425" t="str">
        <f>IFERROR(IF(ISNUMBER('Change in Employment'!M432),TEXT('Change in Employment'!M432, "0"), ""), "")</f>
        <v/>
      </c>
      <c r="D425" s="8" t="str">
        <f>IF(ISNUMBER('Change in Employment'!G432),'Change in Employment'!G432,"")</f>
        <v/>
      </c>
    </row>
    <row r="426" spans="1:4">
      <c r="A426" t="str">
        <f>TEXT(IF('Change in Employment'!B433&lt;&gt;0,DATE(YEAR('Change in Employment'!B433), MONTH('Change in Employment'!B433), 1), ""), "mm/dd/yyyy")</f>
        <v/>
      </c>
      <c r="B426" t="str">
        <f>IF(ISNUMBER('Change in Employment'!L433),'Change in Employment'!L433, "")</f>
        <v/>
      </c>
      <c r="C426" t="str">
        <f>IFERROR(IF(ISNUMBER('Change in Employment'!M433),TEXT('Change in Employment'!M433, "0"), ""), "")</f>
        <v/>
      </c>
      <c r="D426" s="8" t="str">
        <f>IF(ISNUMBER('Change in Employment'!G433),'Change in Employment'!G433,"")</f>
        <v/>
      </c>
    </row>
    <row r="427" spans="1:4">
      <c r="A427" t="str">
        <f>TEXT(IF('Change in Employment'!B434&lt;&gt;0,DATE(YEAR('Change in Employment'!B434), MONTH('Change in Employment'!B434), 1), ""), "mm/dd/yyyy")</f>
        <v/>
      </c>
      <c r="B427" t="str">
        <f>IF(ISNUMBER('Change in Employment'!L434),'Change in Employment'!L434, "")</f>
        <v/>
      </c>
      <c r="C427" t="str">
        <f>IFERROR(IF(ISNUMBER('Change in Employment'!M434),TEXT('Change in Employment'!M434, "0"), ""), "")</f>
        <v/>
      </c>
      <c r="D427" s="8" t="str">
        <f>IF(ISNUMBER('Change in Employment'!G434),'Change in Employment'!G434,"")</f>
        <v/>
      </c>
    </row>
    <row r="428" spans="1:4">
      <c r="A428" t="str">
        <f>TEXT(IF('Change in Employment'!B435&lt;&gt;0,DATE(YEAR('Change in Employment'!B435), MONTH('Change in Employment'!B435), 1), ""), "mm/dd/yyyy")</f>
        <v/>
      </c>
      <c r="B428" t="str">
        <f>IF(ISNUMBER('Change in Employment'!L435),'Change in Employment'!L435, "")</f>
        <v/>
      </c>
      <c r="C428" t="str">
        <f>IFERROR(IF(ISNUMBER('Change in Employment'!M435),TEXT('Change in Employment'!M435, "0"), ""), "")</f>
        <v/>
      </c>
      <c r="D428" s="8" t="str">
        <f>IF(ISNUMBER('Change in Employment'!G435),'Change in Employment'!G435,"")</f>
        <v/>
      </c>
    </row>
    <row r="429" spans="1:4">
      <c r="A429" t="str">
        <f>TEXT(IF('Change in Employment'!B436&lt;&gt;0,DATE(YEAR('Change in Employment'!B436), MONTH('Change in Employment'!B436), 1), ""), "mm/dd/yyyy")</f>
        <v/>
      </c>
      <c r="B429" t="str">
        <f>IF(ISNUMBER('Change in Employment'!L436),'Change in Employment'!L436, "")</f>
        <v/>
      </c>
      <c r="C429" t="str">
        <f>IFERROR(IF(ISNUMBER('Change in Employment'!M436),TEXT('Change in Employment'!M436, "0"), ""), "")</f>
        <v/>
      </c>
      <c r="D429" s="8" t="str">
        <f>IF(ISNUMBER('Change in Employment'!G436),'Change in Employment'!G436,"")</f>
        <v/>
      </c>
    </row>
    <row r="430" spans="1:4">
      <c r="A430" t="str">
        <f>TEXT(IF('Change in Employment'!B437&lt;&gt;0,DATE(YEAR('Change in Employment'!B437), MONTH('Change in Employment'!B437), 1), ""), "mm/dd/yyyy")</f>
        <v/>
      </c>
      <c r="B430" t="str">
        <f>IF(ISNUMBER('Change in Employment'!L437),'Change in Employment'!L437, "")</f>
        <v/>
      </c>
      <c r="C430" t="str">
        <f>IFERROR(IF(ISNUMBER('Change in Employment'!M437),TEXT('Change in Employment'!M437, "0"), ""), "")</f>
        <v/>
      </c>
      <c r="D430" s="8" t="str">
        <f>IF(ISNUMBER('Change in Employment'!G437),'Change in Employment'!G437,"")</f>
        <v/>
      </c>
    </row>
    <row r="431" spans="1:4">
      <c r="A431" t="str">
        <f>TEXT(IF('Change in Employment'!B438&lt;&gt;0,DATE(YEAR('Change in Employment'!B438), MONTH('Change in Employment'!B438), 1), ""), "mm/dd/yyyy")</f>
        <v/>
      </c>
      <c r="B431" t="str">
        <f>IF(ISNUMBER('Change in Employment'!L438),'Change in Employment'!L438, "")</f>
        <v/>
      </c>
      <c r="C431" t="str">
        <f>IFERROR(IF(ISNUMBER('Change in Employment'!M438),TEXT('Change in Employment'!M438, "0"), ""), "")</f>
        <v/>
      </c>
      <c r="D431" s="8" t="str">
        <f>IF(ISNUMBER('Change in Employment'!G438),'Change in Employment'!G438,"")</f>
        <v/>
      </c>
    </row>
    <row r="432" spans="1:4">
      <c r="A432" t="str">
        <f>TEXT(IF('Change in Employment'!B439&lt;&gt;0,DATE(YEAR('Change in Employment'!B439), MONTH('Change in Employment'!B439), 1), ""), "mm/dd/yyyy")</f>
        <v/>
      </c>
      <c r="B432" t="str">
        <f>IF(ISNUMBER('Change in Employment'!L439),'Change in Employment'!L439, "")</f>
        <v/>
      </c>
      <c r="C432" t="str">
        <f>IFERROR(IF(ISNUMBER('Change in Employment'!M439),TEXT('Change in Employment'!M439, "0"), ""), "")</f>
        <v/>
      </c>
      <c r="D432" s="8" t="str">
        <f>IF(ISNUMBER('Change in Employment'!G439),'Change in Employment'!G439,"")</f>
        <v/>
      </c>
    </row>
    <row r="433" spans="1:4">
      <c r="A433" t="str">
        <f>TEXT(IF('Change in Employment'!B440&lt;&gt;0,DATE(YEAR('Change in Employment'!B440), MONTH('Change in Employment'!B440), 1), ""), "mm/dd/yyyy")</f>
        <v/>
      </c>
      <c r="B433" t="str">
        <f>IF(ISNUMBER('Change in Employment'!L440),'Change in Employment'!L440, "")</f>
        <v/>
      </c>
      <c r="C433" t="str">
        <f>IFERROR(IF(ISNUMBER('Change in Employment'!M440),TEXT('Change in Employment'!M440, "0"), ""), "")</f>
        <v/>
      </c>
      <c r="D433" s="8" t="str">
        <f>IF(ISNUMBER('Change in Employment'!G440),'Change in Employment'!G440,"")</f>
        <v/>
      </c>
    </row>
    <row r="434" spans="1:4">
      <c r="A434" t="str">
        <f>TEXT(IF('Change in Employment'!B441&lt;&gt;0,DATE(YEAR('Change in Employment'!B441), MONTH('Change in Employment'!B441), 1), ""), "mm/dd/yyyy")</f>
        <v/>
      </c>
      <c r="B434" t="str">
        <f>IF(ISNUMBER('Change in Employment'!L441),'Change in Employment'!L441, "")</f>
        <v/>
      </c>
      <c r="C434" t="str">
        <f>IFERROR(IF(ISNUMBER('Change in Employment'!M441),TEXT('Change in Employment'!M441, "0"), ""), "")</f>
        <v/>
      </c>
      <c r="D434" s="8" t="str">
        <f>IF(ISNUMBER('Change in Employment'!G441),'Change in Employment'!G441,"")</f>
        <v/>
      </c>
    </row>
    <row r="435" spans="1:4">
      <c r="A435" t="str">
        <f>TEXT(IF('Change in Employment'!B442&lt;&gt;0,DATE(YEAR('Change in Employment'!B442), MONTH('Change in Employment'!B442), 1), ""), "mm/dd/yyyy")</f>
        <v/>
      </c>
      <c r="B435" t="str">
        <f>IF(ISNUMBER('Change in Employment'!L442),'Change in Employment'!L442, "")</f>
        <v/>
      </c>
      <c r="C435" t="str">
        <f>IFERROR(IF(ISNUMBER('Change in Employment'!M442),TEXT('Change in Employment'!M442, "0"), ""), "")</f>
        <v/>
      </c>
      <c r="D435" s="8" t="str">
        <f>IF(ISNUMBER('Change in Employment'!G442),'Change in Employment'!G442,"")</f>
        <v/>
      </c>
    </row>
    <row r="436" spans="1:4">
      <c r="A436" t="str">
        <f>TEXT(IF('Change in Employment'!B443&lt;&gt;0,DATE(YEAR('Change in Employment'!B443), MONTH('Change in Employment'!B443), 1), ""), "mm/dd/yyyy")</f>
        <v/>
      </c>
      <c r="B436" t="str">
        <f>IF(ISNUMBER('Change in Employment'!L443),'Change in Employment'!L443, "")</f>
        <v/>
      </c>
      <c r="C436" t="str">
        <f>IFERROR(IF(ISNUMBER('Change in Employment'!M443),TEXT('Change in Employment'!M443, "0"), ""), "")</f>
        <v/>
      </c>
      <c r="D436" s="8" t="str">
        <f>IF(ISNUMBER('Change in Employment'!G443),'Change in Employment'!G443,"")</f>
        <v/>
      </c>
    </row>
    <row r="437" spans="1:4">
      <c r="A437" t="str">
        <f>TEXT(IF('Change in Employment'!B444&lt;&gt;0,DATE(YEAR('Change in Employment'!B444), MONTH('Change in Employment'!B444), 1), ""), "mm/dd/yyyy")</f>
        <v/>
      </c>
      <c r="B437" t="str">
        <f>IF(ISNUMBER('Change in Employment'!L444),'Change in Employment'!L444, "")</f>
        <v/>
      </c>
      <c r="C437" t="str">
        <f>IFERROR(IF(ISNUMBER('Change in Employment'!M444),TEXT('Change in Employment'!M444, "0"), ""), "")</f>
        <v/>
      </c>
      <c r="D437" s="8" t="str">
        <f>IF(ISNUMBER('Change in Employment'!G444),'Change in Employment'!G444,"")</f>
        <v/>
      </c>
    </row>
    <row r="438" spans="1:4">
      <c r="A438" t="str">
        <f>TEXT(IF('Change in Employment'!B445&lt;&gt;0,DATE(YEAR('Change in Employment'!B445), MONTH('Change in Employment'!B445), 1), ""), "mm/dd/yyyy")</f>
        <v/>
      </c>
      <c r="B438" t="str">
        <f>IF(ISNUMBER('Change in Employment'!L445),'Change in Employment'!L445, "")</f>
        <v/>
      </c>
      <c r="C438" t="str">
        <f>IFERROR(IF(ISNUMBER('Change in Employment'!M445),TEXT('Change in Employment'!M445, "0"), ""), "")</f>
        <v/>
      </c>
      <c r="D438" s="8" t="str">
        <f>IF(ISNUMBER('Change in Employment'!G445),'Change in Employment'!G445,"")</f>
        <v/>
      </c>
    </row>
    <row r="439" spans="1:4">
      <c r="A439" t="str">
        <f>TEXT(IF('Change in Employment'!B446&lt;&gt;0,DATE(YEAR('Change in Employment'!B446), MONTH('Change in Employment'!B446), 1), ""), "mm/dd/yyyy")</f>
        <v/>
      </c>
      <c r="B439" t="str">
        <f>IF(ISNUMBER('Change in Employment'!L446),'Change in Employment'!L446, "")</f>
        <v/>
      </c>
      <c r="C439" t="str">
        <f>IFERROR(IF(ISNUMBER('Change in Employment'!M446),TEXT('Change in Employment'!M446, "0"), ""), "")</f>
        <v/>
      </c>
      <c r="D439" s="8" t="str">
        <f>IF(ISNUMBER('Change in Employment'!G446),'Change in Employment'!G446,"")</f>
        <v/>
      </c>
    </row>
    <row r="440" spans="1:4">
      <c r="A440" t="str">
        <f>TEXT(IF('Change in Employment'!B447&lt;&gt;0,DATE(YEAR('Change in Employment'!B447), MONTH('Change in Employment'!B447), 1), ""), "mm/dd/yyyy")</f>
        <v/>
      </c>
      <c r="B440" t="str">
        <f>IF(ISNUMBER('Change in Employment'!L447),'Change in Employment'!L447, "")</f>
        <v/>
      </c>
      <c r="C440" t="str">
        <f>IFERROR(IF(ISNUMBER('Change in Employment'!M447),TEXT('Change in Employment'!M447, "0"), ""), "")</f>
        <v/>
      </c>
      <c r="D440" s="8" t="str">
        <f>IF(ISNUMBER('Change in Employment'!G447),'Change in Employment'!G447,"")</f>
        <v/>
      </c>
    </row>
    <row r="441" spans="1:4">
      <c r="A441" t="str">
        <f>TEXT(IF('Change in Employment'!B448&lt;&gt;0,DATE(YEAR('Change in Employment'!B448), MONTH('Change in Employment'!B448), 1), ""), "mm/dd/yyyy")</f>
        <v/>
      </c>
      <c r="B441" t="str">
        <f>IF(ISNUMBER('Change in Employment'!L448),'Change in Employment'!L448, "")</f>
        <v/>
      </c>
      <c r="C441" t="str">
        <f>IFERROR(IF(ISNUMBER('Change in Employment'!M448),TEXT('Change in Employment'!M448, "0"), ""), "")</f>
        <v/>
      </c>
      <c r="D441" s="8" t="str">
        <f>IF(ISNUMBER('Change in Employment'!G448),'Change in Employment'!G448,"")</f>
        <v/>
      </c>
    </row>
    <row r="442" spans="1:4">
      <c r="A442" t="str">
        <f>TEXT(IF('Change in Employment'!B449&lt;&gt;0,DATE(YEAR('Change in Employment'!B449), MONTH('Change in Employment'!B449), 1), ""), "mm/dd/yyyy")</f>
        <v/>
      </c>
      <c r="B442" t="str">
        <f>IF(ISNUMBER('Change in Employment'!L449),'Change in Employment'!L449, "")</f>
        <v/>
      </c>
      <c r="C442" t="str">
        <f>IFERROR(IF(ISNUMBER('Change in Employment'!M449),TEXT('Change in Employment'!M449, "0"), ""), "")</f>
        <v/>
      </c>
      <c r="D442" s="8" t="str">
        <f>IF(ISNUMBER('Change in Employment'!G449),'Change in Employment'!G449,"")</f>
        <v/>
      </c>
    </row>
    <row r="443" spans="1:4">
      <c r="A443" t="str">
        <f>TEXT(IF('Change in Employment'!B450&lt;&gt;0,DATE(YEAR('Change in Employment'!B450), MONTH('Change in Employment'!B450), 1), ""), "mm/dd/yyyy")</f>
        <v/>
      </c>
      <c r="B443" t="str">
        <f>IF(ISNUMBER('Change in Employment'!L450),'Change in Employment'!L450, "")</f>
        <v/>
      </c>
      <c r="C443" t="str">
        <f>IFERROR(IF(ISNUMBER('Change in Employment'!M450),TEXT('Change in Employment'!M450, "0"), ""), "")</f>
        <v/>
      </c>
      <c r="D443" s="8" t="str">
        <f>IF(ISNUMBER('Change in Employment'!G450),'Change in Employment'!G450,"")</f>
        <v/>
      </c>
    </row>
    <row r="444" spans="1:4">
      <c r="A444" t="str">
        <f>TEXT(IF('Change in Employment'!B451&lt;&gt;0,DATE(YEAR('Change in Employment'!B451), MONTH('Change in Employment'!B451), 1), ""), "mm/dd/yyyy")</f>
        <v/>
      </c>
      <c r="B444" t="str">
        <f>IF(ISNUMBER('Change in Employment'!L451),'Change in Employment'!L451, "")</f>
        <v/>
      </c>
      <c r="C444" t="str">
        <f>IFERROR(IF(ISNUMBER('Change in Employment'!M451),TEXT('Change in Employment'!M451, "0"), ""), "")</f>
        <v/>
      </c>
      <c r="D444" s="8" t="str">
        <f>IF(ISNUMBER('Change in Employment'!G451),'Change in Employment'!G451,"")</f>
        <v/>
      </c>
    </row>
    <row r="445" spans="1:4">
      <c r="A445" t="str">
        <f>TEXT(IF('Change in Employment'!B452&lt;&gt;0,DATE(YEAR('Change in Employment'!B452), MONTH('Change in Employment'!B452), 1), ""), "mm/dd/yyyy")</f>
        <v/>
      </c>
      <c r="B445" t="str">
        <f>IF(ISNUMBER('Change in Employment'!L452),'Change in Employment'!L452, "")</f>
        <v/>
      </c>
      <c r="C445" t="str">
        <f>IFERROR(IF(ISNUMBER('Change in Employment'!M452),TEXT('Change in Employment'!M452, "0"), ""), "")</f>
        <v/>
      </c>
      <c r="D445" s="8" t="str">
        <f>IF(ISNUMBER('Change in Employment'!G452),'Change in Employment'!G452,"")</f>
        <v/>
      </c>
    </row>
    <row r="446" spans="1:4">
      <c r="A446" t="str">
        <f>TEXT(IF('Change in Employment'!B453&lt;&gt;0,DATE(YEAR('Change in Employment'!B453), MONTH('Change in Employment'!B453), 1), ""), "mm/dd/yyyy")</f>
        <v/>
      </c>
      <c r="B446" t="str">
        <f>IF(ISNUMBER('Change in Employment'!L453),'Change in Employment'!L453, "")</f>
        <v/>
      </c>
      <c r="C446" t="str">
        <f>IFERROR(IF(ISNUMBER('Change in Employment'!M453),TEXT('Change in Employment'!M453, "0"), ""), "")</f>
        <v/>
      </c>
      <c r="D446" s="8" t="str">
        <f>IF(ISNUMBER('Change in Employment'!G453),'Change in Employment'!G453,"")</f>
        <v/>
      </c>
    </row>
    <row r="447" spans="1:4">
      <c r="A447" t="str">
        <f>TEXT(IF('Change in Employment'!B454&lt;&gt;0,DATE(YEAR('Change in Employment'!B454), MONTH('Change in Employment'!B454), 1), ""), "mm/dd/yyyy")</f>
        <v/>
      </c>
      <c r="B447" t="str">
        <f>IF(ISNUMBER('Change in Employment'!L454),'Change in Employment'!L454, "")</f>
        <v/>
      </c>
      <c r="C447" t="str">
        <f>IFERROR(IF(ISNUMBER('Change in Employment'!M454),TEXT('Change in Employment'!M454, "0"), ""), "")</f>
        <v/>
      </c>
      <c r="D447" s="8" t="str">
        <f>IF(ISNUMBER('Change in Employment'!G454),'Change in Employment'!G454,"")</f>
        <v/>
      </c>
    </row>
    <row r="448" spans="1:4">
      <c r="A448" t="str">
        <f>TEXT(IF('Change in Employment'!B455&lt;&gt;0,DATE(YEAR('Change in Employment'!B455), MONTH('Change in Employment'!B455), 1), ""), "mm/dd/yyyy")</f>
        <v/>
      </c>
      <c r="B448" t="str">
        <f>IF(ISNUMBER('Change in Employment'!L455),'Change in Employment'!L455, "")</f>
        <v/>
      </c>
      <c r="C448" t="str">
        <f>IFERROR(IF(ISNUMBER('Change in Employment'!M455),TEXT('Change in Employment'!M455, "0"), ""), "")</f>
        <v/>
      </c>
      <c r="D448" s="8" t="str">
        <f>IF(ISNUMBER('Change in Employment'!G455),'Change in Employment'!G455,"")</f>
        <v/>
      </c>
    </row>
    <row r="449" spans="1:4">
      <c r="A449" t="str">
        <f>TEXT(IF('Change in Employment'!B456&lt;&gt;0,DATE(YEAR('Change in Employment'!B456), MONTH('Change in Employment'!B456), 1), ""), "mm/dd/yyyy")</f>
        <v/>
      </c>
      <c r="B449" t="str">
        <f>IF(ISNUMBER('Change in Employment'!L456),'Change in Employment'!L456, "")</f>
        <v/>
      </c>
      <c r="C449" t="str">
        <f>IFERROR(IF(ISNUMBER('Change in Employment'!M456),TEXT('Change in Employment'!M456, "0"), ""), "")</f>
        <v/>
      </c>
      <c r="D449" s="8" t="str">
        <f>IF(ISNUMBER('Change in Employment'!G456),'Change in Employment'!G456,"")</f>
        <v/>
      </c>
    </row>
    <row r="450" spans="1:4">
      <c r="A450" t="str">
        <f>TEXT(IF('Change in Employment'!B457&lt;&gt;0,DATE(YEAR('Change in Employment'!B457), MONTH('Change in Employment'!B457), 1), ""), "mm/dd/yyyy")</f>
        <v/>
      </c>
      <c r="B450" t="str">
        <f>IF(ISNUMBER('Change in Employment'!L457),'Change in Employment'!L457, "")</f>
        <v/>
      </c>
      <c r="C450" t="str">
        <f>IFERROR(IF(ISNUMBER('Change in Employment'!M457),TEXT('Change in Employment'!M457, "0"), ""), "")</f>
        <v/>
      </c>
      <c r="D450" s="8" t="str">
        <f>IF(ISNUMBER('Change in Employment'!G457),'Change in Employment'!G457,"")</f>
        <v/>
      </c>
    </row>
    <row r="451" spans="1:4">
      <c r="A451" t="str">
        <f>TEXT(IF('Change in Employment'!B458&lt;&gt;0,DATE(YEAR('Change in Employment'!B458), MONTH('Change in Employment'!B458), 1), ""), "mm/dd/yyyy")</f>
        <v/>
      </c>
      <c r="B451" t="str">
        <f>IF(ISNUMBER('Change in Employment'!L458),'Change in Employment'!L458, "")</f>
        <v/>
      </c>
      <c r="C451" t="str">
        <f>IFERROR(IF(ISNUMBER('Change in Employment'!M458),TEXT('Change in Employment'!M458, "0"), ""), "")</f>
        <v/>
      </c>
      <c r="D451" s="8" t="str">
        <f>IF(ISNUMBER('Change in Employment'!G458),'Change in Employment'!G458,"")</f>
        <v/>
      </c>
    </row>
    <row r="452" spans="1:4">
      <c r="A452" t="str">
        <f>TEXT(IF('Change in Employment'!B459&lt;&gt;0,DATE(YEAR('Change in Employment'!B459), MONTH('Change in Employment'!B459), 1), ""), "mm/dd/yyyy")</f>
        <v/>
      </c>
      <c r="B452" t="str">
        <f>IF(ISNUMBER('Change in Employment'!L459),'Change in Employment'!L459, "")</f>
        <v/>
      </c>
      <c r="C452" t="str">
        <f>IFERROR(IF(ISNUMBER('Change in Employment'!M459),TEXT('Change in Employment'!M459, "0"), ""), "")</f>
        <v/>
      </c>
      <c r="D452" s="8" t="str">
        <f>IF(ISNUMBER('Change in Employment'!G459),'Change in Employment'!G459,"")</f>
        <v/>
      </c>
    </row>
    <row r="453" spans="1:4">
      <c r="A453" t="str">
        <f>TEXT(IF('Change in Employment'!B460&lt;&gt;0,DATE(YEAR('Change in Employment'!B460), MONTH('Change in Employment'!B460), 1), ""), "mm/dd/yyyy")</f>
        <v/>
      </c>
      <c r="B453" t="str">
        <f>IF(ISNUMBER('Change in Employment'!L460),'Change in Employment'!L460, "")</f>
        <v/>
      </c>
      <c r="C453" t="str">
        <f>IFERROR(IF(ISNUMBER('Change in Employment'!M460),TEXT('Change in Employment'!M460, "0"), ""), "")</f>
        <v/>
      </c>
      <c r="D453" s="8" t="str">
        <f>IF(ISNUMBER('Change in Employment'!G460),'Change in Employment'!G460,"")</f>
        <v/>
      </c>
    </row>
    <row r="454" spans="1:4">
      <c r="A454" t="str">
        <f>TEXT(IF('Change in Employment'!B461&lt;&gt;0,DATE(YEAR('Change in Employment'!B461), MONTH('Change in Employment'!B461), 1), ""), "mm/dd/yyyy")</f>
        <v/>
      </c>
      <c r="B454" t="str">
        <f>IF(ISNUMBER('Change in Employment'!L461),'Change in Employment'!L461, "")</f>
        <v/>
      </c>
      <c r="C454" t="str">
        <f>IFERROR(IF(ISNUMBER('Change in Employment'!M461),TEXT('Change in Employment'!M461, "0"), ""), "")</f>
        <v/>
      </c>
      <c r="D454" s="8" t="str">
        <f>IF(ISNUMBER('Change in Employment'!G461),'Change in Employment'!G461,"")</f>
        <v/>
      </c>
    </row>
    <row r="455" spans="1:4">
      <c r="A455" t="str">
        <f>TEXT(IF('Change in Employment'!B462&lt;&gt;0,DATE(YEAR('Change in Employment'!B462), MONTH('Change in Employment'!B462), 1), ""), "mm/dd/yyyy")</f>
        <v/>
      </c>
      <c r="B455" t="str">
        <f>IF(ISNUMBER('Change in Employment'!L462),'Change in Employment'!L462, "")</f>
        <v/>
      </c>
      <c r="C455" t="str">
        <f>IFERROR(IF(ISNUMBER('Change in Employment'!M462),TEXT('Change in Employment'!M462, "0"), ""), "")</f>
        <v/>
      </c>
      <c r="D455" s="8" t="str">
        <f>IF(ISNUMBER('Change in Employment'!G462),'Change in Employment'!G462,"")</f>
        <v/>
      </c>
    </row>
    <row r="456" spans="1:4">
      <c r="A456" t="str">
        <f>TEXT(IF('Change in Employment'!B463&lt;&gt;0,DATE(YEAR('Change in Employment'!B463), MONTH('Change in Employment'!B463), 1), ""), "mm/dd/yyyy")</f>
        <v/>
      </c>
      <c r="B456" t="str">
        <f>IF(ISNUMBER('Change in Employment'!L463),'Change in Employment'!L463, "")</f>
        <v/>
      </c>
      <c r="C456" t="str">
        <f>IFERROR(IF(ISNUMBER('Change in Employment'!M463),TEXT('Change in Employment'!M463, "0"), ""), "")</f>
        <v/>
      </c>
      <c r="D456" s="8" t="str">
        <f>IF(ISNUMBER('Change in Employment'!G463),'Change in Employment'!G463,"")</f>
        <v/>
      </c>
    </row>
    <row r="457" spans="1:4">
      <c r="A457" t="str">
        <f>TEXT(IF('Change in Employment'!B464&lt;&gt;0,DATE(YEAR('Change in Employment'!B464), MONTH('Change in Employment'!B464), 1), ""), "mm/dd/yyyy")</f>
        <v/>
      </c>
      <c r="B457" t="str">
        <f>IF(ISNUMBER('Change in Employment'!L464),'Change in Employment'!L464, "")</f>
        <v/>
      </c>
      <c r="C457" t="str">
        <f>IFERROR(IF(ISNUMBER('Change in Employment'!M464),TEXT('Change in Employment'!M464, "0"), ""), "")</f>
        <v/>
      </c>
      <c r="D457" s="8" t="str">
        <f>IF(ISNUMBER('Change in Employment'!G464),'Change in Employment'!G464,"")</f>
        <v/>
      </c>
    </row>
    <row r="458" spans="1:4">
      <c r="A458" t="str">
        <f>TEXT(IF('Change in Employment'!B465&lt;&gt;0,DATE(YEAR('Change in Employment'!B465), MONTH('Change in Employment'!B465), 1), ""), "mm/dd/yyyy")</f>
        <v/>
      </c>
      <c r="B458" t="str">
        <f>IF(ISNUMBER('Change in Employment'!L465),'Change in Employment'!L465, "")</f>
        <v/>
      </c>
      <c r="C458" t="str">
        <f>IFERROR(IF(ISNUMBER('Change in Employment'!M465),TEXT('Change in Employment'!M465, "0"), ""), "")</f>
        <v/>
      </c>
      <c r="D458" s="8" t="str">
        <f>IF(ISNUMBER('Change in Employment'!G465),'Change in Employment'!G465,"")</f>
        <v/>
      </c>
    </row>
    <row r="459" spans="1:4">
      <c r="A459" t="str">
        <f>TEXT(IF('Change in Employment'!B466&lt;&gt;0,DATE(YEAR('Change in Employment'!B466), MONTH('Change in Employment'!B466), 1), ""), "mm/dd/yyyy")</f>
        <v/>
      </c>
      <c r="B459" t="str">
        <f>IF(ISNUMBER('Change in Employment'!L466),'Change in Employment'!L466, "")</f>
        <v/>
      </c>
      <c r="C459" t="str">
        <f>IFERROR(IF(ISNUMBER('Change in Employment'!M466),TEXT('Change in Employment'!M466, "0"), ""), "")</f>
        <v/>
      </c>
      <c r="D459" s="8" t="str">
        <f>IF(ISNUMBER('Change in Employment'!G466),'Change in Employment'!G466,"")</f>
        <v/>
      </c>
    </row>
    <row r="460" spans="1:4">
      <c r="A460" t="str">
        <f>TEXT(IF('Change in Employment'!B467&lt;&gt;0,DATE(YEAR('Change in Employment'!B467), MONTH('Change in Employment'!B467), 1), ""), "mm/dd/yyyy")</f>
        <v/>
      </c>
      <c r="B460" t="str">
        <f>IF(ISNUMBER('Change in Employment'!L467),'Change in Employment'!L467, "")</f>
        <v/>
      </c>
      <c r="C460" t="str">
        <f>IFERROR(IF(ISNUMBER('Change in Employment'!M467),TEXT('Change in Employment'!M467, "0"), ""), "")</f>
        <v/>
      </c>
      <c r="D460" s="8" t="str">
        <f>IF(ISNUMBER('Change in Employment'!G467),'Change in Employment'!G467,"")</f>
        <v/>
      </c>
    </row>
    <row r="461" spans="1:4">
      <c r="A461" t="str">
        <f>TEXT(IF('Change in Employment'!B468&lt;&gt;0,DATE(YEAR('Change in Employment'!B468), MONTH('Change in Employment'!B468), 1), ""), "mm/dd/yyyy")</f>
        <v/>
      </c>
      <c r="B461" t="str">
        <f>IF(ISNUMBER('Change in Employment'!L468),'Change in Employment'!L468, "")</f>
        <v/>
      </c>
      <c r="C461" t="str">
        <f>IFERROR(IF(ISNUMBER('Change in Employment'!M468),TEXT('Change in Employment'!M468, "0"), ""), "")</f>
        <v/>
      </c>
      <c r="D461" s="8" t="str">
        <f>IF(ISNUMBER('Change in Employment'!G468),'Change in Employment'!G468,"")</f>
        <v/>
      </c>
    </row>
    <row r="462" spans="1:4">
      <c r="A462" t="str">
        <f>TEXT(IF('Change in Employment'!B469&lt;&gt;0,DATE(YEAR('Change in Employment'!B469), MONTH('Change in Employment'!B469), 1), ""), "mm/dd/yyyy")</f>
        <v/>
      </c>
      <c r="B462" t="str">
        <f>IF(ISNUMBER('Change in Employment'!L469),'Change in Employment'!L469, "")</f>
        <v/>
      </c>
      <c r="C462" t="str">
        <f>IFERROR(IF(ISNUMBER('Change in Employment'!M469),TEXT('Change in Employment'!M469, "0"), ""), "")</f>
        <v/>
      </c>
      <c r="D462" s="8" t="str">
        <f>IF(ISNUMBER('Change in Employment'!G469),'Change in Employment'!G469,"")</f>
        <v/>
      </c>
    </row>
    <row r="463" spans="1:4">
      <c r="A463" t="str">
        <f>TEXT(IF('Change in Employment'!B470&lt;&gt;0,DATE(YEAR('Change in Employment'!B470), MONTH('Change in Employment'!B470), 1), ""), "mm/dd/yyyy")</f>
        <v/>
      </c>
      <c r="B463" t="str">
        <f>IF(ISNUMBER('Change in Employment'!L470),'Change in Employment'!L470, "")</f>
        <v/>
      </c>
      <c r="C463" t="str">
        <f>IFERROR(IF(ISNUMBER('Change in Employment'!M470),TEXT('Change in Employment'!M470, "0"), ""), "")</f>
        <v/>
      </c>
      <c r="D463" s="8" t="str">
        <f>IF(ISNUMBER('Change in Employment'!G470),'Change in Employment'!G470,"")</f>
        <v/>
      </c>
    </row>
    <row r="464" spans="1:4">
      <c r="A464" t="str">
        <f>TEXT(IF('Change in Employment'!B471&lt;&gt;0,DATE(YEAR('Change in Employment'!B471), MONTH('Change in Employment'!B471), 1), ""), "mm/dd/yyyy")</f>
        <v/>
      </c>
      <c r="B464" t="str">
        <f>IF(ISNUMBER('Change in Employment'!L471),'Change in Employment'!L471, "")</f>
        <v/>
      </c>
      <c r="C464" t="str">
        <f>IFERROR(IF(ISNUMBER('Change in Employment'!M471),TEXT('Change in Employment'!M471, "0"), ""), "")</f>
        <v/>
      </c>
      <c r="D464" s="8" t="str">
        <f>IF(ISNUMBER('Change in Employment'!G471),'Change in Employment'!G471,"")</f>
        <v/>
      </c>
    </row>
    <row r="465" spans="1:4">
      <c r="A465" t="str">
        <f>TEXT(IF('Change in Employment'!B472&lt;&gt;0,DATE(YEAR('Change in Employment'!B472), MONTH('Change in Employment'!B472), 1), ""), "mm/dd/yyyy")</f>
        <v/>
      </c>
      <c r="B465" t="str">
        <f>IF(ISNUMBER('Change in Employment'!L472),'Change in Employment'!L472, "")</f>
        <v/>
      </c>
      <c r="C465" t="str">
        <f>IFERROR(IF(ISNUMBER('Change in Employment'!M472),TEXT('Change in Employment'!M472, "0"), ""), "")</f>
        <v/>
      </c>
      <c r="D465" s="8" t="str">
        <f>IF(ISNUMBER('Change in Employment'!G472),'Change in Employment'!G472,"")</f>
        <v/>
      </c>
    </row>
    <row r="466" spans="1:4">
      <c r="A466" t="str">
        <f>TEXT(IF('Change in Employment'!B473&lt;&gt;0,DATE(YEAR('Change in Employment'!B473), MONTH('Change in Employment'!B473), 1), ""), "mm/dd/yyyy")</f>
        <v/>
      </c>
      <c r="B466" t="str">
        <f>IF(ISNUMBER('Change in Employment'!L473),'Change in Employment'!L473, "")</f>
        <v/>
      </c>
      <c r="C466" t="str">
        <f>IFERROR(IF(ISNUMBER('Change in Employment'!M473),TEXT('Change in Employment'!M473, "0"), ""), "")</f>
        <v/>
      </c>
      <c r="D466" s="8" t="str">
        <f>IF(ISNUMBER('Change in Employment'!G473),'Change in Employment'!G473,"")</f>
        <v/>
      </c>
    </row>
    <row r="467" spans="1:4">
      <c r="A467" t="str">
        <f>TEXT(IF('Change in Employment'!B474&lt;&gt;0,DATE(YEAR('Change in Employment'!B474), MONTH('Change in Employment'!B474), 1), ""), "mm/dd/yyyy")</f>
        <v/>
      </c>
      <c r="B467" t="str">
        <f>IF(ISNUMBER('Change in Employment'!L474),'Change in Employment'!L474, "")</f>
        <v/>
      </c>
      <c r="C467" t="str">
        <f>IFERROR(IF(ISNUMBER('Change in Employment'!M474),TEXT('Change in Employment'!M474, "0"), ""), "")</f>
        <v/>
      </c>
      <c r="D467" s="8" t="str">
        <f>IF(ISNUMBER('Change in Employment'!G474),'Change in Employment'!G474,"")</f>
        <v/>
      </c>
    </row>
    <row r="468" spans="1:4">
      <c r="A468" t="str">
        <f>TEXT(IF('Change in Employment'!B475&lt;&gt;0,DATE(YEAR('Change in Employment'!B475), MONTH('Change in Employment'!B475), 1), ""), "mm/dd/yyyy")</f>
        <v/>
      </c>
      <c r="B468" t="str">
        <f>IF(ISNUMBER('Change in Employment'!L475),'Change in Employment'!L475, "")</f>
        <v/>
      </c>
      <c r="C468" t="str">
        <f>IFERROR(IF(ISNUMBER('Change in Employment'!M475),TEXT('Change in Employment'!M475, "0"), ""), "")</f>
        <v/>
      </c>
      <c r="D468" s="8" t="str">
        <f>IF(ISNUMBER('Change in Employment'!G475),'Change in Employment'!G475,"")</f>
        <v/>
      </c>
    </row>
    <row r="469" spans="1:4">
      <c r="A469" t="str">
        <f>TEXT(IF('Change in Employment'!B476&lt;&gt;0,DATE(YEAR('Change in Employment'!B476), MONTH('Change in Employment'!B476), 1), ""), "mm/dd/yyyy")</f>
        <v/>
      </c>
      <c r="B469" t="str">
        <f>IF(ISNUMBER('Change in Employment'!L476),'Change in Employment'!L476, "")</f>
        <v/>
      </c>
      <c r="C469" t="str">
        <f>IFERROR(IF(ISNUMBER('Change in Employment'!M476),TEXT('Change in Employment'!M476, "0"), ""), "")</f>
        <v/>
      </c>
      <c r="D469" s="8" t="str">
        <f>IF(ISNUMBER('Change in Employment'!G476),'Change in Employment'!G476,"")</f>
        <v/>
      </c>
    </row>
    <row r="470" spans="1:4">
      <c r="A470" t="str">
        <f>TEXT(IF('Change in Employment'!B477&lt;&gt;0,DATE(YEAR('Change in Employment'!B477), MONTH('Change in Employment'!B477), 1), ""), "mm/dd/yyyy")</f>
        <v/>
      </c>
      <c r="B470" t="str">
        <f>IF(ISNUMBER('Change in Employment'!L477),'Change in Employment'!L477, "")</f>
        <v/>
      </c>
      <c r="C470" t="str">
        <f>IFERROR(IF(ISNUMBER('Change in Employment'!M477),TEXT('Change in Employment'!M477, "0"), ""), "")</f>
        <v/>
      </c>
      <c r="D470" s="8" t="str">
        <f>IF(ISNUMBER('Change in Employment'!G477),'Change in Employment'!G477,"")</f>
        <v/>
      </c>
    </row>
    <row r="471" spans="1:4">
      <c r="A471" t="str">
        <f>TEXT(IF('Change in Employment'!B478&lt;&gt;0,DATE(YEAR('Change in Employment'!B478), MONTH('Change in Employment'!B478), 1), ""), "mm/dd/yyyy")</f>
        <v/>
      </c>
      <c r="B471" t="str">
        <f>IF(ISNUMBER('Change in Employment'!L478),'Change in Employment'!L478, "")</f>
        <v/>
      </c>
      <c r="C471" t="str">
        <f>IFERROR(IF(ISNUMBER('Change in Employment'!M478),TEXT('Change in Employment'!M478, "0"), ""), "")</f>
        <v/>
      </c>
      <c r="D471" s="8" t="str">
        <f>IF(ISNUMBER('Change in Employment'!G478),'Change in Employment'!G478,"")</f>
        <v/>
      </c>
    </row>
    <row r="472" spans="1:4">
      <c r="A472" t="str">
        <f>TEXT(IF('Change in Employment'!B479&lt;&gt;0,DATE(YEAR('Change in Employment'!B479), MONTH('Change in Employment'!B479), 1), ""), "mm/dd/yyyy")</f>
        <v/>
      </c>
      <c r="B472" t="str">
        <f>IF(ISNUMBER('Change in Employment'!L479),'Change in Employment'!L479, "")</f>
        <v/>
      </c>
      <c r="C472" t="str">
        <f>IFERROR(IF(ISNUMBER('Change in Employment'!M479),TEXT('Change in Employment'!M479, "0"), ""), "")</f>
        <v/>
      </c>
      <c r="D472" s="8" t="str">
        <f>IF(ISNUMBER('Change in Employment'!G479),'Change in Employment'!G479,"")</f>
        <v/>
      </c>
    </row>
    <row r="473" spans="1:4">
      <c r="A473" t="str">
        <f>TEXT(IF('Change in Employment'!B480&lt;&gt;0,DATE(YEAR('Change in Employment'!B480), MONTH('Change in Employment'!B480), 1), ""), "mm/dd/yyyy")</f>
        <v/>
      </c>
      <c r="B473" t="str">
        <f>IF(ISNUMBER('Change in Employment'!L480),'Change in Employment'!L480, "")</f>
        <v/>
      </c>
      <c r="C473" t="str">
        <f>IFERROR(IF(ISNUMBER('Change in Employment'!M480),TEXT('Change in Employment'!M480, "0"), ""), "")</f>
        <v/>
      </c>
      <c r="D473" s="8" t="str">
        <f>IF(ISNUMBER('Change in Employment'!G480),'Change in Employment'!G480,"")</f>
        <v/>
      </c>
    </row>
    <row r="474" spans="1:4">
      <c r="A474" t="str">
        <f>TEXT(IF('Change in Employment'!B481&lt;&gt;0,DATE(YEAR('Change in Employment'!B481), MONTH('Change in Employment'!B481), 1), ""), "mm/dd/yyyy")</f>
        <v/>
      </c>
      <c r="B474" t="str">
        <f>IF(ISNUMBER('Change in Employment'!L481),'Change in Employment'!L481, "")</f>
        <v/>
      </c>
      <c r="C474" t="str">
        <f>IFERROR(IF(ISNUMBER('Change in Employment'!M481),TEXT('Change in Employment'!M481, "0"), ""), "")</f>
        <v/>
      </c>
      <c r="D474" s="8" t="str">
        <f>IF(ISNUMBER('Change in Employment'!G481),'Change in Employment'!G481,"")</f>
        <v/>
      </c>
    </row>
    <row r="475" spans="1:4">
      <c r="A475" t="str">
        <f>TEXT(IF('Change in Employment'!B482&lt;&gt;0,DATE(YEAR('Change in Employment'!B482), MONTH('Change in Employment'!B482), 1), ""), "mm/dd/yyyy")</f>
        <v/>
      </c>
      <c r="B475" t="str">
        <f>IF(ISNUMBER('Change in Employment'!L482),'Change in Employment'!L482, "")</f>
        <v/>
      </c>
      <c r="C475" t="str">
        <f>IFERROR(IF(ISNUMBER('Change in Employment'!M482),TEXT('Change in Employment'!M482, "0"), ""), "")</f>
        <v/>
      </c>
      <c r="D475" s="8" t="str">
        <f>IF(ISNUMBER('Change in Employment'!G482),'Change in Employment'!G482,"")</f>
        <v/>
      </c>
    </row>
    <row r="476" spans="1:4">
      <c r="A476" t="str">
        <f>TEXT(IF('Change in Employment'!B483&lt;&gt;0,DATE(YEAR('Change in Employment'!B483), MONTH('Change in Employment'!B483), 1), ""), "mm/dd/yyyy")</f>
        <v/>
      </c>
      <c r="B476" t="str">
        <f>IF(ISNUMBER('Change in Employment'!L483),'Change in Employment'!L483, "")</f>
        <v/>
      </c>
      <c r="C476" t="str">
        <f>IFERROR(IF(ISNUMBER('Change in Employment'!M483),TEXT('Change in Employment'!M483, "0"), ""), "")</f>
        <v/>
      </c>
      <c r="D476" s="8" t="str">
        <f>IF(ISNUMBER('Change in Employment'!G483),'Change in Employment'!G483,"")</f>
        <v/>
      </c>
    </row>
    <row r="477" spans="1:4">
      <c r="A477" t="str">
        <f>TEXT(IF('Change in Employment'!B484&lt;&gt;0,DATE(YEAR('Change in Employment'!B484), MONTH('Change in Employment'!B484), 1), ""), "mm/dd/yyyy")</f>
        <v/>
      </c>
      <c r="B477" t="str">
        <f>IF(ISNUMBER('Change in Employment'!L484),'Change in Employment'!L484, "")</f>
        <v/>
      </c>
      <c r="C477" t="str">
        <f>IFERROR(IF(ISNUMBER('Change in Employment'!M484),TEXT('Change in Employment'!M484, "0"), ""), "")</f>
        <v/>
      </c>
      <c r="D477" s="8" t="str">
        <f>IF(ISNUMBER('Change in Employment'!G484),'Change in Employment'!G484,"")</f>
        <v/>
      </c>
    </row>
    <row r="478" spans="1:4">
      <c r="A478" t="str">
        <f>TEXT(IF('Change in Employment'!B485&lt;&gt;0,DATE(YEAR('Change in Employment'!B485), MONTH('Change in Employment'!B485), 1), ""), "mm/dd/yyyy")</f>
        <v/>
      </c>
      <c r="B478" t="str">
        <f>IF(ISNUMBER('Change in Employment'!L485),'Change in Employment'!L485, "")</f>
        <v/>
      </c>
      <c r="C478" t="str">
        <f>IFERROR(IF(ISNUMBER('Change in Employment'!M485),TEXT('Change in Employment'!M485, "0"), ""), "")</f>
        <v/>
      </c>
      <c r="D478" s="8" t="str">
        <f>IF(ISNUMBER('Change in Employment'!G485),'Change in Employment'!G485,"")</f>
        <v/>
      </c>
    </row>
    <row r="479" spans="1:4">
      <c r="A479" t="str">
        <f>TEXT(IF('Change in Employment'!B486&lt;&gt;0,DATE(YEAR('Change in Employment'!B486), MONTH('Change in Employment'!B486), 1), ""), "mm/dd/yyyy")</f>
        <v/>
      </c>
      <c r="B479" t="str">
        <f>IF(ISNUMBER('Change in Employment'!L486),'Change in Employment'!L486, "")</f>
        <v/>
      </c>
      <c r="C479" t="str">
        <f>IFERROR(IF(ISNUMBER('Change in Employment'!M486),TEXT('Change in Employment'!M486, "0"), ""), "")</f>
        <v/>
      </c>
      <c r="D479" s="8" t="str">
        <f>IF(ISNUMBER('Change in Employment'!G486),'Change in Employment'!G486,"")</f>
        <v/>
      </c>
    </row>
    <row r="480" spans="1:4">
      <c r="A480" t="str">
        <f>TEXT(IF('Change in Employment'!B487&lt;&gt;0,DATE(YEAR('Change in Employment'!B487), MONTH('Change in Employment'!B487), 1), ""), "mm/dd/yyyy")</f>
        <v/>
      </c>
      <c r="B480" t="str">
        <f>IF(ISNUMBER('Change in Employment'!L487),'Change in Employment'!L487, "")</f>
        <v/>
      </c>
      <c r="C480" t="str">
        <f>IFERROR(IF(ISNUMBER('Change in Employment'!M487),TEXT('Change in Employment'!M487, "0"), ""), "")</f>
        <v/>
      </c>
      <c r="D480" s="8" t="str">
        <f>IF(ISNUMBER('Change in Employment'!G487),'Change in Employment'!G487,"")</f>
        <v/>
      </c>
    </row>
    <row r="481" spans="1:4">
      <c r="A481" t="str">
        <f>TEXT(IF('Change in Employment'!B488&lt;&gt;0,DATE(YEAR('Change in Employment'!B488), MONTH('Change in Employment'!B488), 1), ""), "mm/dd/yyyy")</f>
        <v/>
      </c>
      <c r="B481" t="str">
        <f>IF(ISNUMBER('Change in Employment'!L488),'Change in Employment'!L488, "")</f>
        <v/>
      </c>
      <c r="C481" t="str">
        <f>IFERROR(IF(ISNUMBER('Change in Employment'!M488),TEXT('Change in Employment'!M488, "0"), ""), "")</f>
        <v/>
      </c>
      <c r="D481" s="8" t="str">
        <f>IF(ISNUMBER('Change in Employment'!G488),'Change in Employment'!G488,"")</f>
        <v/>
      </c>
    </row>
    <row r="482" spans="1:4">
      <c r="A482" t="str">
        <f>TEXT(IF('Change in Employment'!B489&lt;&gt;0,DATE(YEAR('Change in Employment'!B489), MONTH('Change in Employment'!B489), 1), ""), "mm/dd/yyyy")</f>
        <v/>
      </c>
      <c r="B482" t="str">
        <f>IF(ISNUMBER('Change in Employment'!L489),'Change in Employment'!L489, "")</f>
        <v/>
      </c>
      <c r="C482" t="str">
        <f>IFERROR(IF(ISNUMBER('Change in Employment'!M489),TEXT('Change in Employment'!M489, "0"), ""), "")</f>
        <v/>
      </c>
      <c r="D482" s="8" t="str">
        <f>IF(ISNUMBER('Change in Employment'!G489),'Change in Employment'!G489,"")</f>
        <v/>
      </c>
    </row>
    <row r="483" spans="1:4">
      <c r="A483" t="str">
        <f>TEXT(IF('Change in Employment'!B490&lt;&gt;0,DATE(YEAR('Change in Employment'!B490), MONTH('Change in Employment'!B490), 1), ""), "mm/dd/yyyy")</f>
        <v/>
      </c>
      <c r="B483" t="str">
        <f>IF(ISNUMBER('Change in Employment'!L490),'Change in Employment'!L490, "")</f>
        <v/>
      </c>
      <c r="C483" t="str">
        <f>IFERROR(IF(ISNUMBER('Change in Employment'!M490),TEXT('Change in Employment'!M490, "0"), ""), "")</f>
        <v/>
      </c>
      <c r="D483" s="8" t="str">
        <f>IF(ISNUMBER('Change in Employment'!G490),'Change in Employment'!G490,"")</f>
        <v/>
      </c>
    </row>
    <row r="484" spans="1:4">
      <c r="A484" t="str">
        <f>TEXT(IF('Change in Employment'!B491&lt;&gt;0,DATE(YEAR('Change in Employment'!B491), MONTH('Change in Employment'!B491), 1), ""), "mm/dd/yyyy")</f>
        <v/>
      </c>
      <c r="B484" t="str">
        <f>IF(ISNUMBER('Change in Employment'!L491),'Change in Employment'!L491, "")</f>
        <v/>
      </c>
      <c r="C484" t="str">
        <f>IFERROR(IF(ISNUMBER('Change in Employment'!M491),TEXT('Change in Employment'!M491, "0"), ""), "")</f>
        <v/>
      </c>
      <c r="D484" s="8" t="str">
        <f>IF(ISNUMBER('Change in Employment'!G491),'Change in Employment'!G491,"")</f>
        <v/>
      </c>
    </row>
    <row r="485" spans="1:4">
      <c r="A485" t="str">
        <f>TEXT(IF('Change in Employment'!B492&lt;&gt;0,DATE(YEAR('Change in Employment'!B492), MONTH('Change in Employment'!B492), 1), ""), "mm/dd/yyyy")</f>
        <v/>
      </c>
      <c r="B485" t="str">
        <f>IF(ISNUMBER('Change in Employment'!L492),'Change in Employment'!L492, "")</f>
        <v/>
      </c>
      <c r="C485" t="str">
        <f>IFERROR(IF(ISNUMBER('Change in Employment'!M492),TEXT('Change in Employment'!M492, "0"), ""), "")</f>
        <v/>
      </c>
      <c r="D485" s="8" t="str">
        <f>IF(ISNUMBER('Change in Employment'!G492),'Change in Employment'!G492,"")</f>
        <v/>
      </c>
    </row>
    <row r="486" spans="1:4">
      <c r="A486" t="str">
        <f>TEXT(IF('Change in Employment'!B493&lt;&gt;0,DATE(YEAR('Change in Employment'!B493), MONTH('Change in Employment'!B493), 1), ""), "mm/dd/yyyy")</f>
        <v/>
      </c>
      <c r="B486" t="str">
        <f>IF(ISNUMBER('Change in Employment'!L493),'Change in Employment'!L493, "")</f>
        <v/>
      </c>
      <c r="C486" t="str">
        <f>IFERROR(IF(ISNUMBER('Change in Employment'!M493),TEXT('Change in Employment'!M493, "0"), ""), "")</f>
        <v/>
      </c>
      <c r="D486" s="8" t="str">
        <f>IF(ISNUMBER('Change in Employment'!G493),'Change in Employment'!G493,"")</f>
        <v/>
      </c>
    </row>
    <row r="487" spans="1:4">
      <c r="A487" t="str">
        <f>TEXT(IF('Change in Employment'!B494&lt;&gt;0,DATE(YEAR('Change in Employment'!B494), MONTH('Change in Employment'!B494), 1), ""), "mm/dd/yyyy")</f>
        <v/>
      </c>
      <c r="B487" t="str">
        <f>IF(ISNUMBER('Change in Employment'!L494),'Change in Employment'!L494, "")</f>
        <v/>
      </c>
      <c r="C487" t="str">
        <f>IFERROR(IF(ISNUMBER('Change in Employment'!M494),TEXT('Change in Employment'!M494, "0"), ""), "")</f>
        <v/>
      </c>
      <c r="D487" s="8" t="str">
        <f>IF(ISNUMBER('Change in Employment'!G494),'Change in Employment'!G494,"")</f>
        <v/>
      </c>
    </row>
    <row r="488" spans="1:4">
      <c r="A488" t="str">
        <f>TEXT(IF('Change in Employment'!B495&lt;&gt;0,DATE(YEAR('Change in Employment'!B495), MONTH('Change in Employment'!B495), 1), ""), "mm/dd/yyyy")</f>
        <v/>
      </c>
      <c r="B488" t="str">
        <f>IF(ISNUMBER('Change in Employment'!L495),'Change in Employment'!L495, "")</f>
        <v/>
      </c>
      <c r="C488" t="str">
        <f>IFERROR(IF(ISNUMBER('Change in Employment'!M495),TEXT('Change in Employment'!M495, "0"), ""), "")</f>
        <v/>
      </c>
      <c r="D488" s="8" t="str">
        <f>IF(ISNUMBER('Change in Employment'!G495),'Change in Employment'!G495,"")</f>
        <v/>
      </c>
    </row>
    <row r="489" spans="1:4">
      <c r="A489" t="str">
        <f>TEXT(IF('Change in Employment'!B496&lt;&gt;0,DATE(YEAR('Change in Employment'!B496), MONTH('Change in Employment'!B496), 1), ""), "mm/dd/yyyy")</f>
        <v/>
      </c>
      <c r="B489" t="str">
        <f>IF(ISNUMBER('Change in Employment'!L496),'Change in Employment'!L496, "")</f>
        <v/>
      </c>
      <c r="C489" t="str">
        <f>IFERROR(IF(ISNUMBER('Change in Employment'!M496),TEXT('Change in Employment'!M496, "0"), ""), "")</f>
        <v/>
      </c>
      <c r="D489" s="8" t="str">
        <f>IF(ISNUMBER('Change in Employment'!G496),'Change in Employment'!G496,"")</f>
        <v/>
      </c>
    </row>
    <row r="490" spans="1:4">
      <c r="A490" t="str">
        <f>TEXT(IF('Change in Employment'!B497&lt;&gt;0,DATE(YEAR('Change in Employment'!B497), MONTH('Change in Employment'!B497), 1), ""), "mm/dd/yyyy")</f>
        <v/>
      </c>
      <c r="B490" t="str">
        <f>IF(ISNUMBER('Change in Employment'!L497),'Change in Employment'!L497, "")</f>
        <v/>
      </c>
      <c r="C490" t="str">
        <f>IFERROR(IF(ISNUMBER('Change in Employment'!M497),TEXT('Change in Employment'!M497, "0"), ""), "")</f>
        <v/>
      </c>
      <c r="D490" s="8" t="str">
        <f>IF(ISNUMBER('Change in Employment'!G497),'Change in Employment'!G497,"")</f>
        <v/>
      </c>
    </row>
    <row r="491" spans="1:4">
      <c r="A491" t="str">
        <f>TEXT(IF('Change in Employment'!B498&lt;&gt;0,DATE(YEAR('Change in Employment'!B498), MONTH('Change in Employment'!B498), 1), ""), "mm/dd/yyyy")</f>
        <v/>
      </c>
      <c r="B491" t="str">
        <f>IF(ISNUMBER('Change in Employment'!L498),'Change in Employment'!L498, "")</f>
        <v/>
      </c>
      <c r="C491" t="str">
        <f>IFERROR(IF(ISNUMBER('Change in Employment'!M498),TEXT('Change in Employment'!M498, "0"), ""), "")</f>
        <v/>
      </c>
      <c r="D491" s="8" t="str">
        <f>IF(ISNUMBER('Change in Employment'!G498),'Change in Employment'!G498,"")</f>
        <v/>
      </c>
    </row>
    <row r="492" spans="1:4">
      <c r="A492" t="str">
        <f>TEXT(IF('Change in Employment'!B499&lt;&gt;0,DATE(YEAR('Change in Employment'!B499), MONTH('Change in Employment'!B499), 1), ""), "mm/dd/yyyy")</f>
        <v/>
      </c>
      <c r="B492" t="str">
        <f>IF(ISNUMBER('Change in Employment'!L499),'Change in Employment'!L499, "")</f>
        <v/>
      </c>
      <c r="C492" t="str">
        <f>IFERROR(IF(ISNUMBER('Change in Employment'!M499),TEXT('Change in Employment'!M499, "0"), ""), "")</f>
        <v/>
      </c>
      <c r="D492" s="8" t="str">
        <f>IF(ISNUMBER('Change in Employment'!G499),'Change in Employment'!G499,"")</f>
        <v/>
      </c>
    </row>
    <row r="493" spans="1:4">
      <c r="A493" t="str">
        <f>TEXT(IF('Change in Employment'!B500&lt;&gt;0,DATE(YEAR('Change in Employment'!B500), MONTH('Change in Employment'!B500), 1), ""), "mm/dd/yyyy")</f>
        <v/>
      </c>
      <c r="B493" t="str">
        <f>IF(ISNUMBER('Change in Employment'!L500),'Change in Employment'!L500, "")</f>
        <v/>
      </c>
      <c r="C493" t="str">
        <f>IFERROR(IF(ISNUMBER('Change in Employment'!M500),TEXT('Change in Employment'!M500, "0"), ""), "")</f>
        <v/>
      </c>
      <c r="D493" s="8" t="str">
        <f>IF(ISNUMBER('Change in Employment'!G500),'Change in Employment'!G500,"")</f>
        <v/>
      </c>
    </row>
    <row r="494" spans="1:4">
      <c r="A494" t="str">
        <f>TEXT(IF('Change in Employment'!B501&lt;&gt;0,DATE(YEAR('Change in Employment'!B501), MONTH('Change in Employment'!B501), 1), ""), "mm/dd/yyyy")</f>
        <v/>
      </c>
      <c r="B494" t="str">
        <f>IF(ISNUMBER('Change in Employment'!L501),'Change in Employment'!L501, "")</f>
        <v/>
      </c>
      <c r="C494" t="str">
        <f>IFERROR(IF(ISNUMBER('Change in Employment'!M501),TEXT('Change in Employment'!M501, "0"), ""), "")</f>
        <v/>
      </c>
      <c r="D494" s="8" t="str">
        <f>IF(ISNUMBER('Change in Employment'!G501),'Change in Employment'!G501,"")</f>
        <v/>
      </c>
    </row>
    <row r="495" spans="1:4">
      <c r="A495" t="str">
        <f>TEXT(IF('Change in Employment'!B502&lt;&gt;0,DATE(YEAR('Change in Employment'!B502), MONTH('Change in Employment'!B502), 1), ""), "mm/dd/yyyy")</f>
        <v/>
      </c>
      <c r="B495" t="str">
        <f>IF(ISNUMBER('Change in Employment'!L502),'Change in Employment'!L502, "")</f>
        <v/>
      </c>
      <c r="C495" t="str">
        <f>IFERROR(IF(ISNUMBER('Change in Employment'!M502),TEXT('Change in Employment'!M502, "0"), ""), "")</f>
        <v/>
      </c>
      <c r="D495" s="8" t="str">
        <f>IF(ISNUMBER('Change in Employment'!G502),'Change in Employment'!G502,"")</f>
        <v/>
      </c>
    </row>
    <row r="496" spans="1:4">
      <c r="A496" t="str">
        <f>TEXT(IF('Change in Employment'!B503&lt;&gt;0,DATE(YEAR('Change in Employment'!B503), MONTH('Change in Employment'!B503), 1), ""), "mm/dd/yyyy")</f>
        <v/>
      </c>
      <c r="B496" t="str">
        <f>IF(ISNUMBER('Change in Employment'!L503),'Change in Employment'!L503, "")</f>
        <v/>
      </c>
      <c r="C496" t="str">
        <f>IFERROR(IF(ISNUMBER('Change in Employment'!M503),TEXT('Change in Employment'!M503, "0"), ""), "")</f>
        <v/>
      </c>
      <c r="D496" s="8" t="str">
        <f>IF(ISNUMBER('Change in Employment'!G503),'Change in Employment'!G503,"")</f>
        <v/>
      </c>
    </row>
    <row r="497" spans="1:4">
      <c r="A497" t="str">
        <f>TEXT(IF('Change in Employment'!B504&lt;&gt;0,DATE(YEAR('Change in Employment'!B504), MONTH('Change in Employment'!B504), 1), ""), "mm/dd/yyyy")</f>
        <v/>
      </c>
      <c r="B497" t="str">
        <f>IF(ISNUMBER('Change in Employment'!L504),'Change in Employment'!L504, "")</f>
        <v/>
      </c>
      <c r="C497" t="str">
        <f>IFERROR(IF(ISNUMBER('Change in Employment'!M504),TEXT('Change in Employment'!M504, "0"), ""), "")</f>
        <v/>
      </c>
      <c r="D497" s="8" t="str">
        <f>IF(ISNUMBER('Change in Employment'!G504),'Change in Employment'!G504,"")</f>
        <v/>
      </c>
    </row>
    <row r="498" spans="1:4">
      <c r="A498" t="str">
        <f>TEXT(IF('Change in Employment'!B505&lt;&gt;0,DATE(YEAR('Change in Employment'!B505), MONTH('Change in Employment'!B505), 1), ""), "mm/dd/yyyy")</f>
        <v/>
      </c>
      <c r="B498" t="str">
        <f>IF(ISNUMBER('Change in Employment'!L505),'Change in Employment'!L505, "")</f>
        <v/>
      </c>
      <c r="C498" t="str">
        <f>IFERROR(IF(ISNUMBER('Change in Employment'!M505),TEXT('Change in Employment'!M505, "0"), ""), "")</f>
        <v/>
      </c>
      <c r="D498" s="8" t="str">
        <f>IF(ISNUMBER('Change in Employment'!G505),'Change in Employment'!G505,"")</f>
        <v/>
      </c>
    </row>
    <row r="499" spans="1:4">
      <c r="A499" t="str">
        <f>TEXT(IF('Change in Employment'!B506&lt;&gt;0,DATE(YEAR('Change in Employment'!B506), MONTH('Change in Employment'!B506), 1), ""), "mm/dd/yyyy")</f>
        <v/>
      </c>
      <c r="B499" t="str">
        <f>IF(ISNUMBER('Change in Employment'!L506),'Change in Employment'!L506, "")</f>
        <v/>
      </c>
      <c r="C499" t="str">
        <f>IFERROR(IF(ISNUMBER('Change in Employment'!M506),TEXT('Change in Employment'!M506, "0"), ""), "")</f>
        <v/>
      </c>
      <c r="D499" s="8" t="str">
        <f>IF(ISNUMBER('Change in Employment'!G506),'Change in Employment'!G506,"")</f>
        <v/>
      </c>
    </row>
    <row r="500" spans="1:4">
      <c r="A500" t="str">
        <f>TEXT(IF('Change in Employment'!B507&lt;&gt;0,DATE(YEAR('Change in Employment'!B507), MONTH('Change in Employment'!B507), 1), ""), "mm/dd/yyyy")</f>
        <v/>
      </c>
      <c r="B500" t="str">
        <f>IF(ISNUMBER('Change in Employment'!L507),'Change in Employment'!L507, "")</f>
        <v/>
      </c>
      <c r="C500" t="str">
        <f>IFERROR(IF(ISNUMBER('Change in Employment'!M507),TEXT('Change in Employment'!M507, "0"), ""), "")</f>
        <v/>
      </c>
      <c r="D500" s="8" t="str">
        <f>IF(ISNUMBER('Change in Employment'!G507),'Change in Employment'!G507,"")</f>
        <v/>
      </c>
    </row>
    <row r="501" spans="1:4">
      <c r="A501" t="str">
        <f>TEXT(IF('Change in Employment'!B508&lt;&gt;0,DATE(YEAR('Change in Employment'!B508), MONTH('Change in Employment'!B508), 1), ""), "mm/dd/yyyy")</f>
        <v/>
      </c>
      <c r="B501" t="str">
        <f>IF(ISNUMBER('Change in Employment'!L508),'Change in Employment'!L508, "")</f>
        <v/>
      </c>
      <c r="C501" t="str">
        <f>IFERROR(IF(ISNUMBER('Change in Employment'!M508),TEXT('Change in Employment'!M508, "0"), ""), "")</f>
        <v/>
      </c>
      <c r="D501" s="8" t="str">
        <f>IF(ISNUMBER('Change in Employment'!G508),'Change in Employment'!G508,"")</f>
        <v/>
      </c>
    </row>
    <row r="502" spans="1:4">
      <c r="A502" t="str">
        <f>TEXT(IF('Change in Employment'!B509&lt;&gt;0,DATE(YEAR('Change in Employment'!B509), MONTH('Change in Employment'!B509), 1), ""), "mm/dd/yyyy")</f>
        <v/>
      </c>
      <c r="B502" t="str">
        <f>IF(ISNUMBER('Change in Employment'!L509),'Change in Employment'!L509, "")</f>
        <v/>
      </c>
      <c r="C502" t="str">
        <f>IFERROR(IF(ISNUMBER('Change in Employment'!M509),TEXT('Change in Employment'!M509, "0"), ""), "")</f>
        <v/>
      </c>
      <c r="D502" s="8" t="str">
        <f>IF(ISNUMBER('Change in Employment'!G509),'Change in Employment'!G509,"")</f>
        <v/>
      </c>
    </row>
    <row r="503" spans="1:4">
      <c r="A503" t="str">
        <f>TEXT(IF('Change in Employment'!B510&lt;&gt;0,DATE(YEAR('Change in Employment'!B510), MONTH('Change in Employment'!B510), 1), ""), "mm/dd/yyyy")</f>
        <v/>
      </c>
      <c r="B503" t="str">
        <f>IF(ISNUMBER('Change in Employment'!L510),'Change in Employment'!L510, "")</f>
        <v/>
      </c>
      <c r="C503" t="str">
        <f>IFERROR(IF(ISNUMBER('Change in Employment'!M510),TEXT('Change in Employment'!M510, "0"), ""), "")</f>
        <v/>
      </c>
      <c r="D503" s="8" t="str">
        <f>IF(ISNUMBER('Change in Employment'!G510),'Change in Employment'!G510,"")</f>
        <v/>
      </c>
    </row>
    <row r="504" spans="1:4">
      <c r="A504" t="str">
        <f>TEXT(IF('Change in Employment'!B511&lt;&gt;0,DATE(YEAR('Change in Employment'!B511), MONTH('Change in Employment'!B511), 1), ""), "mm/dd/yyyy")</f>
        <v/>
      </c>
      <c r="B504" t="str">
        <f>IF(ISNUMBER('Change in Employment'!L511),'Change in Employment'!L511, "")</f>
        <v/>
      </c>
      <c r="C504" t="str">
        <f>IFERROR(IF(ISNUMBER('Change in Employment'!M511),TEXT('Change in Employment'!M511, "0"), ""), "")</f>
        <v/>
      </c>
      <c r="D504" s="8" t="str">
        <f>IF(ISNUMBER('Change in Employment'!G511),'Change in Employment'!G511,"")</f>
        <v/>
      </c>
    </row>
    <row r="505" spans="1:4">
      <c r="A505" t="str">
        <f>TEXT(IF('Change in Employment'!B512&lt;&gt;0,DATE(YEAR('Change in Employment'!B512), MONTH('Change in Employment'!B512), 1), ""), "mm/dd/yyyy")</f>
        <v/>
      </c>
      <c r="B505" t="str">
        <f>IF(ISNUMBER('Change in Employment'!L512),'Change in Employment'!L512, "")</f>
        <v/>
      </c>
      <c r="C505" t="str">
        <f>IFERROR(IF(ISNUMBER('Change in Employment'!M512),TEXT('Change in Employment'!M512, "0"), ""), "")</f>
        <v/>
      </c>
      <c r="D505" s="8" t="str">
        <f>IF(ISNUMBER('Change in Employment'!G512),'Change in Employment'!G512,"")</f>
        <v/>
      </c>
    </row>
    <row r="506" spans="1:4">
      <c r="A506" t="str">
        <f>TEXT(IF('Change in Employment'!B513&lt;&gt;0,DATE(YEAR('Change in Employment'!B513), MONTH('Change in Employment'!B513), 1), ""), "mm/dd/yyyy")</f>
        <v/>
      </c>
      <c r="B506" t="str">
        <f>IF(ISNUMBER('Change in Employment'!L513),'Change in Employment'!L513, "")</f>
        <v/>
      </c>
      <c r="C506" t="str">
        <f>IFERROR(IF(ISNUMBER('Change in Employment'!M513),TEXT('Change in Employment'!M513, "0"), ""), "")</f>
        <v/>
      </c>
      <c r="D506" s="8" t="str">
        <f>IF(ISNUMBER('Change in Employment'!G513),'Change in Employment'!G513,"")</f>
        <v/>
      </c>
    </row>
    <row r="507" spans="1:4">
      <c r="A507" t="str">
        <f>TEXT(IF('Change in Employment'!B514&lt;&gt;0,DATE(YEAR('Change in Employment'!B514), MONTH('Change in Employment'!B514), 1), ""), "mm/dd/yyyy")</f>
        <v/>
      </c>
      <c r="B507" t="str">
        <f>IF(ISNUMBER('Change in Employment'!L514),'Change in Employment'!L514, "")</f>
        <v/>
      </c>
      <c r="C507" t="str">
        <f>IFERROR(IF(ISNUMBER('Change in Employment'!M514),TEXT('Change in Employment'!M514, "0"), ""), "")</f>
        <v/>
      </c>
      <c r="D507" s="8" t="str">
        <f>IF(ISNUMBER('Change in Employment'!G514),'Change in Employment'!G514,"")</f>
        <v/>
      </c>
    </row>
    <row r="508" spans="1:4">
      <c r="A508" t="str">
        <f>TEXT(IF('Change in Employment'!B515&lt;&gt;0,DATE(YEAR('Change in Employment'!B515), MONTH('Change in Employment'!B515), 1), ""), "mm/dd/yyyy")</f>
        <v/>
      </c>
      <c r="B508" t="str">
        <f>IF(ISNUMBER('Change in Employment'!L515),'Change in Employment'!L515, "")</f>
        <v/>
      </c>
      <c r="C508" t="str">
        <f>IFERROR(IF(ISNUMBER('Change in Employment'!M515),TEXT('Change in Employment'!M515, "0"), ""), "")</f>
        <v/>
      </c>
      <c r="D508" s="8" t="str">
        <f>IF(ISNUMBER('Change in Employment'!G515),'Change in Employment'!G515,"")</f>
        <v/>
      </c>
    </row>
    <row r="509" spans="1:4">
      <c r="A509" t="str">
        <f>TEXT(IF('Change in Employment'!B516&lt;&gt;0,DATE(YEAR('Change in Employment'!B516), MONTH('Change in Employment'!B516), 1), ""), "mm/dd/yyyy")</f>
        <v/>
      </c>
      <c r="B509" t="str">
        <f>IF(ISNUMBER('Change in Employment'!L516),'Change in Employment'!L516, "")</f>
        <v/>
      </c>
      <c r="C509" t="str">
        <f>IFERROR(IF(ISNUMBER('Change in Employment'!M516),TEXT('Change in Employment'!M516, "0"), ""), "")</f>
        <v/>
      </c>
      <c r="D509" s="8" t="str">
        <f>IF(ISNUMBER('Change in Employment'!G516),'Change in Employment'!G516,"")</f>
        <v/>
      </c>
    </row>
    <row r="510" spans="1:4">
      <c r="A510" t="str">
        <f>TEXT(IF('Change in Employment'!B517&lt;&gt;0,DATE(YEAR('Change in Employment'!B517), MONTH('Change in Employment'!B517), 1), ""), "mm/dd/yyyy")</f>
        <v/>
      </c>
      <c r="B510" t="str">
        <f>IF(ISNUMBER('Change in Employment'!L517),'Change in Employment'!L517, "")</f>
        <v/>
      </c>
      <c r="C510" t="str">
        <f>IFERROR(IF(ISNUMBER('Change in Employment'!M517),TEXT('Change in Employment'!M517, "0"), ""), "")</f>
        <v/>
      </c>
      <c r="D510" s="8" t="str">
        <f>IF(ISNUMBER('Change in Employment'!G517),'Change in Employment'!G517,"")</f>
        <v/>
      </c>
    </row>
    <row r="511" spans="1:4">
      <c r="A511" t="str">
        <f>TEXT(IF('Change in Employment'!B518&lt;&gt;0,DATE(YEAR('Change in Employment'!B518), MONTH('Change in Employment'!B518), 1), ""), "mm/dd/yyyy")</f>
        <v/>
      </c>
      <c r="B511" t="str">
        <f>IF(ISNUMBER('Change in Employment'!L518),'Change in Employment'!L518, "")</f>
        <v/>
      </c>
      <c r="C511" t="str">
        <f>IFERROR(IF(ISNUMBER('Change in Employment'!M518),TEXT('Change in Employment'!M518, "0"), ""), "")</f>
        <v/>
      </c>
      <c r="D511" s="8" t="str">
        <f>IF(ISNUMBER('Change in Employment'!G518),'Change in Employment'!G518,"")</f>
        <v/>
      </c>
    </row>
    <row r="512" spans="1:4">
      <c r="A512" t="str">
        <f>TEXT(IF('Change in Employment'!B519&lt;&gt;0,DATE(YEAR('Change in Employment'!B519), MONTH('Change in Employment'!B519), 1), ""), "mm/dd/yyyy")</f>
        <v/>
      </c>
      <c r="B512" t="str">
        <f>IF(ISNUMBER('Change in Employment'!L519),'Change in Employment'!L519, "")</f>
        <v/>
      </c>
      <c r="C512" t="str">
        <f>IFERROR(IF(ISNUMBER('Change in Employment'!M519),TEXT('Change in Employment'!M519, "0"), ""), "")</f>
        <v/>
      </c>
      <c r="D512" s="8" t="str">
        <f>IF(ISNUMBER('Change in Employment'!G519),'Change in Employment'!G519,"")</f>
        <v/>
      </c>
    </row>
    <row r="513" spans="1:4">
      <c r="A513" t="str">
        <f>TEXT(IF('Change in Employment'!B520&lt;&gt;0,DATE(YEAR('Change in Employment'!B520), MONTH('Change in Employment'!B520), 1), ""), "mm/dd/yyyy")</f>
        <v/>
      </c>
      <c r="B513" t="str">
        <f>IF(ISNUMBER('Change in Employment'!L520),'Change in Employment'!L520, "")</f>
        <v/>
      </c>
      <c r="C513" t="str">
        <f>IFERROR(IF(ISNUMBER('Change in Employment'!M520),TEXT('Change in Employment'!M520, "0"), ""), "")</f>
        <v/>
      </c>
      <c r="D513" s="8" t="str">
        <f>IF(ISNUMBER('Change in Employment'!G520),'Change in Employment'!G520,"")</f>
        <v/>
      </c>
    </row>
    <row r="514" spans="1:4">
      <c r="A514" t="str">
        <f>TEXT(IF('Change in Employment'!B521&lt;&gt;0,DATE(YEAR('Change in Employment'!B521), MONTH('Change in Employment'!B521), 1), ""), "mm/dd/yyyy")</f>
        <v/>
      </c>
      <c r="B514" t="str">
        <f>IF(ISNUMBER('Change in Employment'!L521),'Change in Employment'!L521, "")</f>
        <v/>
      </c>
      <c r="C514" t="str">
        <f>IFERROR(IF(ISNUMBER('Change in Employment'!M521),TEXT('Change in Employment'!M521, "0"), ""), "")</f>
        <v/>
      </c>
      <c r="D514" s="8" t="str">
        <f>IF(ISNUMBER('Change in Employment'!G521),'Change in Employment'!G521,"")</f>
        <v/>
      </c>
    </row>
    <row r="515" spans="1:4">
      <c r="A515" t="str">
        <f>TEXT(IF('Change in Employment'!B522&lt;&gt;0,DATE(YEAR('Change in Employment'!B522), MONTH('Change in Employment'!B522), 1), ""), "mm/dd/yyyy")</f>
        <v/>
      </c>
      <c r="B515" t="str">
        <f>IF(ISNUMBER('Change in Employment'!L522),'Change in Employment'!L522, "")</f>
        <v/>
      </c>
      <c r="C515" t="str">
        <f>IFERROR(IF(ISNUMBER('Change in Employment'!M522),TEXT('Change in Employment'!M522, "0"), ""), "")</f>
        <v/>
      </c>
      <c r="D515" s="8" t="str">
        <f>IF(ISNUMBER('Change in Employment'!G522),'Change in Employment'!G522,"")</f>
        <v/>
      </c>
    </row>
    <row r="516" spans="1:4">
      <c r="A516" t="str">
        <f>TEXT(IF('Change in Employment'!B523&lt;&gt;0,DATE(YEAR('Change in Employment'!B523), MONTH('Change in Employment'!B523), 1), ""), "mm/dd/yyyy")</f>
        <v/>
      </c>
      <c r="B516" t="str">
        <f>IF(ISNUMBER('Change in Employment'!L523),'Change in Employment'!L523, "")</f>
        <v/>
      </c>
      <c r="C516" t="str">
        <f>IFERROR(IF(ISNUMBER('Change in Employment'!M523),TEXT('Change in Employment'!M523, "0"), ""), "")</f>
        <v/>
      </c>
      <c r="D516" s="8" t="str">
        <f>IF(ISNUMBER('Change in Employment'!G523),'Change in Employment'!G523,"")</f>
        <v/>
      </c>
    </row>
    <row r="517" spans="1:4">
      <c r="A517" t="str">
        <f>TEXT(IF('Change in Employment'!B524&lt;&gt;0,DATE(YEAR('Change in Employment'!B524), MONTH('Change in Employment'!B524), 1), ""), "mm/dd/yyyy")</f>
        <v/>
      </c>
      <c r="B517" t="str">
        <f>IF(ISNUMBER('Change in Employment'!L524),'Change in Employment'!L524, "")</f>
        <v/>
      </c>
      <c r="C517" t="str">
        <f>IFERROR(IF(ISNUMBER('Change in Employment'!M524),TEXT('Change in Employment'!M524, "0"), ""), "")</f>
        <v/>
      </c>
      <c r="D517" s="8" t="str">
        <f>IF(ISNUMBER('Change in Employment'!G524),'Change in Employment'!G524,"")</f>
        <v/>
      </c>
    </row>
    <row r="518" spans="1:4">
      <c r="A518" t="str">
        <f>TEXT(IF('Change in Employment'!B525&lt;&gt;0,DATE(YEAR('Change in Employment'!B525), MONTH('Change in Employment'!B525), 1), ""), "mm/dd/yyyy")</f>
        <v/>
      </c>
      <c r="B518" t="str">
        <f>IF(ISNUMBER('Change in Employment'!L525),'Change in Employment'!L525, "")</f>
        <v/>
      </c>
      <c r="C518" t="str">
        <f>IFERROR(IF(ISNUMBER('Change in Employment'!M525),TEXT('Change in Employment'!M525, "0"), ""), "")</f>
        <v/>
      </c>
      <c r="D518" s="8" t="str">
        <f>IF(ISNUMBER('Change in Employment'!G525),'Change in Employment'!G525,"")</f>
        <v/>
      </c>
    </row>
    <row r="519" spans="1:4">
      <c r="A519" t="str">
        <f>TEXT(IF('Change in Employment'!B526&lt;&gt;0,DATE(YEAR('Change in Employment'!B526), MONTH('Change in Employment'!B526), 1), ""), "mm/dd/yyyy")</f>
        <v/>
      </c>
      <c r="B519" t="str">
        <f>IF(ISNUMBER('Change in Employment'!L526),'Change in Employment'!L526, "")</f>
        <v/>
      </c>
      <c r="C519" t="str">
        <f>IFERROR(IF(ISNUMBER('Change in Employment'!M526),TEXT('Change in Employment'!M526, "0"), ""), "")</f>
        <v/>
      </c>
      <c r="D519" s="8" t="str">
        <f>IF(ISNUMBER('Change in Employment'!G526),'Change in Employment'!G526,"")</f>
        <v/>
      </c>
    </row>
    <row r="520" spans="1:4">
      <c r="A520" t="str">
        <f>TEXT(IF('Change in Employment'!B527&lt;&gt;0,DATE(YEAR('Change in Employment'!B527), MONTH('Change in Employment'!B527), 1), ""), "mm/dd/yyyy")</f>
        <v/>
      </c>
      <c r="B520" t="str">
        <f>IF(ISNUMBER('Change in Employment'!L527),'Change in Employment'!L527, "")</f>
        <v/>
      </c>
      <c r="C520" t="str">
        <f>IFERROR(IF(ISNUMBER('Change in Employment'!M527),TEXT('Change in Employment'!M527, "0"), ""), "")</f>
        <v/>
      </c>
      <c r="D520" s="8" t="str">
        <f>IF(ISNUMBER('Change in Employment'!G527),'Change in Employment'!G527,"")</f>
        <v/>
      </c>
    </row>
    <row r="521" spans="1:4">
      <c r="A521" t="str">
        <f>TEXT(IF('Change in Employment'!B528&lt;&gt;0,DATE(YEAR('Change in Employment'!B528), MONTH('Change in Employment'!B528), 1), ""), "mm/dd/yyyy")</f>
        <v/>
      </c>
      <c r="B521" t="str">
        <f>IF(ISNUMBER('Change in Employment'!L528),'Change in Employment'!L528, "")</f>
        <v/>
      </c>
      <c r="C521" t="str">
        <f>IFERROR(IF(ISNUMBER('Change in Employment'!M528),TEXT('Change in Employment'!M528, "0"), ""), "")</f>
        <v/>
      </c>
      <c r="D521" s="8" t="str">
        <f>IF(ISNUMBER('Change in Employment'!G528),'Change in Employment'!G528,"")</f>
        <v/>
      </c>
    </row>
    <row r="522" spans="1:4">
      <c r="A522" t="str">
        <f>TEXT(IF('Change in Employment'!B529&lt;&gt;0,DATE(YEAR('Change in Employment'!B529), MONTH('Change in Employment'!B529), 1), ""), "mm/dd/yyyy")</f>
        <v/>
      </c>
      <c r="B522" t="str">
        <f>IF(ISNUMBER('Change in Employment'!L529),'Change in Employment'!L529, "")</f>
        <v/>
      </c>
      <c r="C522" t="str">
        <f>IFERROR(IF(ISNUMBER('Change in Employment'!M529),TEXT('Change in Employment'!M529, "0"), ""), "")</f>
        <v/>
      </c>
      <c r="D522" s="8" t="str">
        <f>IF(ISNUMBER('Change in Employment'!G529),'Change in Employment'!G529,"")</f>
        <v/>
      </c>
    </row>
    <row r="523" spans="1:4">
      <c r="A523" t="str">
        <f>TEXT(IF('Change in Employment'!B530&lt;&gt;0,DATE(YEAR('Change in Employment'!B530), MONTH('Change in Employment'!B530), 1), ""), "mm/dd/yyyy")</f>
        <v/>
      </c>
      <c r="B523" t="str">
        <f>IF(ISNUMBER('Change in Employment'!L530),'Change in Employment'!L530, "")</f>
        <v/>
      </c>
      <c r="C523" t="str">
        <f>IFERROR(IF(ISNUMBER('Change in Employment'!M530),TEXT('Change in Employment'!M530, "0"), ""), "")</f>
        <v/>
      </c>
      <c r="D523" s="8" t="str">
        <f>IF(ISNUMBER('Change in Employment'!G530),'Change in Employment'!G530,"")</f>
        <v/>
      </c>
    </row>
    <row r="524" spans="1:4">
      <c r="A524" t="str">
        <f>TEXT(IF('Change in Employment'!B531&lt;&gt;0,DATE(YEAR('Change in Employment'!B531), MONTH('Change in Employment'!B531), 1), ""), "mm/dd/yyyy")</f>
        <v/>
      </c>
      <c r="B524" t="str">
        <f>IF(ISNUMBER('Change in Employment'!L531),'Change in Employment'!L531, "")</f>
        <v/>
      </c>
      <c r="C524" t="str">
        <f>IFERROR(IF(ISNUMBER('Change in Employment'!M531),TEXT('Change in Employment'!M531, "0"), ""), "")</f>
        <v/>
      </c>
      <c r="D524" s="8" t="str">
        <f>IF(ISNUMBER('Change in Employment'!G531),'Change in Employment'!G531,"")</f>
        <v/>
      </c>
    </row>
    <row r="525" spans="1:4">
      <c r="A525" t="str">
        <f>TEXT(IF('Change in Employment'!B532&lt;&gt;0,DATE(YEAR('Change in Employment'!B532), MONTH('Change in Employment'!B532), 1), ""), "mm/dd/yyyy")</f>
        <v/>
      </c>
      <c r="B525" t="str">
        <f>IF(ISNUMBER('Change in Employment'!L532),'Change in Employment'!L532, "")</f>
        <v/>
      </c>
      <c r="C525" t="str">
        <f>IFERROR(IF(ISNUMBER('Change in Employment'!M532),TEXT('Change in Employment'!M532, "0"), ""), "")</f>
        <v/>
      </c>
      <c r="D525" s="8" t="str">
        <f>IF(ISNUMBER('Change in Employment'!G532),'Change in Employment'!G532,"")</f>
        <v/>
      </c>
    </row>
    <row r="526" spans="1:4">
      <c r="A526" t="str">
        <f>TEXT(IF('Change in Employment'!B533&lt;&gt;0,DATE(YEAR('Change in Employment'!B533), MONTH('Change in Employment'!B533), 1), ""), "mm/dd/yyyy")</f>
        <v/>
      </c>
      <c r="B526" t="str">
        <f>IF(ISNUMBER('Change in Employment'!L533),'Change in Employment'!L533, "")</f>
        <v/>
      </c>
      <c r="C526" t="str">
        <f>IFERROR(IF(ISNUMBER('Change in Employment'!M533),TEXT('Change in Employment'!M533, "0"), ""), "")</f>
        <v/>
      </c>
      <c r="D526" s="8" t="str">
        <f>IF(ISNUMBER('Change in Employment'!G533),'Change in Employment'!G533,"")</f>
        <v/>
      </c>
    </row>
    <row r="527" spans="1:4">
      <c r="A527" t="str">
        <f>TEXT(IF('Change in Employment'!B534&lt;&gt;0,DATE(YEAR('Change in Employment'!B534), MONTH('Change in Employment'!B534), 1), ""), "mm/dd/yyyy")</f>
        <v/>
      </c>
      <c r="B527" t="str">
        <f>IF(ISNUMBER('Change in Employment'!L534),'Change in Employment'!L534, "")</f>
        <v/>
      </c>
      <c r="C527" t="str">
        <f>IFERROR(IF(ISNUMBER('Change in Employment'!M534),TEXT('Change in Employment'!M534, "0"), ""), "")</f>
        <v/>
      </c>
      <c r="D527" s="8" t="str">
        <f>IF(ISNUMBER('Change in Employment'!G534),'Change in Employment'!G534,"")</f>
        <v/>
      </c>
    </row>
    <row r="528" spans="1:4">
      <c r="A528" t="str">
        <f>TEXT(IF('Change in Employment'!B535&lt;&gt;0,DATE(YEAR('Change in Employment'!B535), MONTH('Change in Employment'!B535), 1), ""), "mm/dd/yyyy")</f>
        <v/>
      </c>
      <c r="B528" t="str">
        <f>IF(ISNUMBER('Change in Employment'!L535),'Change in Employment'!L535, "")</f>
        <v/>
      </c>
      <c r="C528" t="str">
        <f>IFERROR(IF(ISNUMBER('Change in Employment'!M535),TEXT('Change in Employment'!M535, "0"), ""), "")</f>
        <v/>
      </c>
      <c r="D528" s="8" t="str">
        <f>IF(ISNUMBER('Change in Employment'!G535),'Change in Employment'!G535,"")</f>
        <v/>
      </c>
    </row>
    <row r="529" spans="1:4">
      <c r="A529" t="str">
        <f>TEXT(IF('Change in Employment'!B536&lt;&gt;0,DATE(YEAR('Change in Employment'!B536), MONTH('Change in Employment'!B536), 1), ""), "mm/dd/yyyy")</f>
        <v/>
      </c>
      <c r="B529" t="str">
        <f>IF(ISNUMBER('Change in Employment'!L536),'Change in Employment'!L536, "")</f>
        <v/>
      </c>
      <c r="C529" t="str">
        <f>IFERROR(IF(ISNUMBER('Change in Employment'!M536),TEXT('Change in Employment'!M536, "0"), ""), "")</f>
        <v/>
      </c>
      <c r="D529" s="8" t="str">
        <f>IF(ISNUMBER('Change in Employment'!G536),'Change in Employment'!G536,"")</f>
        <v/>
      </c>
    </row>
    <row r="530" spans="1:4">
      <c r="A530" t="str">
        <f>TEXT(IF('Change in Employment'!B537&lt;&gt;0,DATE(YEAR('Change in Employment'!B537), MONTH('Change in Employment'!B537), 1), ""), "mm/dd/yyyy")</f>
        <v/>
      </c>
      <c r="B530" t="str">
        <f>IF(ISNUMBER('Change in Employment'!L537),'Change in Employment'!L537, "")</f>
        <v/>
      </c>
      <c r="C530" t="str">
        <f>IFERROR(IF(ISNUMBER('Change in Employment'!M537),TEXT('Change in Employment'!M537, "0"), ""), "")</f>
        <v/>
      </c>
      <c r="D530" s="8" t="str">
        <f>IF(ISNUMBER('Change in Employment'!G537),'Change in Employment'!G537,"")</f>
        <v/>
      </c>
    </row>
    <row r="531" spans="1:4">
      <c r="A531" t="str">
        <f>TEXT(IF('Change in Employment'!B538&lt;&gt;0,DATE(YEAR('Change in Employment'!B538), MONTH('Change in Employment'!B538), 1), ""), "mm/dd/yyyy")</f>
        <v/>
      </c>
      <c r="B531" t="str">
        <f>IF(ISNUMBER('Change in Employment'!L538),'Change in Employment'!L538, "")</f>
        <v/>
      </c>
      <c r="C531" t="str">
        <f>IFERROR(IF(ISNUMBER('Change in Employment'!M538),TEXT('Change in Employment'!M538, "0"), ""), "")</f>
        <v/>
      </c>
      <c r="D531" s="8" t="str">
        <f>IF(ISNUMBER('Change in Employment'!G538),'Change in Employment'!G538,"")</f>
        <v/>
      </c>
    </row>
    <row r="532" spans="1:4">
      <c r="A532" t="str">
        <f>TEXT(IF('Change in Employment'!B539&lt;&gt;0,DATE(YEAR('Change in Employment'!B539), MONTH('Change in Employment'!B539), 1), ""), "mm/dd/yyyy")</f>
        <v/>
      </c>
      <c r="B532" t="str">
        <f>IF(ISNUMBER('Change in Employment'!L539),'Change in Employment'!L539, "")</f>
        <v/>
      </c>
      <c r="C532" t="str">
        <f>IFERROR(IF(ISNUMBER('Change in Employment'!M539),TEXT('Change in Employment'!M539, "0"), ""), "")</f>
        <v/>
      </c>
      <c r="D532" s="8" t="str">
        <f>IF(ISNUMBER('Change in Employment'!G539),'Change in Employment'!G539,"")</f>
        <v/>
      </c>
    </row>
    <row r="533" spans="1:4">
      <c r="A533" t="str">
        <f>TEXT(IF('Change in Employment'!B540&lt;&gt;0,DATE(YEAR('Change in Employment'!B540), MONTH('Change in Employment'!B540), 1), ""), "mm/dd/yyyy")</f>
        <v/>
      </c>
      <c r="B533" t="str">
        <f>IF(ISNUMBER('Change in Employment'!L540),'Change in Employment'!L540, "")</f>
        <v/>
      </c>
      <c r="C533" t="str">
        <f>IFERROR(IF(ISNUMBER('Change in Employment'!M540),TEXT('Change in Employment'!M540, "0"), ""), "")</f>
        <v/>
      </c>
      <c r="D533" s="8" t="str">
        <f>IF(ISNUMBER('Change in Employment'!G540),'Change in Employment'!G540,"")</f>
        <v/>
      </c>
    </row>
    <row r="534" spans="1:4">
      <c r="A534" t="str">
        <f>TEXT(IF('Change in Employment'!B541&lt;&gt;0,DATE(YEAR('Change in Employment'!B541), MONTH('Change in Employment'!B541), 1), ""), "mm/dd/yyyy")</f>
        <v/>
      </c>
      <c r="B534" t="str">
        <f>IF(ISNUMBER('Change in Employment'!L541),'Change in Employment'!L541, "")</f>
        <v/>
      </c>
      <c r="C534" t="str">
        <f>IFERROR(IF(ISNUMBER('Change in Employment'!M541),TEXT('Change in Employment'!M541, "0"), ""), "")</f>
        <v/>
      </c>
      <c r="D534" s="8" t="str">
        <f>IF(ISNUMBER('Change in Employment'!G541),'Change in Employment'!G541,"")</f>
        <v/>
      </c>
    </row>
    <row r="535" spans="1:4">
      <c r="A535" t="str">
        <f>TEXT(IF('Change in Employment'!B542&lt;&gt;0,DATE(YEAR('Change in Employment'!B542), MONTH('Change in Employment'!B542), 1), ""), "mm/dd/yyyy")</f>
        <v/>
      </c>
      <c r="B535" t="str">
        <f>IF(ISNUMBER('Change in Employment'!L542),'Change in Employment'!L542, "")</f>
        <v/>
      </c>
      <c r="C535" t="str">
        <f>IFERROR(IF(ISNUMBER('Change in Employment'!M542),TEXT('Change in Employment'!M542, "0"), ""), "")</f>
        <v/>
      </c>
      <c r="D535" s="8" t="str">
        <f>IF(ISNUMBER('Change in Employment'!G542),'Change in Employment'!G542,"")</f>
        <v/>
      </c>
    </row>
    <row r="536" spans="1:4">
      <c r="A536" t="str">
        <f>TEXT(IF('Change in Employment'!B543&lt;&gt;0,DATE(YEAR('Change in Employment'!B543), MONTH('Change in Employment'!B543), 1), ""), "mm/dd/yyyy")</f>
        <v/>
      </c>
      <c r="B536" t="str">
        <f>IF(ISNUMBER('Change in Employment'!L543),'Change in Employment'!L543, "")</f>
        <v/>
      </c>
      <c r="C536" t="str">
        <f>IFERROR(IF(ISNUMBER('Change in Employment'!M543),TEXT('Change in Employment'!M543, "0"), ""), "")</f>
        <v/>
      </c>
      <c r="D536" s="8" t="str">
        <f>IF(ISNUMBER('Change in Employment'!G543),'Change in Employment'!G543,"")</f>
        <v/>
      </c>
    </row>
    <row r="537" spans="1:4">
      <c r="A537" t="str">
        <f>TEXT(IF('Change in Employment'!B544&lt;&gt;0,DATE(YEAR('Change in Employment'!B544), MONTH('Change in Employment'!B544), 1), ""), "mm/dd/yyyy")</f>
        <v/>
      </c>
      <c r="B537" t="str">
        <f>IF(ISNUMBER('Change in Employment'!L544),'Change in Employment'!L544, "")</f>
        <v/>
      </c>
      <c r="C537" t="str">
        <f>IFERROR(IF(ISNUMBER('Change in Employment'!M544),TEXT('Change in Employment'!M544, "0"), ""), "")</f>
        <v/>
      </c>
      <c r="D537" s="8" t="str">
        <f>IF(ISNUMBER('Change in Employment'!G544),'Change in Employment'!G544,"")</f>
        <v/>
      </c>
    </row>
    <row r="538" spans="1:4">
      <c r="A538" t="str">
        <f>TEXT(IF('Change in Employment'!B545&lt;&gt;0,DATE(YEAR('Change in Employment'!B545), MONTH('Change in Employment'!B545), 1), ""), "mm/dd/yyyy")</f>
        <v/>
      </c>
      <c r="B538" t="str">
        <f>IF(ISNUMBER('Change in Employment'!L545),'Change in Employment'!L545, "")</f>
        <v/>
      </c>
      <c r="C538" t="str">
        <f>IFERROR(IF(ISNUMBER('Change in Employment'!M545),TEXT('Change in Employment'!M545, "0"), ""), "")</f>
        <v/>
      </c>
      <c r="D538" s="8" t="str">
        <f>IF(ISNUMBER('Change in Employment'!G545),'Change in Employment'!G545,"")</f>
        <v/>
      </c>
    </row>
    <row r="539" spans="1:4">
      <c r="A539" t="str">
        <f>TEXT(IF('Change in Employment'!B546&lt;&gt;0,DATE(YEAR('Change in Employment'!B546), MONTH('Change in Employment'!B546), 1), ""), "mm/dd/yyyy")</f>
        <v/>
      </c>
      <c r="B539" t="str">
        <f>IF(ISNUMBER('Change in Employment'!L546),'Change in Employment'!L546, "")</f>
        <v/>
      </c>
      <c r="C539" t="str">
        <f>IFERROR(IF(ISNUMBER('Change in Employment'!M546),TEXT('Change in Employment'!M546, "0"), ""), "")</f>
        <v/>
      </c>
      <c r="D539" s="8" t="str">
        <f>IF(ISNUMBER('Change in Employment'!G546),'Change in Employment'!G546,"")</f>
        <v/>
      </c>
    </row>
    <row r="540" spans="1:4">
      <c r="A540" t="str">
        <f>TEXT(IF('Change in Employment'!B547&lt;&gt;0,DATE(YEAR('Change in Employment'!B547), MONTH('Change in Employment'!B547), 1), ""), "mm/dd/yyyy")</f>
        <v/>
      </c>
      <c r="B540" t="str">
        <f>IF(ISNUMBER('Change in Employment'!L547),'Change in Employment'!L547, "")</f>
        <v/>
      </c>
      <c r="C540" t="str">
        <f>IFERROR(IF(ISNUMBER('Change in Employment'!M547),TEXT('Change in Employment'!M547, "0"), ""), "")</f>
        <v/>
      </c>
      <c r="D540" s="8" t="str">
        <f>IF(ISNUMBER('Change in Employment'!G547),'Change in Employment'!G547,"")</f>
        <v/>
      </c>
    </row>
    <row r="541" spans="1:4">
      <c r="A541" t="str">
        <f>TEXT(IF('Change in Employment'!B548&lt;&gt;0,DATE(YEAR('Change in Employment'!B548), MONTH('Change in Employment'!B548), 1), ""), "mm/dd/yyyy")</f>
        <v/>
      </c>
      <c r="B541" t="str">
        <f>IF(ISNUMBER('Change in Employment'!L548),'Change in Employment'!L548, "")</f>
        <v/>
      </c>
      <c r="C541" t="str">
        <f>IFERROR(IF(ISNUMBER('Change in Employment'!M548),TEXT('Change in Employment'!M548, "0"), ""), "")</f>
        <v/>
      </c>
      <c r="D541" s="8" t="str">
        <f>IF(ISNUMBER('Change in Employment'!G548),'Change in Employment'!G548,"")</f>
        <v/>
      </c>
    </row>
    <row r="542" spans="1:4">
      <c r="A542" t="str">
        <f>TEXT(IF('Change in Employment'!B549&lt;&gt;0,DATE(YEAR('Change in Employment'!B549), MONTH('Change in Employment'!B549), 1), ""), "mm/dd/yyyy")</f>
        <v/>
      </c>
      <c r="B542" t="str">
        <f>IF(ISNUMBER('Change in Employment'!L549),'Change in Employment'!L549, "")</f>
        <v/>
      </c>
      <c r="C542" t="str">
        <f>IFERROR(IF(ISNUMBER('Change in Employment'!M549),TEXT('Change in Employment'!M549, "0"), ""), "")</f>
        <v/>
      </c>
      <c r="D542" s="8" t="str">
        <f>IF(ISNUMBER('Change in Employment'!G549),'Change in Employment'!G549,"")</f>
        <v/>
      </c>
    </row>
    <row r="543" spans="1:4">
      <c r="A543" t="str">
        <f>TEXT(IF('Change in Employment'!B550&lt;&gt;0,DATE(YEAR('Change in Employment'!B550), MONTH('Change in Employment'!B550), 1), ""), "mm/dd/yyyy")</f>
        <v/>
      </c>
      <c r="B543" t="str">
        <f>IF(ISNUMBER('Change in Employment'!L550),'Change in Employment'!L550, "")</f>
        <v/>
      </c>
      <c r="C543" t="str">
        <f>IFERROR(IF(ISNUMBER('Change in Employment'!M550),TEXT('Change in Employment'!M550, "0"), ""), "")</f>
        <v/>
      </c>
      <c r="D543" s="8" t="str">
        <f>IF(ISNUMBER('Change in Employment'!G550),'Change in Employment'!G550,"")</f>
        <v/>
      </c>
    </row>
    <row r="544" spans="1:4">
      <c r="A544" t="str">
        <f>TEXT(IF('Change in Employment'!B551&lt;&gt;0,DATE(YEAR('Change in Employment'!B551), MONTH('Change in Employment'!B551), 1), ""), "mm/dd/yyyy")</f>
        <v/>
      </c>
      <c r="B544" t="str">
        <f>IF(ISNUMBER('Change in Employment'!L551),'Change in Employment'!L551, "")</f>
        <v/>
      </c>
      <c r="C544" t="str">
        <f>IFERROR(IF(ISNUMBER('Change in Employment'!M551),TEXT('Change in Employment'!M551, "0"), ""), "")</f>
        <v/>
      </c>
      <c r="D544" s="8" t="str">
        <f>IF(ISNUMBER('Change in Employment'!G551),'Change in Employment'!G551,"")</f>
        <v/>
      </c>
    </row>
    <row r="545" spans="1:4">
      <c r="A545" t="str">
        <f>TEXT(IF('Change in Employment'!B552&lt;&gt;0,DATE(YEAR('Change in Employment'!B552), MONTH('Change in Employment'!B552), 1), ""), "mm/dd/yyyy")</f>
        <v/>
      </c>
      <c r="B545" t="str">
        <f>IF(ISNUMBER('Change in Employment'!L552),'Change in Employment'!L552, "")</f>
        <v/>
      </c>
      <c r="C545" t="str">
        <f>IFERROR(IF(ISNUMBER('Change in Employment'!M552),TEXT('Change in Employment'!M552, "0"), ""), "")</f>
        <v/>
      </c>
      <c r="D545" s="8" t="str">
        <f>IF(ISNUMBER('Change in Employment'!G552),'Change in Employment'!G552,"")</f>
        <v/>
      </c>
    </row>
    <row r="546" spans="1:4">
      <c r="A546" t="str">
        <f>TEXT(IF('Change in Employment'!B553&lt;&gt;0,DATE(YEAR('Change in Employment'!B553), MONTH('Change in Employment'!B553), 1), ""), "mm/dd/yyyy")</f>
        <v/>
      </c>
      <c r="B546" t="str">
        <f>IF(ISNUMBER('Change in Employment'!L553),'Change in Employment'!L553, "")</f>
        <v/>
      </c>
      <c r="C546" t="str">
        <f>IFERROR(IF(ISNUMBER('Change in Employment'!M553),TEXT('Change in Employment'!M553, "0"), ""), "")</f>
        <v/>
      </c>
      <c r="D546" s="8" t="str">
        <f>IF(ISNUMBER('Change in Employment'!G553),'Change in Employment'!G553,"")</f>
        <v/>
      </c>
    </row>
    <row r="547" spans="1:4">
      <c r="A547" t="str">
        <f>TEXT(IF('Change in Employment'!B554&lt;&gt;0,DATE(YEAR('Change in Employment'!B554), MONTH('Change in Employment'!B554), 1), ""), "mm/dd/yyyy")</f>
        <v/>
      </c>
      <c r="B547" t="str">
        <f>IF(ISNUMBER('Change in Employment'!L554),'Change in Employment'!L554, "")</f>
        <v/>
      </c>
      <c r="C547" t="str">
        <f>IFERROR(IF(ISNUMBER('Change in Employment'!M554),TEXT('Change in Employment'!M554, "0"), ""), "")</f>
        <v/>
      </c>
      <c r="D547" s="8" t="str">
        <f>IF(ISNUMBER('Change in Employment'!G554),'Change in Employment'!G554,"")</f>
        <v/>
      </c>
    </row>
    <row r="548" spans="1:4">
      <c r="A548" t="str">
        <f>TEXT(IF('Change in Employment'!B555&lt;&gt;0,DATE(YEAR('Change in Employment'!B555), MONTH('Change in Employment'!B555), 1), ""), "mm/dd/yyyy")</f>
        <v/>
      </c>
      <c r="B548" t="str">
        <f>IF(ISNUMBER('Change in Employment'!L555),'Change in Employment'!L555, "")</f>
        <v/>
      </c>
      <c r="C548" t="str">
        <f>IFERROR(IF(ISNUMBER('Change in Employment'!M555),TEXT('Change in Employment'!M555, "0"), ""), "")</f>
        <v/>
      </c>
      <c r="D548" s="8" t="str">
        <f>IF(ISNUMBER('Change in Employment'!G555),'Change in Employment'!G555,"")</f>
        <v/>
      </c>
    </row>
    <row r="549" spans="1:4">
      <c r="A549" t="str">
        <f>TEXT(IF('Change in Employment'!B556&lt;&gt;0,DATE(YEAR('Change in Employment'!B556), MONTH('Change in Employment'!B556), 1), ""), "mm/dd/yyyy")</f>
        <v/>
      </c>
      <c r="B549" t="str">
        <f>IF(ISNUMBER('Change in Employment'!L556),'Change in Employment'!L556, "")</f>
        <v/>
      </c>
      <c r="C549" t="str">
        <f>IFERROR(IF(ISNUMBER('Change in Employment'!M556),TEXT('Change in Employment'!M556, "0"), ""), "")</f>
        <v/>
      </c>
      <c r="D549" s="8" t="str">
        <f>IF(ISNUMBER('Change in Employment'!G556),'Change in Employment'!G556,"")</f>
        <v/>
      </c>
    </row>
    <row r="550" spans="1:4">
      <c r="A550" t="str">
        <f>TEXT(IF('Change in Employment'!B557&lt;&gt;0,DATE(YEAR('Change in Employment'!B557), MONTH('Change in Employment'!B557), 1), ""), "mm/dd/yyyy")</f>
        <v/>
      </c>
      <c r="B550" t="str">
        <f>IF(ISNUMBER('Change in Employment'!L557),'Change in Employment'!L557, "")</f>
        <v/>
      </c>
      <c r="C550" t="str">
        <f>IFERROR(IF(ISNUMBER('Change in Employment'!M557),TEXT('Change in Employment'!M557, "0"), ""), "")</f>
        <v/>
      </c>
      <c r="D550" s="8" t="str">
        <f>IF(ISNUMBER('Change in Employment'!G557),'Change in Employment'!G557,"")</f>
        <v/>
      </c>
    </row>
    <row r="551" spans="1:4">
      <c r="A551" t="str">
        <f>TEXT(IF('Change in Employment'!B558&lt;&gt;0,DATE(YEAR('Change in Employment'!B558), MONTH('Change in Employment'!B558), 1), ""), "mm/dd/yyyy")</f>
        <v/>
      </c>
      <c r="B551" t="str">
        <f>IF(ISNUMBER('Change in Employment'!L558),'Change in Employment'!L558, "")</f>
        <v/>
      </c>
      <c r="C551" t="str">
        <f>IFERROR(IF(ISNUMBER('Change in Employment'!M558),TEXT('Change in Employment'!M558, "0"), ""), "")</f>
        <v/>
      </c>
      <c r="D551" s="8" t="str">
        <f>IF(ISNUMBER('Change in Employment'!G558),'Change in Employment'!G558,"")</f>
        <v/>
      </c>
    </row>
    <row r="552" spans="1:4">
      <c r="A552" t="str">
        <f>TEXT(IF('Change in Employment'!B559&lt;&gt;0,DATE(YEAR('Change in Employment'!B559), MONTH('Change in Employment'!B559), 1), ""), "mm/dd/yyyy")</f>
        <v/>
      </c>
      <c r="B552" t="str">
        <f>IF(ISNUMBER('Change in Employment'!L559),'Change in Employment'!L559, "")</f>
        <v/>
      </c>
      <c r="C552" t="str">
        <f>IFERROR(IF(ISNUMBER('Change in Employment'!M559),TEXT('Change in Employment'!M559, "0"), ""), "")</f>
        <v/>
      </c>
      <c r="D552" s="8" t="str">
        <f>IF(ISNUMBER('Change in Employment'!G559),'Change in Employment'!G559,"")</f>
        <v/>
      </c>
    </row>
    <row r="553" spans="1:4">
      <c r="A553" t="str">
        <f>TEXT(IF('Change in Employment'!B560&lt;&gt;0,DATE(YEAR('Change in Employment'!B560), MONTH('Change in Employment'!B560), 1), ""), "mm/dd/yyyy")</f>
        <v/>
      </c>
      <c r="B553" t="str">
        <f>IF(ISNUMBER('Change in Employment'!L560),'Change in Employment'!L560, "")</f>
        <v/>
      </c>
      <c r="C553" t="str">
        <f>IFERROR(IF(ISNUMBER('Change in Employment'!M560),TEXT('Change in Employment'!M560, "0"), ""), "")</f>
        <v/>
      </c>
      <c r="D553" s="8" t="str">
        <f>IF(ISNUMBER('Change in Employment'!G560),'Change in Employment'!G560,"")</f>
        <v/>
      </c>
    </row>
    <row r="554" spans="1:4">
      <c r="A554" t="str">
        <f>TEXT(IF('Change in Employment'!B561&lt;&gt;0,DATE(YEAR('Change in Employment'!B561), MONTH('Change in Employment'!B561), 1), ""), "mm/dd/yyyy")</f>
        <v/>
      </c>
      <c r="B554" t="str">
        <f>IF(ISNUMBER('Change in Employment'!L561),'Change in Employment'!L561, "")</f>
        <v/>
      </c>
      <c r="C554" t="str">
        <f>IFERROR(IF(ISNUMBER('Change in Employment'!M561),TEXT('Change in Employment'!M561, "0"), ""), "")</f>
        <v/>
      </c>
      <c r="D554" s="8" t="str">
        <f>IF(ISNUMBER('Change in Employment'!G561),'Change in Employment'!G561,"")</f>
        <v/>
      </c>
    </row>
    <row r="555" spans="1:4">
      <c r="A555" t="str">
        <f>TEXT(IF('Change in Employment'!B562&lt;&gt;0,DATE(YEAR('Change in Employment'!B562), MONTH('Change in Employment'!B562), 1), ""), "mm/dd/yyyy")</f>
        <v/>
      </c>
      <c r="B555" t="str">
        <f>IF(ISNUMBER('Change in Employment'!L562),'Change in Employment'!L562, "")</f>
        <v/>
      </c>
      <c r="C555" t="str">
        <f>IFERROR(IF(ISNUMBER('Change in Employment'!M562),TEXT('Change in Employment'!M562, "0"), ""), "")</f>
        <v/>
      </c>
      <c r="D555" s="8" t="str">
        <f>IF(ISNUMBER('Change in Employment'!G562),'Change in Employment'!G562,"")</f>
        <v/>
      </c>
    </row>
    <row r="556" spans="1:4">
      <c r="A556" t="str">
        <f>TEXT(IF('Change in Employment'!B563&lt;&gt;0,DATE(YEAR('Change in Employment'!B563), MONTH('Change in Employment'!B563), 1), ""), "mm/dd/yyyy")</f>
        <v/>
      </c>
      <c r="B556" t="str">
        <f>IF(ISNUMBER('Change in Employment'!L563),'Change in Employment'!L563, "")</f>
        <v/>
      </c>
      <c r="C556" t="str">
        <f>IFERROR(IF(ISNUMBER('Change in Employment'!M563),TEXT('Change in Employment'!M563, "0"), ""), "")</f>
        <v/>
      </c>
      <c r="D556" s="8" t="str">
        <f>IF(ISNUMBER('Change in Employment'!G563),'Change in Employment'!G563,"")</f>
        <v/>
      </c>
    </row>
    <row r="557" spans="1:4">
      <c r="A557" t="str">
        <f>TEXT(IF('Change in Employment'!B564&lt;&gt;0,DATE(YEAR('Change in Employment'!B564), MONTH('Change in Employment'!B564), 1), ""), "mm/dd/yyyy")</f>
        <v/>
      </c>
      <c r="B557" t="str">
        <f>IF(ISNUMBER('Change in Employment'!L564),'Change in Employment'!L564, "")</f>
        <v/>
      </c>
      <c r="C557" t="str">
        <f>IFERROR(IF(ISNUMBER('Change in Employment'!M564),TEXT('Change in Employment'!M564, "0"), ""), "")</f>
        <v/>
      </c>
      <c r="D557" s="8" t="str">
        <f>IF(ISNUMBER('Change in Employment'!G564),'Change in Employment'!G564,"")</f>
        <v/>
      </c>
    </row>
    <row r="558" spans="1:4">
      <c r="A558" t="str">
        <f>TEXT(IF('Change in Employment'!B565&lt;&gt;0,DATE(YEAR('Change in Employment'!B565), MONTH('Change in Employment'!B565), 1), ""), "mm/dd/yyyy")</f>
        <v/>
      </c>
      <c r="B558" t="str">
        <f>IF(ISNUMBER('Change in Employment'!L565),'Change in Employment'!L565, "")</f>
        <v/>
      </c>
      <c r="C558" t="str">
        <f>IFERROR(IF(ISNUMBER('Change in Employment'!M565),TEXT('Change in Employment'!M565, "0"), ""), "")</f>
        <v/>
      </c>
      <c r="D558" s="8" t="str">
        <f>IF(ISNUMBER('Change in Employment'!G565),'Change in Employment'!G565,"")</f>
        <v/>
      </c>
    </row>
    <row r="559" spans="1:4">
      <c r="A559" t="str">
        <f>TEXT(IF('Change in Employment'!B566&lt;&gt;0,DATE(YEAR('Change in Employment'!B566), MONTH('Change in Employment'!B566), 1), ""), "mm/dd/yyyy")</f>
        <v/>
      </c>
      <c r="B559" t="str">
        <f>IF(ISNUMBER('Change in Employment'!L566),'Change in Employment'!L566, "")</f>
        <v/>
      </c>
      <c r="C559" t="str">
        <f>IFERROR(IF(ISNUMBER('Change in Employment'!M566),TEXT('Change in Employment'!M566, "0"), ""), "")</f>
        <v/>
      </c>
      <c r="D559" s="8" t="str">
        <f>IF(ISNUMBER('Change in Employment'!G566),'Change in Employment'!G566,"")</f>
        <v/>
      </c>
    </row>
    <row r="560" spans="1:4">
      <c r="A560" t="str">
        <f>TEXT(IF('Change in Employment'!B567&lt;&gt;0,DATE(YEAR('Change in Employment'!B567), MONTH('Change in Employment'!B567), 1), ""), "mm/dd/yyyy")</f>
        <v/>
      </c>
      <c r="B560" t="str">
        <f>IF(ISNUMBER('Change in Employment'!L567),'Change in Employment'!L567, "")</f>
        <v/>
      </c>
      <c r="C560" t="str">
        <f>IFERROR(IF(ISNUMBER('Change in Employment'!M567),TEXT('Change in Employment'!M567, "0"), ""), "")</f>
        <v/>
      </c>
      <c r="D560" s="8" t="str">
        <f>IF(ISNUMBER('Change in Employment'!G567),'Change in Employment'!G567,"")</f>
        <v/>
      </c>
    </row>
    <row r="561" spans="1:4">
      <c r="A561" t="str">
        <f>TEXT(IF('Change in Employment'!B568&lt;&gt;0,DATE(YEAR('Change in Employment'!B568), MONTH('Change in Employment'!B568), 1), ""), "mm/dd/yyyy")</f>
        <v/>
      </c>
      <c r="B561" t="str">
        <f>IF(ISNUMBER('Change in Employment'!L568),'Change in Employment'!L568, "")</f>
        <v/>
      </c>
      <c r="C561" t="str">
        <f>IFERROR(IF(ISNUMBER('Change in Employment'!M568),TEXT('Change in Employment'!M568, "0"), ""), "")</f>
        <v/>
      </c>
      <c r="D561" s="8" t="str">
        <f>IF(ISNUMBER('Change in Employment'!G568),'Change in Employment'!G568,"")</f>
        <v/>
      </c>
    </row>
    <row r="562" spans="1:4">
      <c r="A562" t="str">
        <f>TEXT(IF('Change in Employment'!B569&lt;&gt;0,DATE(YEAR('Change in Employment'!B569), MONTH('Change in Employment'!B569), 1), ""), "mm/dd/yyyy")</f>
        <v/>
      </c>
      <c r="B562" t="str">
        <f>IF(ISNUMBER('Change in Employment'!L569),'Change in Employment'!L569, "")</f>
        <v/>
      </c>
      <c r="C562" t="str">
        <f>IFERROR(IF(ISNUMBER('Change in Employment'!M569),TEXT('Change in Employment'!M569, "0"), ""), "")</f>
        <v/>
      </c>
      <c r="D562" s="8" t="str">
        <f>IF(ISNUMBER('Change in Employment'!G569),'Change in Employment'!G569,"")</f>
        <v/>
      </c>
    </row>
    <row r="563" spans="1:4">
      <c r="A563" t="str">
        <f>TEXT(IF('Change in Employment'!B570&lt;&gt;0,DATE(YEAR('Change in Employment'!B570), MONTH('Change in Employment'!B570), 1), ""), "mm/dd/yyyy")</f>
        <v/>
      </c>
      <c r="B563" t="str">
        <f>IF(ISNUMBER('Change in Employment'!L570),'Change in Employment'!L570, "")</f>
        <v/>
      </c>
      <c r="C563" t="str">
        <f>IFERROR(IF(ISNUMBER('Change in Employment'!M570),TEXT('Change in Employment'!M570, "0"), ""), "")</f>
        <v/>
      </c>
      <c r="D563" s="8" t="str">
        <f>IF(ISNUMBER('Change in Employment'!G570),'Change in Employment'!G570,"")</f>
        <v/>
      </c>
    </row>
    <row r="564" spans="1:4">
      <c r="A564" t="str">
        <f>TEXT(IF('Change in Employment'!B571&lt;&gt;0,DATE(YEAR('Change in Employment'!B571), MONTH('Change in Employment'!B571), 1), ""), "mm/dd/yyyy")</f>
        <v/>
      </c>
      <c r="B564" t="str">
        <f>IF(ISNUMBER('Change in Employment'!L571),'Change in Employment'!L571, "")</f>
        <v/>
      </c>
      <c r="C564" t="str">
        <f>IFERROR(IF(ISNUMBER('Change in Employment'!M571),TEXT('Change in Employment'!M571, "0"), ""), "")</f>
        <v/>
      </c>
      <c r="D564" s="8" t="str">
        <f>IF(ISNUMBER('Change in Employment'!G571),'Change in Employment'!G571,"")</f>
        <v/>
      </c>
    </row>
    <row r="565" spans="1:4">
      <c r="A565" t="str">
        <f>TEXT(IF('Change in Employment'!B572&lt;&gt;0,DATE(YEAR('Change in Employment'!B572), MONTH('Change in Employment'!B572), 1), ""), "mm/dd/yyyy")</f>
        <v/>
      </c>
      <c r="B565" t="str">
        <f>IF(ISNUMBER('Change in Employment'!L572),'Change in Employment'!L572, "")</f>
        <v/>
      </c>
      <c r="C565" t="str">
        <f>IFERROR(IF(ISNUMBER('Change in Employment'!M572),TEXT('Change in Employment'!M572, "0"), ""), "")</f>
        <v/>
      </c>
      <c r="D565" s="8" t="str">
        <f>IF(ISNUMBER('Change in Employment'!G572),'Change in Employment'!G572,"")</f>
        <v/>
      </c>
    </row>
    <row r="566" spans="1:4">
      <c r="A566" t="str">
        <f>TEXT(IF('Change in Employment'!B573&lt;&gt;0,DATE(YEAR('Change in Employment'!B573), MONTH('Change in Employment'!B573), 1), ""), "mm/dd/yyyy")</f>
        <v/>
      </c>
      <c r="B566" t="str">
        <f>IF(ISNUMBER('Change in Employment'!L573),'Change in Employment'!L573, "")</f>
        <v/>
      </c>
      <c r="C566" t="str">
        <f>IFERROR(IF(ISNUMBER('Change in Employment'!M573),TEXT('Change in Employment'!M573, "0"), ""), "")</f>
        <v/>
      </c>
      <c r="D566" s="8" t="str">
        <f>IF(ISNUMBER('Change in Employment'!G573),'Change in Employment'!G573,"")</f>
        <v/>
      </c>
    </row>
    <row r="567" spans="1:4">
      <c r="A567" t="str">
        <f>TEXT(IF('Change in Employment'!B574&lt;&gt;0,DATE(YEAR('Change in Employment'!B574), MONTH('Change in Employment'!B574), 1), ""), "mm/dd/yyyy")</f>
        <v/>
      </c>
      <c r="B567" t="str">
        <f>IF(ISNUMBER('Change in Employment'!L574),'Change in Employment'!L574, "")</f>
        <v/>
      </c>
      <c r="C567" t="str">
        <f>IFERROR(IF(ISNUMBER('Change in Employment'!M574),TEXT('Change in Employment'!M574, "0"), ""), "")</f>
        <v/>
      </c>
      <c r="D567" s="8" t="str">
        <f>IF(ISNUMBER('Change in Employment'!G574),'Change in Employment'!G574,"")</f>
        <v/>
      </c>
    </row>
    <row r="568" spans="1:4">
      <c r="A568" t="str">
        <f>TEXT(IF('Change in Employment'!B575&lt;&gt;0,DATE(YEAR('Change in Employment'!B575), MONTH('Change in Employment'!B575), 1), ""), "mm/dd/yyyy")</f>
        <v/>
      </c>
      <c r="B568" t="str">
        <f>IF(ISNUMBER('Change in Employment'!L575),'Change in Employment'!L575, "")</f>
        <v/>
      </c>
      <c r="C568" t="str">
        <f>IFERROR(IF(ISNUMBER('Change in Employment'!M575),TEXT('Change in Employment'!M575, "0"), ""), "")</f>
        <v/>
      </c>
      <c r="D568" s="8" t="str">
        <f>IF(ISNUMBER('Change in Employment'!G575),'Change in Employment'!G575,"")</f>
        <v/>
      </c>
    </row>
    <row r="569" spans="1:4">
      <c r="A569" t="str">
        <f>TEXT(IF('Change in Employment'!B576&lt;&gt;0,DATE(YEAR('Change in Employment'!B576), MONTH('Change in Employment'!B576), 1), ""), "mm/dd/yyyy")</f>
        <v/>
      </c>
      <c r="B569" t="str">
        <f>IF(ISNUMBER('Change in Employment'!L576),'Change in Employment'!L576, "")</f>
        <v/>
      </c>
      <c r="C569" t="str">
        <f>IFERROR(IF(ISNUMBER('Change in Employment'!M576),TEXT('Change in Employment'!M576, "0"), ""), "")</f>
        <v/>
      </c>
      <c r="D569" s="8" t="str">
        <f>IF(ISNUMBER('Change in Employment'!G576),'Change in Employment'!G576,"")</f>
        <v/>
      </c>
    </row>
    <row r="570" spans="1:4">
      <c r="A570" t="str">
        <f>TEXT(IF('Change in Employment'!B577&lt;&gt;0,DATE(YEAR('Change in Employment'!B577), MONTH('Change in Employment'!B577), 1), ""), "mm/dd/yyyy")</f>
        <v/>
      </c>
      <c r="B570" t="str">
        <f>IF(ISNUMBER('Change in Employment'!L577),'Change in Employment'!L577, "")</f>
        <v/>
      </c>
      <c r="C570" t="str">
        <f>IFERROR(IF(ISNUMBER('Change in Employment'!M577),TEXT('Change in Employment'!M577, "0"), ""), "")</f>
        <v/>
      </c>
      <c r="D570" s="8" t="str">
        <f>IF(ISNUMBER('Change in Employment'!G577),'Change in Employment'!G577,"")</f>
        <v/>
      </c>
    </row>
    <row r="571" spans="1:4">
      <c r="A571" t="str">
        <f>TEXT(IF('Change in Employment'!B578&lt;&gt;0,DATE(YEAR('Change in Employment'!B578), MONTH('Change in Employment'!B578), 1), ""), "mm/dd/yyyy")</f>
        <v/>
      </c>
      <c r="B571" t="str">
        <f>IF(ISNUMBER('Change in Employment'!L578),'Change in Employment'!L578, "")</f>
        <v/>
      </c>
      <c r="C571" t="str">
        <f>IFERROR(IF(ISNUMBER('Change in Employment'!M578),TEXT('Change in Employment'!M578, "0"), ""), "")</f>
        <v/>
      </c>
      <c r="D571" s="8" t="str">
        <f>IF(ISNUMBER('Change in Employment'!G578),'Change in Employment'!G578,"")</f>
        <v/>
      </c>
    </row>
    <row r="572" spans="1:4">
      <c r="A572" t="str">
        <f>TEXT(IF('Change in Employment'!B579&lt;&gt;0,DATE(YEAR('Change in Employment'!B579), MONTH('Change in Employment'!B579), 1), ""), "mm/dd/yyyy")</f>
        <v/>
      </c>
      <c r="B572" t="str">
        <f>IF(ISNUMBER('Change in Employment'!L579),'Change in Employment'!L579, "")</f>
        <v/>
      </c>
      <c r="C572" t="str">
        <f>IFERROR(IF(ISNUMBER('Change in Employment'!M579),TEXT('Change in Employment'!M579, "0"), ""), "")</f>
        <v/>
      </c>
      <c r="D572" s="8" t="str">
        <f>IF(ISNUMBER('Change in Employment'!G579),'Change in Employment'!G579,"")</f>
        <v/>
      </c>
    </row>
    <row r="573" spans="1:4">
      <c r="A573" t="str">
        <f>TEXT(IF('Change in Employment'!B580&lt;&gt;0,DATE(YEAR('Change in Employment'!B580), MONTH('Change in Employment'!B580), 1), ""), "mm/dd/yyyy")</f>
        <v/>
      </c>
      <c r="B573" t="str">
        <f>IF(ISNUMBER('Change in Employment'!L580),'Change in Employment'!L580, "")</f>
        <v/>
      </c>
      <c r="C573" t="str">
        <f>IFERROR(IF(ISNUMBER('Change in Employment'!M580),TEXT('Change in Employment'!M580, "0"), ""), "")</f>
        <v/>
      </c>
      <c r="D573" s="8" t="str">
        <f>IF(ISNUMBER('Change in Employment'!G580),'Change in Employment'!G580,"")</f>
        <v/>
      </c>
    </row>
    <row r="574" spans="1:4">
      <c r="A574" t="str">
        <f>TEXT(IF('Change in Employment'!B581&lt;&gt;0,DATE(YEAR('Change in Employment'!B581), MONTH('Change in Employment'!B581), 1), ""), "mm/dd/yyyy")</f>
        <v/>
      </c>
      <c r="B574" t="str">
        <f>IF(ISNUMBER('Change in Employment'!L581),'Change in Employment'!L581, "")</f>
        <v/>
      </c>
      <c r="C574" t="str">
        <f>IFERROR(IF(ISNUMBER('Change in Employment'!M581),TEXT('Change in Employment'!M581, "0"), ""), "")</f>
        <v/>
      </c>
      <c r="D574" s="8" t="str">
        <f>IF(ISNUMBER('Change in Employment'!G581),'Change in Employment'!G581,"")</f>
        <v/>
      </c>
    </row>
    <row r="575" spans="1:4">
      <c r="A575" t="str">
        <f>TEXT(IF('Change in Employment'!B582&lt;&gt;0,DATE(YEAR('Change in Employment'!B582), MONTH('Change in Employment'!B582), 1), ""), "mm/dd/yyyy")</f>
        <v/>
      </c>
      <c r="B575" t="str">
        <f>IF(ISNUMBER('Change in Employment'!L582),'Change in Employment'!L582, "")</f>
        <v/>
      </c>
      <c r="C575" t="str">
        <f>IFERROR(IF(ISNUMBER('Change in Employment'!M582),TEXT('Change in Employment'!M582, "0"), ""), "")</f>
        <v/>
      </c>
      <c r="D575" s="8" t="str">
        <f>IF(ISNUMBER('Change in Employment'!G582),'Change in Employment'!G582,"")</f>
        <v/>
      </c>
    </row>
    <row r="576" spans="1:4">
      <c r="A576" t="str">
        <f>TEXT(IF('Change in Employment'!B583&lt;&gt;0,DATE(YEAR('Change in Employment'!B583), MONTH('Change in Employment'!B583), 1), ""), "mm/dd/yyyy")</f>
        <v/>
      </c>
      <c r="B576" t="str">
        <f>IF(ISNUMBER('Change in Employment'!L583),'Change in Employment'!L583, "")</f>
        <v/>
      </c>
      <c r="C576" t="str">
        <f>IFERROR(IF(ISNUMBER('Change in Employment'!M583),TEXT('Change in Employment'!M583, "0"), ""), "")</f>
        <v/>
      </c>
      <c r="D576" s="8" t="str">
        <f>IF(ISNUMBER('Change in Employment'!G583),'Change in Employment'!G583,"")</f>
        <v/>
      </c>
    </row>
    <row r="577" spans="1:4">
      <c r="A577" t="str">
        <f>TEXT(IF('Change in Employment'!B584&lt;&gt;0,DATE(YEAR('Change in Employment'!B584), MONTH('Change in Employment'!B584), 1), ""), "mm/dd/yyyy")</f>
        <v/>
      </c>
      <c r="B577" t="str">
        <f>IF(ISNUMBER('Change in Employment'!L584),'Change in Employment'!L584, "")</f>
        <v/>
      </c>
      <c r="C577" t="str">
        <f>IFERROR(IF(ISNUMBER('Change in Employment'!M584),TEXT('Change in Employment'!M584, "0"), ""), "")</f>
        <v/>
      </c>
      <c r="D577" s="8" t="str">
        <f>IF(ISNUMBER('Change in Employment'!G584),'Change in Employment'!G584,"")</f>
        <v/>
      </c>
    </row>
    <row r="578" spans="1:4">
      <c r="A578" t="str">
        <f>TEXT(IF('Change in Employment'!B585&lt;&gt;0,DATE(YEAR('Change in Employment'!B585), MONTH('Change in Employment'!B585), 1), ""), "mm/dd/yyyy")</f>
        <v/>
      </c>
      <c r="B578" t="str">
        <f>IF(ISNUMBER('Change in Employment'!L585),'Change in Employment'!L585, "")</f>
        <v/>
      </c>
      <c r="C578" t="str">
        <f>IFERROR(IF(ISNUMBER('Change in Employment'!M585),TEXT('Change in Employment'!M585, "0"), ""), "")</f>
        <v/>
      </c>
      <c r="D578" s="8" t="str">
        <f>IF(ISNUMBER('Change in Employment'!G585),'Change in Employment'!G585,"")</f>
        <v/>
      </c>
    </row>
    <row r="579" spans="1:4">
      <c r="A579" t="str">
        <f>TEXT(IF('Change in Employment'!B586&lt;&gt;0,DATE(YEAR('Change in Employment'!B586), MONTH('Change in Employment'!B586), 1), ""), "mm/dd/yyyy")</f>
        <v/>
      </c>
      <c r="B579" t="str">
        <f>IF(ISNUMBER('Change in Employment'!L586),'Change in Employment'!L586, "")</f>
        <v/>
      </c>
      <c r="C579" t="str">
        <f>IFERROR(IF(ISNUMBER('Change in Employment'!M586),TEXT('Change in Employment'!M586, "0"), ""), "")</f>
        <v/>
      </c>
      <c r="D579" s="8" t="str">
        <f>IF(ISNUMBER('Change in Employment'!G586),'Change in Employment'!G586,"")</f>
        <v/>
      </c>
    </row>
    <row r="580" spans="1:4">
      <c r="A580" t="str">
        <f>TEXT(IF('Change in Employment'!B587&lt;&gt;0,DATE(YEAR('Change in Employment'!B587), MONTH('Change in Employment'!B587), 1), ""), "mm/dd/yyyy")</f>
        <v/>
      </c>
      <c r="B580" t="str">
        <f>IF(ISNUMBER('Change in Employment'!L587),'Change in Employment'!L587, "")</f>
        <v/>
      </c>
      <c r="C580" t="str">
        <f>IFERROR(IF(ISNUMBER('Change in Employment'!M587),TEXT('Change in Employment'!M587, "0"), ""), "")</f>
        <v/>
      </c>
      <c r="D580" s="8" t="str">
        <f>IF(ISNUMBER('Change in Employment'!G587),'Change in Employment'!G587,"")</f>
        <v/>
      </c>
    </row>
    <row r="581" spans="1:4">
      <c r="A581" t="str">
        <f>TEXT(IF('Change in Employment'!B588&lt;&gt;0,DATE(YEAR('Change in Employment'!B588), MONTH('Change in Employment'!B588), 1), ""), "mm/dd/yyyy")</f>
        <v/>
      </c>
      <c r="B581" t="str">
        <f>IF(ISNUMBER('Change in Employment'!L588),'Change in Employment'!L588, "")</f>
        <v/>
      </c>
      <c r="C581" t="str">
        <f>IFERROR(IF(ISNUMBER('Change in Employment'!M588),TEXT('Change in Employment'!M588, "0"), ""), "")</f>
        <v/>
      </c>
      <c r="D581" s="8" t="str">
        <f>IF(ISNUMBER('Change in Employment'!G588),'Change in Employment'!G588,"")</f>
        <v/>
      </c>
    </row>
    <row r="582" spans="1:4">
      <c r="A582" t="str">
        <f>TEXT(IF('Change in Employment'!B589&lt;&gt;0,DATE(YEAR('Change in Employment'!B589), MONTH('Change in Employment'!B589), 1), ""), "mm/dd/yyyy")</f>
        <v/>
      </c>
      <c r="B582" t="str">
        <f>IF(ISNUMBER('Change in Employment'!L589),'Change in Employment'!L589, "")</f>
        <v/>
      </c>
      <c r="C582" t="str">
        <f>IFERROR(IF(ISNUMBER('Change in Employment'!M589),TEXT('Change in Employment'!M589, "0"), ""), "")</f>
        <v/>
      </c>
      <c r="D582" s="8" t="str">
        <f>IF(ISNUMBER('Change in Employment'!G589),'Change in Employment'!G589,"")</f>
        <v/>
      </c>
    </row>
    <row r="583" spans="1:4">
      <c r="A583" t="str">
        <f>TEXT(IF('Change in Employment'!B590&lt;&gt;0,DATE(YEAR('Change in Employment'!B590), MONTH('Change in Employment'!B590), 1), ""), "mm/dd/yyyy")</f>
        <v/>
      </c>
      <c r="B583" t="str">
        <f>IF(ISNUMBER('Change in Employment'!L590),'Change in Employment'!L590, "")</f>
        <v/>
      </c>
      <c r="C583" t="str">
        <f>IFERROR(IF(ISNUMBER('Change in Employment'!M590),TEXT('Change in Employment'!M590, "0"), ""), "")</f>
        <v/>
      </c>
      <c r="D583" s="8" t="str">
        <f>IF(ISNUMBER('Change in Employment'!G590),'Change in Employment'!G590,"")</f>
        <v/>
      </c>
    </row>
    <row r="584" spans="1:4">
      <c r="A584" t="str">
        <f>TEXT(IF('Change in Employment'!B591&lt;&gt;0,DATE(YEAR('Change in Employment'!B591), MONTH('Change in Employment'!B591), 1), ""), "mm/dd/yyyy")</f>
        <v/>
      </c>
      <c r="B584" t="str">
        <f>IF(ISNUMBER('Change in Employment'!L591),'Change in Employment'!L591, "")</f>
        <v/>
      </c>
      <c r="C584" t="str">
        <f>IFERROR(IF(ISNUMBER('Change in Employment'!M591),TEXT('Change in Employment'!M591, "0"), ""), "")</f>
        <v/>
      </c>
      <c r="D584" s="8" t="str">
        <f>IF(ISNUMBER('Change in Employment'!G591),'Change in Employment'!G591,"")</f>
        <v/>
      </c>
    </row>
    <row r="585" spans="1:4">
      <c r="A585" t="str">
        <f>TEXT(IF('Change in Employment'!B592&lt;&gt;0,DATE(YEAR('Change in Employment'!B592), MONTH('Change in Employment'!B592), 1), ""), "mm/dd/yyyy")</f>
        <v/>
      </c>
      <c r="B585" t="str">
        <f>IF(ISNUMBER('Change in Employment'!L592),'Change in Employment'!L592, "")</f>
        <v/>
      </c>
      <c r="C585" t="str">
        <f>IFERROR(IF(ISNUMBER('Change in Employment'!M592),TEXT('Change in Employment'!M592, "0"), ""), "")</f>
        <v/>
      </c>
      <c r="D585" s="8" t="str">
        <f>IF(ISNUMBER('Change in Employment'!G592),'Change in Employment'!G592,"")</f>
        <v/>
      </c>
    </row>
    <row r="586" spans="1:4">
      <c r="A586" t="str">
        <f>TEXT(IF('Change in Employment'!B593&lt;&gt;0,DATE(YEAR('Change in Employment'!B593), MONTH('Change in Employment'!B593), 1), ""), "mm/dd/yyyy")</f>
        <v/>
      </c>
      <c r="B586" t="str">
        <f>IF(ISNUMBER('Change in Employment'!L593),'Change in Employment'!L593, "")</f>
        <v/>
      </c>
      <c r="C586" t="str">
        <f>IFERROR(IF(ISNUMBER('Change in Employment'!M593),TEXT('Change in Employment'!M593, "0"), ""), "")</f>
        <v/>
      </c>
      <c r="D586" s="8" t="str">
        <f>IF(ISNUMBER('Change in Employment'!G593),'Change in Employment'!G593,"")</f>
        <v/>
      </c>
    </row>
    <row r="587" spans="1:4">
      <c r="A587" t="str">
        <f>TEXT(IF('Change in Employment'!B594&lt;&gt;0,DATE(YEAR('Change in Employment'!B594), MONTH('Change in Employment'!B594), 1), ""), "mm/dd/yyyy")</f>
        <v/>
      </c>
      <c r="B587" t="str">
        <f>IF(ISNUMBER('Change in Employment'!L594),'Change in Employment'!L594, "")</f>
        <v/>
      </c>
      <c r="C587" t="str">
        <f>IFERROR(IF(ISNUMBER('Change in Employment'!M594),TEXT('Change in Employment'!M594, "0"), ""), "")</f>
        <v/>
      </c>
      <c r="D587" s="8" t="str">
        <f>IF(ISNUMBER('Change in Employment'!G594),'Change in Employment'!G594,"")</f>
        <v/>
      </c>
    </row>
    <row r="588" spans="1:4">
      <c r="A588" t="str">
        <f>TEXT(IF('Change in Employment'!B595&lt;&gt;0,DATE(YEAR('Change in Employment'!B595), MONTH('Change in Employment'!B595), 1), ""), "mm/dd/yyyy")</f>
        <v/>
      </c>
      <c r="B588" t="str">
        <f>IF(ISNUMBER('Change in Employment'!L595),'Change in Employment'!L595, "")</f>
        <v/>
      </c>
      <c r="C588" t="str">
        <f>IFERROR(IF(ISNUMBER('Change in Employment'!M595),TEXT('Change in Employment'!M595, "0"), ""), "")</f>
        <v/>
      </c>
      <c r="D588" s="8" t="str">
        <f>IF(ISNUMBER('Change in Employment'!G595),'Change in Employment'!G595,"")</f>
        <v/>
      </c>
    </row>
    <row r="589" spans="1:4">
      <c r="A589" t="str">
        <f>TEXT(IF('Change in Employment'!B596&lt;&gt;0,DATE(YEAR('Change in Employment'!B596), MONTH('Change in Employment'!B596), 1), ""), "mm/dd/yyyy")</f>
        <v/>
      </c>
      <c r="B589" t="str">
        <f>IF(ISNUMBER('Change in Employment'!L596),'Change in Employment'!L596, "")</f>
        <v/>
      </c>
      <c r="C589" t="str">
        <f>IFERROR(IF(ISNUMBER('Change in Employment'!M596),TEXT('Change in Employment'!M596, "0"), ""), "")</f>
        <v/>
      </c>
      <c r="D589" s="8" t="str">
        <f>IF(ISNUMBER('Change in Employment'!G596),'Change in Employment'!G596,"")</f>
        <v/>
      </c>
    </row>
    <row r="590" spans="1:4">
      <c r="A590" t="str">
        <f>TEXT(IF('Change in Employment'!B597&lt;&gt;0,DATE(YEAR('Change in Employment'!B597), MONTH('Change in Employment'!B597), 1), ""), "mm/dd/yyyy")</f>
        <v/>
      </c>
      <c r="B590" t="str">
        <f>IF(ISNUMBER('Change in Employment'!L597),'Change in Employment'!L597, "")</f>
        <v/>
      </c>
      <c r="C590" t="str">
        <f>IFERROR(IF(ISNUMBER('Change in Employment'!M597),TEXT('Change in Employment'!M597, "0"), ""), "")</f>
        <v/>
      </c>
      <c r="D590" s="8" t="str">
        <f>IF(ISNUMBER('Change in Employment'!G597),'Change in Employment'!G597,"")</f>
        <v/>
      </c>
    </row>
    <row r="591" spans="1:4">
      <c r="A591" t="str">
        <f>TEXT(IF('Change in Employment'!B598&lt;&gt;0,DATE(YEAR('Change in Employment'!B598), MONTH('Change in Employment'!B598), 1), ""), "mm/dd/yyyy")</f>
        <v/>
      </c>
      <c r="B591" t="str">
        <f>IF(ISNUMBER('Change in Employment'!L598),'Change in Employment'!L598, "")</f>
        <v/>
      </c>
      <c r="C591" t="str">
        <f>IFERROR(IF(ISNUMBER('Change in Employment'!M598),TEXT('Change in Employment'!M598, "0"), ""), "")</f>
        <v/>
      </c>
      <c r="D591" s="8" t="str">
        <f>IF(ISNUMBER('Change in Employment'!G598),'Change in Employment'!G598,"")</f>
        <v/>
      </c>
    </row>
    <row r="592" spans="1:4">
      <c r="A592" t="str">
        <f>TEXT(IF('Change in Employment'!B599&lt;&gt;0,DATE(YEAR('Change in Employment'!B599), MONTH('Change in Employment'!B599), 1), ""), "mm/dd/yyyy")</f>
        <v/>
      </c>
      <c r="B592" t="str">
        <f>IF(ISNUMBER('Change in Employment'!L599),'Change in Employment'!L599, "")</f>
        <v/>
      </c>
      <c r="C592" t="str">
        <f>IFERROR(IF(ISNUMBER('Change in Employment'!M599),TEXT('Change in Employment'!M599, "0"), ""), "")</f>
        <v/>
      </c>
      <c r="D592" s="8" t="str">
        <f>IF(ISNUMBER('Change in Employment'!G599),'Change in Employment'!G599,"")</f>
        <v/>
      </c>
    </row>
    <row r="593" spans="1:4">
      <c r="A593" t="str">
        <f>TEXT(IF('Change in Employment'!B600&lt;&gt;0,DATE(YEAR('Change in Employment'!B600), MONTH('Change in Employment'!B600), 1), ""), "mm/dd/yyyy")</f>
        <v/>
      </c>
      <c r="B593" t="str">
        <f>IF(ISNUMBER('Change in Employment'!L600),'Change in Employment'!L600, "")</f>
        <v/>
      </c>
      <c r="C593" t="str">
        <f>IFERROR(IF(ISNUMBER('Change in Employment'!M600),TEXT('Change in Employment'!M600, "0"), ""), "")</f>
        <v/>
      </c>
      <c r="D593" s="8" t="str">
        <f>IF(ISNUMBER('Change in Employment'!G600),'Change in Employment'!G600,"")</f>
        <v/>
      </c>
    </row>
    <row r="594" spans="1:4">
      <c r="A594" t="str">
        <f>TEXT(IF('Change in Employment'!B601&lt;&gt;0,DATE(YEAR('Change in Employment'!B601), MONTH('Change in Employment'!B601), 1), ""), "mm/dd/yyyy")</f>
        <v/>
      </c>
      <c r="B594" t="str">
        <f>IF(ISNUMBER('Change in Employment'!L601),'Change in Employment'!L601, "")</f>
        <v/>
      </c>
      <c r="C594" t="str">
        <f>IFERROR(IF(ISNUMBER('Change in Employment'!M601),TEXT('Change in Employment'!M601, "0"), ""), "")</f>
        <v/>
      </c>
      <c r="D594" s="8" t="str">
        <f>IF(ISNUMBER('Change in Employment'!G601),'Change in Employment'!G601,"")</f>
        <v/>
      </c>
    </row>
    <row r="595" spans="1:4">
      <c r="A595" t="str">
        <f>TEXT(IF('Change in Employment'!B602&lt;&gt;0,DATE(YEAR('Change in Employment'!B602), MONTH('Change in Employment'!B602), 1), ""), "mm/dd/yyyy")</f>
        <v/>
      </c>
      <c r="B595" t="str">
        <f>IF(ISNUMBER('Change in Employment'!L602),'Change in Employment'!L602, "")</f>
        <v/>
      </c>
      <c r="C595" t="str">
        <f>IFERROR(IF(ISNUMBER('Change in Employment'!M602),TEXT('Change in Employment'!M602, "0"), ""), "")</f>
        <v/>
      </c>
      <c r="D595" s="8" t="str">
        <f>IF(ISNUMBER('Change in Employment'!G602),'Change in Employment'!G602,"")</f>
        <v/>
      </c>
    </row>
    <row r="596" spans="1:4">
      <c r="A596" t="str">
        <f>TEXT(IF('Change in Employment'!B603&lt;&gt;0,DATE(YEAR('Change in Employment'!B603), MONTH('Change in Employment'!B603), 1), ""), "mm/dd/yyyy")</f>
        <v/>
      </c>
      <c r="B596" t="str">
        <f>IF(ISNUMBER('Change in Employment'!L603),'Change in Employment'!L603, "")</f>
        <v/>
      </c>
      <c r="C596" t="str">
        <f>IFERROR(IF(ISNUMBER('Change in Employment'!M603),TEXT('Change in Employment'!M603, "0"), ""), "")</f>
        <v/>
      </c>
      <c r="D596" s="8" t="str">
        <f>IF(ISNUMBER('Change in Employment'!G603),'Change in Employment'!G603,"")</f>
        <v/>
      </c>
    </row>
    <row r="597" spans="1:4">
      <c r="A597" t="str">
        <f>TEXT(IF('Change in Employment'!B604&lt;&gt;0,DATE(YEAR('Change in Employment'!B604), MONTH('Change in Employment'!B604), 1), ""), "mm/dd/yyyy")</f>
        <v/>
      </c>
      <c r="B597" t="str">
        <f>IF(ISNUMBER('Change in Employment'!L604),'Change in Employment'!L604, "")</f>
        <v/>
      </c>
      <c r="C597" t="str">
        <f>IFERROR(IF(ISNUMBER('Change in Employment'!M604),TEXT('Change in Employment'!M604, "0"), ""), "")</f>
        <v/>
      </c>
      <c r="D597" s="8" t="str">
        <f>IF(ISNUMBER('Change in Employment'!G604),'Change in Employment'!G604,"")</f>
        <v/>
      </c>
    </row>
    <row r="598" spans="1:4">
      <c r="A598" t="str">
        <f>TEXT(IF('Change in Employment'!B605&lt;&gt;0,DATE(YEAR('Change in Employment'!B605), MONTH('Change in Employment'!B605), 1), ""), "mm/dd/yyyy")</f>
        <v/>
      </c>
      <c r="B598" t="str">
        <f>IF(ISNUMBER('Change in Employment'!L605),'Change in Employment'!L605, "")</f>
        <v/>
      </c>
      <c r="C598" t="str">
        <f>IFERROR(IF(ISNUMBER('Change in Employment'!M605),TEXT('Change in Employment'!M605, "0"), ""), "")</f>
        <v/>
      </c>
      <c r="D598" s="8" t="str">
        <f>IF(ISNUMBER('Change in Employment'!G605),'Change in Employment'!G605,"")</f>
        <v/>
      </c>
    </row>
    <row r="599" spans="1:4">
      <c r="A599" t="str">
        <f>TEXT(IF('Change in Employment'!B606&lt;&gt;0,DATE(YEAR('Change in Employment'!B606), MONTH('Change in Employment'!B606), 1), ""), "mm/dd/yyyy")</f>
        <v/>
      </c>
      <c r="B599" t="str">
        <f>IF(ISNUMBER('Change in Employment'!L606),'Change in Employment'!L606, "")</f>
        <v/>
      </c>
      <c r="C599" t="str">
        <f>IFERROR(IF(ISNUMBER('Change in Employment'!M606),TEXT('Change in Employment'!M606, "0"), ""), "")</f>
        <v/>
      </c>
      <c r="D599" s="8" t="str">
        <f>IF(ISNUMBER('Change in Employment'!G606),'Change in Employment'!G606,"")</f>
        <v/>
      </c>
    </row>
    <row r="600" spans="1:4">
      <c r="A600" t="str">
        <f>TEXT(IF('Change in Employment'!B607&lt;&gt;0,DATE(YEAR('Change in Employment'!B607), MONTH('Change in Employment'!B607), 1), ""), "mm/dd/yyyy")</f>
        <v/>
      </c>
      <c r="B600" t="str">
        <f>IF(ISNUMBER('Change in Employment'!L607),'Change in Employment'!L607, "")</f>
        <v/>
      </c>
      <c r="C600" t="str">
        <f>IFERROR(IF(ISNUMBER('Change in Employment'!M607),TEXT('Change in Employment'!M607, "0"), ""), "")</f>
        <v/>
      </c>
      <c r="D600" s="8" t="str">
        <f>IF(ISNUMBER('Change in Employment'!G607),'Change in Employment'!G607,"")</f>
        <v/>
      </c>
    </row>
    <row r="601" spans="1:4">
      <c r="A601" t="str">
        <f>TEXT(IF('Change in Employment'!B608&lt;&gt;0,DATE(YEAR('Change in Employment'!B608), MONTH('Change in Employment'!B608), 1), ""), "mm/dd/yyyy")</f>
        <v/>
      </c>
      <c r="B601" t="str">
        <f>IF(ISNUMBER('Change in Employment'!L608),'Change in Employment'!L608, "")</f>
        <v/>
      </c>
      <c r="C601" t="str">
        <f>IFERROR(IF(ISNUMBER('Change in Employment'!M608),TEXT('Change in Employment'!M608, "0"), ""), "")</f>
        <v/>
      </c>
      <c r="D601" s="8" t="str">
        <f>IF(ISNUMBER('Change in Employment'!G608),'Change in Employment'!G608,"")</f>
        <v/>
      </c>
    </row>
    <row r="602" spans="1:4">
      <c r="A602" t="str">
        <f>TEXT(IF('Change in Employment'!B609&lt;&gt;0,DATE(YEAR('Change in Employment'!B609), MONTH('Change in Employment'!B609), 1), ""), "mm/dd/yyyy")</f>
        <v/>
      </c>
      <c r="B602" t="str">
        <f>IF(ISNUMBER('Change in Employment'!L609),'Change in Employment'!L609, "")</f>
        <v/>
      </c>
      <c r="C602" t="str">
        <f>IFERROR(IF(ISNUMBER('Change in Employment'!M609),TEXT('Change in Employment'!M609, "0"), ""), "")</f>
        <v/>
      </c>
      <c r="D602" s="8" t="str">
        <f>IF(ISNUMBER('Change in Employment'!G609),'Change in Employment'!G609,"")</f>
        <v/>
      </c>
    </row>
    <row r="603" spans="1:4">
      <c r="A603" t="str">
        <f>TEXT(IF('Change in Employment'!B610&lt;&gt;0,DATE(YEAR('Change in Employment'!B610), MONTH('Change in Employment'!B610), 1), ""), "mm/dd/yyyy")</f>
        <v/>
      </c>
      <c r="B603" t="str">
        <f>IF(ISNUMBER('Change in Employment'!L610),'Change in Employment'!L610, "")</f>
        <v/>
      </c>
      <c r="C603" t="str">
        <f>IFERROR(IF(ISNUMBER('Change in Employment'!M610),TEXT('Change in Employment'!M610, "0"), ""), "")</f>
        <v/>
      </c>
      <c r="D603" s="8" t="str">
        <f>IF(ISNUMBER('Change in Employment'!G610),'Change in Employment'!G610,"")</f>
        <v/>
      </c>
    </row>
    <row r="604" spans="1:4">
      <c r="A604" t="str">
        <f>TEXT(IF('Change in Employment'!B611&lt;&gt;0,DATE(YEAR('Change in Employment'!B611), MONTH('Change in Employment'!B611), 1), ""), "mm/dd/yyyy")</f>
        <v/>
      </c>
      <c r="B604" t="str">
        <f>IF(ISNUMBER('Change in Employment'!L611),'Change in Employment'!L611, "")</f>
        <v/>
      </c>
      <c r="C604" t="str">
        <f>IFERROR(IF(ISNUMBER('Change in Employment'!M611),TEXT('Change in Employment'!M611, "0"), ""), "")</f>
        <v/>
      </c>
      <c r="D604" s="8" t="str">
        <f>IF(ISNUMBER('Change in Employment'!G611),'Change in Employment'!G611,"")</f>
        <v/>
      </c>
    </row>
    <row r="605" spans="1:4">
      <c r="A605" t="str">
        <f>TEXT(IF('Change in Employment'!B612&lt;&gt;0,DATE(YEAR('Change in Employment'!B612), MONTH('Change in Employment'!B612), 1), ""), "mm/dd/yyyy")</f>
        <v/>
      </c>
      <c r="B605" t="str">
        <f>IF(ISNUMBER('Change in Employment'!L612),'Change in Employment'!L612, "")</f>
        <v/>
      </c>
      <c r="C605" t="str">
        <f>IFERROR(IF(ISNUMBER('Change in Employment'!M612),TEXT('Change in Employment'!M612, "0"), ""), "")</f>
        <v/>
      </c>
      <c r="D605" s="8" t="str">
        <f>IF(ISNUMBER('Change in Employment'!G612),'Change in Employment'!G612,"")</f>
        <v/>
      </c>
    </row>
    <row r="606" spans="1:4">
      <c r="A606" t="str">
        <f>TEXT(IF('Change in Employment'!B613&lt;&gt;0,DATE(YEAR('Change in Employment'!B613), MONTH('Change in Employment'!B613), 1), ""), "mm/dd/yyyy")</f>
        <v/>
      </c>
      <c r="B606" t="str">
        <f>IF(ISNUMBER('Change in Employment'!L613),'Change in Employment'!L613, "")</f>
        <v/>
      </c>
      <c r="C606" t="str">
        <f>IFERROR(IF(ISNUMBER('Change in Employment'!M613),TEXT('Change in Employment'!M613, "0"), ""), "")</f>
        <v/>
      </c>
      <c r="D606" s="8" t="str">
        <f>IF(ISNUMBER('Change in Employment'!G613),'Change in Employment'!G613,"")</f>
        <v/>
      </c>
    </row>
    <row r="607" spans="1:4">
      <c r="A607" t="str">
        <f>TEXT(IF('Change in Employment'!B614&lt;&gt;0,DATE(YEAR('Change in Employment'!B614), MONTH('Change in Employment'!B614), 1), ""), "mm/dd/yyyy")</f>
        <v/>
      </c>
      <c r="B607" t="str">
        <f>IF(ISNUMBER('Change in Employment'!L614),'Change in Employment'!L614, "")</f>
        <v/>
      </c>
      <c r="C607" t="str">
        <f>IFERROR(IF(ISNUMBER('Change in Employment'!M614),TEXT('Change in Employment'!M614, "0"), ""), "")</f>
        <v/>
      </c>
      <c r="D607" s="8" t="str">
        <f>IF(ISNUMBER('Change in Employment'!G614),'Change in Employment'!G614,"")</f>
        <v/>
      </c>
    </row>
    <row r="608" spans="1:4">
      <c r="A608" t="str">
        <f>TEXT(IF('Change in Employment'!B615&lt;&gt;0,DATE(YEAR('Change in Employment'!B615), MONTH('Change in Employment'!B615), 1), ""), "mm/dd/yyyy")</f>
        <v/>
      </c>
      <c r="B608" t="str">
        <f>IF(ISNUMBER('Change in Employment'!L615),'Change in Employment'!L615, "")</f>
        <v/>
      </c>
      <c r="C608" t="str">
        <f>IFERROR(IF(ISNUMBER('Change in Employment'!M615),TEXT('Change in Employment'!M615, "0"), ""), "")</f>
        <v/>
      </c>
      <c r="D608" s="8" t="str">
        <f>IF(ISNUMBER('Change in Employment'!G615),'Change in Employment'!G615,"")</f>
        <v/>
      </c>
    </row>
    <row r="609" spans="1:4">
      <c r="A609" t="str">
        <f>TEXT(IF('Change in Employment'!B616&lt;&gt;0,DATE(YEAR('Change in Employment'!B616), MONTH('Change in Employment'!B616), 1), ""), "mm/dd/yyyy")</f>
        <v/>
      </c>
      <c r="B609" t="str">
        <f>IF(ISNUMBER('Change in Employment'!L616),'Change in Employment'!L616, "")</f>
        <v/>
      </c>
      <c r="C609" t="str">
        <f>IFERROR(IF(ISNUMBER('Change in Employment'!M616),TEXT('Change in Employment'!M616, "0"), ""), "")</f>
        <v/>
      </c>
      <c r="D609" s="8" t="str">
        <f>IF(ISNUMBER('Change in Employment'!G616),'Change in Employment'!G616,"")</f>
        <v/>
      </c>
    </row>
    <row r="610" spans="1:4">
      <c r="A610" t="str">
        <f>TEXT(IF('Change in Employment'!B617&lt;&gt;0,DATE(YEAR('Change in Employment'!B617), MONTH('Change in Employment'!B617), 1), ""), "mm/dd/yyyy")</f>
        <v/>
      </c>
      <c r="B610" t="str">
        <f>IF(ISNUMBER('Change in Employment'!L617),'Change in Employment'!L617, "")</f>
        <v/>
      </c>
      <c r="C610" t="str">
        <f>IFERROR(IF(ISNUMBER('Change in Employment'!M617),TEXT('Change in Employment'!M617, "0"), ""), "")</f>
        <v/>
      </c>
      <c r="D610" s="8" t="str">
        <f>IF(ISNUMBER('Change in Employment'!G617),'Change in Employment'!G617,"")</f>
        <v/>
      </c>
    </row>
    <row r="611" spans="1:4">
      <c r="A611" t="str">
        <f>TEXT(IF('Change in Employment'!B618&lt;&gt;0,DATE(YEAR('Change in Employment'!B618), MONTH('Change in Employment'!B618), 1), ""), "mm/dd/yyyy")</f>
        <v/>
      </c>
      <c r="B611" t="str">
        <f>IF(ISNUMBER('Change in Employment'!L618),'Change in Employment'!L618, "")</f>
        <v/>
      </c>
      <c r="C611" t="str">
        <f>IFERROR(IF(ISNUMBER('Change in Employment'!M618),TEXT('Change in Employment'!M618, "0"), ""), "")</f>
        <v/>
      </c>
      <c r="D611" s="8" t="str">
        <f>IF(ISNUMBER('Change in Employment'!G618),'Change in Employment'!G618,"")</f>
        <v/>
      </c>
    </row>
    <row r="612" spans="1:4">
      <c r="A612" t="str">
        <f>TEXT(IF('Change in Employment'!B619&lt;&gt;0,DATE(YEAR('Change in Employment'!B619), MONTH('Change in Employment'!B619), 1), ""), "mm/dd/yyyy")</f>
        <v/>
      </c>
      <c r="B612" t="str">
        <f>IF(ISNUMBER('Change in Employment'!L619),'Change in Employment'!L619, "")</f>
        <v/>
      </c>
      <c r="C612" t="str">
        <f>IFERROR(IF(ISNUMBER('Change in Employment'!M619),TEXT('Change in Employment'!M619, "0"), ""), "")</f>
        <v/>
      </c>
      <c r="D612" s="8" t="str">
        <f>IF(ISNUMBER('Change in Employment'!G619),'Change in Employment'!G619,"")</f>
        <v/>
      </c>
    </row>
    <row r="613" spans="1:4">
      <c r="A613" t="str">
        <f>TEXT(IF('Change in Employment'!B620&lt;&gt;0,DATE(YEAR('Change in Employment'!B620), MONTH('Change in Employment'!B620), 1), ""), "mm/dd/yyyy")</f>
        <v/>
      </c>
      <c r="B613" t="str">
        <f>IF(ISNUMBER('Change in Employment'!L620),'Change in Employment'!L620, "")</f>
        <v/>
      </c>
      <c r="C613" t="str">
        <f>IFERROR(IF(ISNUMBER('Change in Employment'!M620),TEXT('Change in Employment'!M620, "0"), ""), "")</f>
        <v/>
      </c>
      <c r="D613" s="8" t="str">
        <f>IF(ISNUMBER('Change in Employment'!G620),'Change in Employment'!G620,"")</f>
        <v/>
      </c>
    </row>
    <row r="614" spans="1:4">
      <c r="A614" t="str">
        <f>TEXT(IF('Change in Employment'!B621&lt;&gt;0,DATE(YEAR('Change in Employment'!B621), MONTH('Change in Employment'!B621), 1), ""), "mm/dd/yyyy")</f>
        <v/>
      </c>
      <c r="B614" t="str">
        <f>IF(ISNUMBER('Change in Employment'!L621),'Change in Employment'!L621, "")</f>
        <v/>
      </c>
      <c r="C614" t="str">
        <f>IFERROR(IF(ISNUMBER('Change in Employment'!M621),TEXT('Change in Employment'!M621, "0"), ""), "")</f>
        <v/>
      </c>
      <c r="D614" s="8" t="str">
        <f>IF(ISNUMBER('Change in Employment'!G621),'Change in Employment'!G621,"")</f>
        <v/>
      </c>
    </row>
    <row r="615" spans="1:4">
      <c r="A615" t="str">
        <f>TEXT(IF('Change in Employment'!B622&lt;&gt;0,DATE(YEAR('Change in Employment'!B622), MONTH('Change in Employment'!B622), 1), ""), "mm/dd/yyyy")</f>
        <v/>
      </c>
      <c r="B615" t="str">
        <f>IF(ISNUMBER('Change in Employment'!L622),'Change in Employment'!L622, "")</f>
        <v/>
      </c>
      <c r="C615" t="str">
        <f>IFERROR(IF(ISNUMBER('Change in Employment'!M622),TEXT('Change in Employment'!M622, "0"), ""), "")</f>
        <v/>
      </c>
      <c r="D615" s="8" t="str">
        <f>IF(ISNUMBER('Change in Employment'!G622),'Change in Employment'!G622,"")</f>
        <v/>
      </c>
    </row>
    <row r="616" spans="1:4">
      <c r="A616" t="str">
        <f>TEXT(IF('Change in Employment'!B623&lt;&gt;0,DATE(YEAR('Change in Employment'!B623), MONTH('Change in Employment'!B623), 1), ""), "mm/dd/yyyy")</f>
        <v/>
      </c>
      <c r="B616" t="str">
        <f>IF(ISNUMBER('Change in Employment'!L623),'Change in Employment'!L623, "")</f>
        <v/>
      </c>
      <c r="C616" t="str">
        <f>IFERROR(IF(ISNUMBER('Change in Employment'!M623),TEXT('Change in Employment'!M623, "0"), ""), "")</f>
        <v/>
      </c>
      <c r="D616" s="8" t="str">
        <f>IF(ISNUMBER('Change in Employment'!G623),'Change in Employment'!G623,"")</f>
        <v/>
      </c>
    </row>
    <row r="617" spans="1:4">
      <c r="A617" t="str">
        <f>TEXT(IF('Change in Employment'!B624&lt;&gt;0,DATE(YEAR('Change in Employment'!B624), MONTH('Change in Employment'!B624), 1), ""), "mm/dd/yyyy")</f>
        <v/>
      </c>
      <c r="B617" t="str">
        <f>IF(ISNUMBER('Change in Employment'!L624),'Change in Employment'!L624, "")</f>
        <v/>
      </c>
      <c r="C617" t="str">
        <f>IFERROR(IF(ISNUMBER('Change in Employment'!M624),TEXT('Change in Employment'!M624, "0"), ""), "")</f>
        <v/>
      </c>
      <c r="D617" s="8" t="str">
        <f>IF(ISNUMBER('Change in Employment'!G624),'Change in Employment'!G624,"")</f>
        <v/>
      </c>
    </row>
    <row r="618" spans="1:4">
      <c r="A618" t="str">
        <f>TEXT(IF('Change in Employment'!B625&lt;&gt;0,DATE(YEAR('Change in Employment'!B625), MONTH('Change in Employment'!B625), 1), ""), "mm/dd/yyyy")</f>
        <v/>
      </c>
      <c r="B618" t="str">
        <f>IF(ISNUMBER('Change in Employment'!L625),'Change in Employment'!L625, "")</f>
        <v/>
      </c>
      <c r="C618" t="str">
        <f>IFERROR(IF(ISNUMBER('Change in Employment'!M625),TEXT('Change in Employment'!M625, "0"), ""), "")</f>
        <v/>
      </c>
      <c r="D618" s="8" t="str">
        <f>IF(ISNUMBER('Change in Employment'!G625),'Change in Employment'!G625,"")</f>
        <v/>
      </c>
    </row>
    <row r="619" spans="1:4">
      <c r="A619" t="str">
        <f>TEXT(IF('Change in Employment'!B626&lt;&gt;0,DATE(YEAR('Change in Employment'!B626), MONTH('Change in Employment'!B626), 1), ""), "mm/dd/yyyy")</f>
        <v/>
      </c>
      <c r="B619" t="str">
        <f>IF(ISNUMBER('Change in Employment'!L626),'Change in Employment'!L626, "")</f>
        <v/>
      </c>
      <c r="C619" t="str">
        <f>IFERROR(IF(ISNUMBER('Change in Employment'!M626),TEXT('Change in Employment'!M626, "0"), ""), "")</f>
        <v/>
      </c>
      <c r="D619" s="8" t="str">
        <f>IF(ISNUMBER('Change in Employment'!G626),'Change in Employment'!G626,"")</f>
        <v/>
      </c>
    </row>
    <row r="620" spans="1:4">
      <c r="A620" t="str">
        <f>TEXT(IF('Change in Employment'!B627&lt;&gt;0,DATE(YEAR('Change in Employment'!B627), MONTH('Change in Employment'!B627), 1), ""), "mm/dd/yyyy")</f>
        <v/>
      </c>
      <c r="B620" t="str">
        <f>IF(ISNUMBER('Change in Employment'!L627),'Change in Employment'!L627, "")</f>
        <v/>
      </c>
      <c r="C620" t="str">
        <f>IFERROR(IF(ISNUMBER('Change in Employment'!M627),TEXT('Change in Employment'!M627, "0"), ""), "")</f>
        <v/>
      </c>
      <c r="D620" s="8" t="str">
        <f>IF(ISNUMBER('Change in Employment'!G627),'Change in Employment'!G627,"")</f>
        <v/>
      </c>
    </row>
    <row r="621" spans="1:4">
      <c r="A621" t="str">
        <f>TEXT(IF('Change in Employment'!B628&lt;&gt;0,DATE(YEAR('Change in Employment'!B628), MONTH('Change in Employment'!B628), 1), ""), "mm/dd/yyyy")</f>
        <v/>
      </c>
      <c r="B621" t="str">
        <f>IF(ISNUMBER('Change in Employment'!L628),'Change in Employment'!L628, "")</f>
        <v/>
      </c>
      <c r="C621" t="str">
        <f>IFERROR(IF(ISNUMBER('Change in Employment'!M628),TEXT('Change in Employment'!M628, "0"), ""), "")</f>
        <v/>
      </c>
      <c r="D621" s="8" t="str">
        <f>IF(ISNUMBER('Change in Employment'!G628),'Change in Employment'!G628,"")</f>
        <v/>
      </c>
    </row>
    <row r="622" spans="1:4">
      <c r="A622" t="str">
        <f>TEXT(IF('Change in Employment'!B629&lt;&gt;0,DATE(YEAR('Change in Employment'!B629), MONTH('Change in Employment'!B629), 1), ""), "mm/dd/yyyy")</f>
        <v/>
      </c>
      <c r="B622" t="str">
        <f>IF(ISNUMBER('Change in Employment'!L629),'Change in Employment'!L629, "")</f>
        <v/>
      </c>
      <c r="C622" t="str">
        <f>IFERROR(IF(ISNUMBER('Change in Employment'!M629),TEXT('Change in Employment'!M629, "0"), ""), "")</f>
        <v/>
      </c>
      <c r="D622" s="8" t="str">
        <f>IF(ISNUMBER('Change in Employment'!G629),'Change in Employment'!G629,"")</f>
        <v/>
      </c>
    </row>
    <row r="623" spans="1:4">
      <c r="A623" t="str">
        <f>TEXT(IF('Change in Employment'!B630&lt;&gt;0,DATE(YEAR('Change in Employment'!B630), MONTH('Change in Employment'!B630), 1), ""), "mm/dd/yyyy")</f>
        <v/>
      </c>
      <c r="B623" t="str">
        <f>IF(ISNUMBER('Change in Employment'!L630),'Change in Employment'!L630, "")</f>
        <v/>
      </c>
      <c r="C623" t="str">
        <f>IFERROR(IF(ISNUMBER('Change in Employment'!M630),TEXT('Change in Employment'!M630, "0"), ""), "")</f>
        <v/>
      </c>
      <c r="D623" s="8" t="str">
        <f>IF(ISNUMBER('Change in Employment'!G630),'Change in Employment'!G630,"")</f>
        <v/>
      </c>
    </row>
    <row r="624" spans="1:4">
      <c r="A624" t="str">
        <f>TEXT(IF('Change in Employment'!B631&lt;&gt;0,DATE(YEAR('Change in Employment'!B631), MONTH('Change in Employment'!B631), 1), ""), "mm/dd/yyyy")</f>
        <v/>
      </c>
      <c r="B624" t="str">
        <f>IF(ISNUMBER('Change in Employment'!L631),'Change in Employment'!L631, "")</f>
        <v/>
      </c>
      <c r="C624" t="str">
        <f>IFERROR(IF(ISNUMBER('Change in Employment'!M631),TEXT('Change in Employment'!M631, "0"), ""), "")</f>
        <v/>
      </c>
      <c r="D624" s="8" t="str">
        <f>IF(ISNUMBER('Change in Employment'!G631),'Change in Employment'!G631,"")</f>
        <v/>
      </c>
    </row>
    <row r="625" spans="1:4">
      <c r="A625" t="str">
        <f>TEXT(IF('Change in Employment'!B632&lt;&gt;0,DATE(YEAR('Change in Employment'!B632), MONTH('Change in Employment'!B632), 1), ""), "mm/dd/yyyy")</f>
        <v/>
      </c>
      <c r="B625" t="str">
        <f>IF(ISNUMBER('Change in Employment'!L632),'Change in Employment'!L632, "")</f>
        <v/>
      </c>
      <c r="C625" t="str">
        <f>IFERROR(IF(ISNUMBER('Change in Employment'!M632),TEXT('Change in Employment'!M632, "0"), ""), "")</f>
        <v/>
      </c>
      <c r="D625" s="8" t="str">
        <f>IF(ISNUMBER('Change in Employment'!G632),'Change in Employment'!G632,"")</f>
        <v/>
      </c>
    </row>
    <row r="626" spans="1:4">
      <c r="A626" t="str">
        <f>TEXT(IF('Change in Employment'!B633&lt;&gt;0,DATE(YEAR('Change in Employment'!B633), MONTH('Change in Employment'!B633), 1), ""), "mm/dd/yyyy")</f>
        <v/>
      </c>
      <c r="B626" t="str">
        <f>IF(ISNUMBER('Change in Employment'!L633),'Change in Employment'!L633, "")</f>
        <v/>
      </c>
      <c r="C626" t="str">
        <f>IFERROR(IF(ISNUMBER('Change in Employment'!M633),TEXT('Change in Employment'!M633, "0"), ""), "")</f>
        <v/>
      </c>
      <c r="D626" s="8" t="str">
        <f>IF(ISNUMBER('Change in Employment'!G633),'Change in Employment'!G633,"")</f>
        <v/>
      </c>
    </row>
    <row r="627" spans="1:4">
      <c r="A627" t="str">
        <f>TEXT(IF('Change in Employment'!B634&lt;&gt;0,DATE(YEAR('Change in Employment'!B634), MONTH('Change in Employment'!B634), 1), ""), "mm/dd/yyyy")</f>
        <v/>
      </c>
      <c r="B627" t="str">
        <f>IF(ISNUMBER('Change in Employment'!L634),'Change in Employment'!L634, "")</f>
        <v/>
      </c>
      <c r="C627" t="str">
        <f>IFERROR(IF(ISNUMBER('Change in Employment'!M634),TEXT('Change in Employment'!M634, "0"), ""), "")</f>
        <v/>
      </c>
      <c r="D627" s="8" t="str">
        <f>IF(ISNUMBER('Change in Employment'!G634),'Change in Employment'!G634,"")</f>
        <v/>
      </c>
    </row>
    <row r="628" spans="1:4">
      <c r="A628" t="str">
        <f>TEXT(IF('Change in Employment'!B635&lt;&gt;0,DATE(YEAR('Change in Employment'!B635), MONTH('Change in Employment'!B635), 1), ""), "mm/dd/yyyy")</f>
        <v/>
      </c>
      <c r="B628" t="str">
        <f>IF(ISNUMBER('Change in Employment'!L635),'Change in Employment'!L635, "")</f>
        <v/>
      </c>
      <c r="C628" t="str">
        <f>IFERROR(IF(ISNUMBER('Change in Employment'!M635),TEXT('Change in Employment'!M635, "0"), ""), "")</f>
        <v/>
      </c>
      <c r="D628" s="8" t="str">
        <f>IF(ISNUMBER('Change in Employment'!G635),'Change in Employment'!G635,"")</f>
        <v/>
      </c>
    </row>
    <row r="629" spans="1:4">
      <c r="A629" t="str">
        <f>TEXT(IF('Change in Employment'!B636&lt;&gt;0,DATE(YEAR('Change in Employment'!B636), MONTH('Change in Employment'!B636), 1), ""), "mm/dd/yyyy")</f>
        <v/>
      </c>
      <c r="B629" t="str">
        <f>IF(ISNUMBER('Change in Employment'!L636),'Change in Employment'!L636, "")</f>
        <v/>
      </c>
      <c r="C629" t="str">
        <f>IFERROR(IF(ISNUMBER('Change in Employment'!M636),TEXT('Change in Employment'!M636, "0"), ""), "")</f>
        <v/>
      </c>
      <c r="D629" s="8" t="str">
        <f>IF(ISNUMBER('Change in Employment'!G636),'Change in Employment'!G636,"")</f>
        <v/>
      </c>
    </row>
    <row r="630" spans="1:4">
      <c r="A630" t="str">
        <f>TEXT(IF('Change in Employment'!B637&lt;&gt;0,DATE(YEAR('Change in Employment'!B637), MONTH('Change in Employment'!B637), 1), ""), "mm/dd/yyyy")</f>
        <v/>
      </c>
      <c r="B630" t="str">
        <f>IF(ISNUMBER('Change in Employment'!L637),'Change in Employment'!L637, "")</f>
        <v/>
      </c>
      <c r="C630" t="str">
        <f>IFERROR(IF(ISNUMBER('Change in Employment'!M637),TEXT('Change in Employment'!M637, "0"), ""), "")</f>
        <v/>
      </c>
      <c r="D630" s="8" t="str">
        <f>IF(ISNUMBER('Change in Employment'!G637),'Change in Employment'!G637,"")</f>
        <v/>
      </c>
    </row>
    <row r="631" spans="1:4">
      <c r="A631" t="str">
        <f>TEXT(IF('Change in Employment'!B638&lt;&gt;0,DATE(YEAR('Change in Employment'!B638), MONTH('Change in Employment'!B638), 1), ""), "mm/dd/yyyy")</f>
        <v/>
      </c>
      <c r="B631" t="str">
        <f>IF(ISNUMBER('Change in Employment'!L638),'Change in Employment'!L638, "")</f>
        <v/>
      </c>
      <c r="C631" t="str">
        <f>IFERROR(IF(ISNUMBER('Change in Employment'!M638),TEXT('Change in Employment'!M638, "0"), ""), "")</f>
        <v/>
      </c>
      <c r="D631" s="8" t="str">
        <f>IF(ISNUMBER('Change in Employment'!G638),'Change in Employment'!G638,"")</f>
        <v/>
      </c>
    </row>
    <row r="632" spans="1:4">
      <c r="A632" t="str">
        <f>TEXT(IF('Change in Employment'!B639&lt;&gt;0,DATE(YEAR('Change in Employment'!B639), MONTH('Change in Employment'!B639), 1), ""), "mm/dd/yyyy")</f>
        <v/>
      </c>
      <c r="B632" t="str">
        <f>IF(ISNUMBER('Change in Employment'!L639),'Change in Employment'!L639, "")</f>
        <v/>
      </c>
      <c r="C632" t="str">
        <f>IFERROR(IF(ISNUMBER('Change in Employment'!M639),TEXT('Change in Employment'!M639, "0"), ""), "")</f>
        <v/>
      </c>
      <c r="D632" s="8" t="str">
        <f>IF(ISNUMBER('Change in Employment'!G639),'Change in Employment'!G639,"")</f>
        <v/>
      </c>
    </row>
    <row r="633" spans="1:4">
      <c r="A633" t="str">
        <f>TEXT(IF('Change in Employment'!B640&lt;&gt;0,DATE(YEAR('Change in Employment'!B640), MONTH('Change in Employment'!B640), 1), ""), "mm/dd/yyyy")</f>
        <v/>
      </c>
      <c r="B633" t="str">
        <f>IF(ISNUMBER('Change in Employment'!L640),'Change in Employment'!L640, "")</f>
        <v/>
      </c>
      <c r="C633" t="str">
        <f>IFERROR(IF(ISNUMBER('Change in Employment'!M640),TEXT('Change in Employment'!M640, "0"), ""), "")</f>
        <v/>
      </c>
      <c r="D633" s="8" t="str">
        <f>IF(ISNUMBER('Change in Employment'!G640),'Change in Employment'!G640,"")</f>
        <v/>
      </c>
    </row>
    <row r="634" spans="1:4">
      <c r="A634" t="str">
        <f>TEXT(IF('Change in Employment'!B641&lt;&gt;0,DATE(YEAR('Change in Employment'!B641), MONTH('Change in Employment'!B641), 1), ""), "mm/dd/yyyy")</f>
        <v/>
      </c>
      <c r="B634" t="str">
        <f>IF(ISNUMBER('Change in Employment'!L641),'Change in Employment'!L641, "")</f>
        <v/>
      </c>
      <c r="C634" t="str">
        <f>IFERROR(IF(ISNUMBER('Change in Employment'!M641),TEXT('Change in Employment'!M641, "0"), ""), "")</f>
        <v/>
      </c>
      <c r="D634" s="8" t="str">
        <f>IF(ISNUMBER('Change in Employment'!G641),'Change in Employment'!G641,"")</f>
        <v/>
      </c>
    </row>
    <row r="635" spans="1:4">
      <c r="A635" t="str">
        <f>TEXT(IF('Change in Employment'!B642&lt;&gt;0,DATE(YEAR('Change in Employment'!B642), MONTH('Change in Employment'!B642), 1), ""), "mm/dd/yyyy")</f>
        <v/>
      </c>
      <c r="B635" t="str">
        <f>IF(ISNUMBER('Change in Employment'!L642),'Change in Employment'!L642, "")</f>
        <v/>
      </c>
      <c r="C635" t="str">
        <f>IFERROR(IF(ISNUMBER('Change in Employment'!M642),TEXT('Change in Employment'!M642, "0"), ""), "")</f>
        <v/>
      </c>
      <c r="D635" s="8" t="str">
        <f>IF(ISNUMBER('Change in Employment'!G642),'Change in Employment'!G642,"")</f>
        <v/>
      </c>
    </row>
    <row r="636" spans="1:4">
      <c r="A636" t="str">
        <f>TEXT(IF('Change in Employment'!B643&lt;&gt;0,DATE(YEAR('Change in Employment'!B643), MONTH('Change in Employment'!B643), 1), ""), "mm/dd/yyyy")</f>
        <v/>
      </c>
      <c r="B636" t="str">
        <f>IF(ISNUMBER('Change in Employment'!L643),'Change in Employment'!L643, "")</f>
        <v/>
      </c>
      <c r="C636" t="str">
        <f>IFERROR(IF(ISNUMBER('Change in Employment'!M643),TEXT('Change in Employment'!M643, "0"), ""), "")</f>
        <v/>
      </c>
      <c r="D636" s="8" t="str">
        <f>IF(ISNUMBER('Change in Employment'!G643),'Change in Employment'!G643,"")</f>
        <v/>
      </c>
    </row>
    <row r="637" spans="1:4">
      <c r="A637" t="str">
        <f>TEXT(IF('Change in Employment'!B644&lt;&gt;0,DATE(YEAR('Change in Employment'!B644), MONTH('Change in Employment'!B644), 1), ""), "mm/dd/yyyy")</f>
        <v/>
      </c>
      <c r="B637" t="str">
        <f>IF(ISNUMBER('Change in Employment'!L644),'Change in Employment'!L644, "")</f>
        <v/>
      </c>
      <c r="C637" t="str">
        <f>IFERROR(IF(ISNUMBER('Change in Employment'!M644),TEXT('Change in Employment'!M644, "0"), ""), "")</f>
        <v/>
      </c>
      <c r="D637" s="8" t="str">
        <f>IF(ISNUMBER('Change in Employment'!G644),'Change in Employment'!G644,"")</f>
        <v/>
      </c>
    </row>
    <row r="638" spans="1:4">
      <c r="A638" t="str">
        <f>TEXT(IF('Change in Employment'!B645&lt;&gt;0,DATE(YEAR('Change in Employment'!B645), MONTH('Change in Employment'!B645), 1), ""), "mm/dd/yyyy")</f>
        <v/>
      </c>
      <c r="B638" t="str">
        <f>IF(ISNUMBER('Change in Employment'!L645),'Change in Employment'!L645, "")</f>
        <v/>
      </c>
      <c r="C638" t="str">
        <f>IFERROR(IF(ISNUMBER('Change in Employment'!M645),TEXT('Change in Employment'!M645, "0"), ""), "")</f>
        <v/>
      </c>
      <c r="D638" s="8" t="str">
        <f>IF(ISNUMBER('Change in Employment'!G645),'Change in Employment'!G645,"")</f>
        <v/>
      </c>
    </row>
    <row r="639" spans="1:4">
      <c r="A639" t="str">
        <f>TEXT(IF('Change in Employment'!B646&lt;&gt;0,DATE(YEAR('Change in Employment'!B646), MONTH('Change in Employment'!B646), 1), ""), "mm/dd/yyyy")</f>
        <v/>
      </c>
      <c r="B639" t="str">
        <f>IF(ISNUMBER('Change in Employment'!L646),'Change in Employment'!L646, "")</f>
        <v/>
      </c>
      <c r="C639" t="str">
        <f>IFERROR(IF(ISNUMBER('Change in Employment'!M646),TEXT('Change in Employment'!M646, "0"), ""), "")</f>
        <v/>
      </c>
      <c r="D639" s="8" t="str">
        <f>IF(ISNUMBER('Change in Employment'!G646),'Change in Employment'!G646,"")</f>
        <v/>
      </c>
    </row>
    <row r="640" spans="1:4">
      <c r="A640" t="str">
        <f>TEXT(IF('Change in Employment'!B647&lt;&gt;0,DATE(YEAR('Change in Employment'!B647), MONTH('Change in Employment'!B647), 1), ""), "mm/dd/yyyy")</f>
        <v/>
      </c>
      <c r="B640" t="str">
        <f>IF(ISNUMBER('Change in Employment'!L647),'Change in Employment'!L647, "")</f>
        <v/>
      </c>
      <c r="C640" t="str">
        <f>IFERROR(IF(ISNUMBER('Change in Employment'!M647),TEXT('Change in Employment'!M647, "0"), ""), "")</f>
        <v/>
      </c>
      <c r="D640" s="8" t="str">
        <f>IF(ISNUMBER('Change in Employment'!G647),'Change in Employment'!G647,"")</f>
        <v/>
      </c>
    </row>
    <row r="641" spans="1:4">
      <c r="A641" t="str">
        <f>TEXT(IF('Change in Employment'!B648&lt;&gt;0,DATE(YEAR('Change in Employment'!B648), MONTH('Change in Employment'!B648), 1), ""), "mm/dd/yyyy")</f>
        <v/>
      </c>
      <c r="B641" t="str">
        <f>IF(ISNUMBER('Change in Employment'!L648),'Change in Employment'!L648, "")</f>
        <v/>
      </c>
      <c r="C641" t="str">
        <f>IFERROR(IF(ISNUMBER('Change in Employment'!M648),TEXT('Change in Employment'!M648, "0"), ""), "")</f>
        <v/>
      </c>
      <c r="D641" s="8" t="str">
        <f>IF(ISNUMBER('Change in Employment'!G648),'Change in Employment'!G648,"")</f>
        <v/>
      </c>
    </row>
    <row r="642" spans="1:4">
      <c r="A642" t="str">
        <f>TEXT(IF('Change in Employment'!B649&lt;&gt;0,DATE(YEAR('Change in Employment'!B649), MONTH('Change in Employment'!B649), 1), ""), "mm/dd/yyyy")</f>
        <v/>
      </c>
      <c r="B642" t="str">
        <f>IF(ISNUMBER('Change in Employment'!L649),'Change in Employment'!L649, "")</f>
        <v/>
      </c>
      <c r="C642" t="str">
        <f>IFERROR(IF(ISNUMBER('Change in Employment'!M649),TEXT('Change in Employment'!M649, "0"), ""), "")</f>
        <v/>
      </c>
      <c r="D642" s="8" t="str">
        <f>IF(ISNUMBER('Change in Employment'!G649),'Change in Employment'!G649,"")</f>
        <v/>
      </c>
    </row>
    <row r="643" spans="1:4">
      <c r="A643" t="str">
        <f>TEXT(IF('Change in Employment'!B650&lt;&gt;0,DATE(YEAR('Change in Employment'!B650), MONTH('Change in Employment'!B650), 1), ""), "mm/dd/yyyy")</f>
        <v/>
      </c>
      <c r="B643" t="str">
        <f>IF(ISNUMBER('Change in Employment'!L650),'Change in Employment'!L650, "")</f>
        <v/>
      </c>
      <c r="C643" t="str">
        <f>IFERROR(IF(ISNUMBER('Change in Employment'!M650),TEXT('Change in Employment'!M650, "0"), ""), "")</f>
        <v/>
      </c>
      <c r="D643" s="8" t="str">
        <f>IF(ISNUMBER('Change in Employment'!G650),'Change in Employment'!G650,"")</f>
        <v/>
      </c>
    </row>
    <row r="644" spans="1:4">
      <c r="A644" t="str">
        <f>TEXT(IF('Change in Employment'!B651&lt;&gt;0,DATE(YEAR('Change in Employment'!B651), MONTH('Change in Employment'!B651), 1), ""), "mm/dd/yyyy")</f>
        <v/>
      </c>
      <c r="B644" t="str">
        <f>IF(ISNUMBER('Change in Employment'!L651),'Change in Employment'!L651, "")</f>
        <v/>
      </c>
      <c r="C644" t="str">
        <f>IFERROR(IF(ISNUMBER('Change in Employment'!M651),TEXT('Change in Employment'!M651, "0"), ""), "")</f>
        <v/>
      </c>
      <c r="D644" s="8" t="str">
        <f>IF(ISNUMBER('Change in Employment'!G651),'Change in Employment'!G651,"")</f>
        <v/>
      </c>
    </row>
    <row r="645" spans="1:4">
      <c r="A645" t="str">
        <f>TEXT(IF('Change in Employment'!B652&lt;&gt;0,DATE(YEAR('Change in Employment'!B652), MONTH('Change in Employment'!B652), 1), ""), "mm/dd/yyyy")</f>
        <v/>
      </c>
      <c r="B645" t="str">
        <f>IF(ISNUMBER('Change in Employment'!L652),'Change in Employment'!L652, "")</f>
        <v/>
      </c>
      <c r="C645" t="str">
        <f>IFERROR(IF(ISNUMBER('Change in Employment'!M652),TEXT('Change in Employment'!M652, "0"), ""), "")</f>
        <v/>
      </c>
      <c r="D645" s="8" t="str">
        <f>IF(ISNUMBER('Change in Employment'!G652),'Change in Employment'!G652,"")</f>
        <v/>
      </c>
    </row>
    <row r="646" spans="1:4">
      <c r="A646" t="str">
        <f>TEXT(IF('Change in Employment'!B653&lt;&gt;0,DATE(YEAR('Change in Employment'!B653), MONTH('Change in Employment'!B653), 1), ""), "mm/dd/yyyy")</f>
        <v/>
      </c>
      <c r="B646" t="str">
        <f>IF(ISNUMBER('Change in Employment'!L653),'Change in Employment'!L653, "")</f>
        <v/>
      </c>
      <c r="C646" t="str">
        <f>IFERROR(IF(ISNUMBER('Change in Employment'!M653),TEXT('Change in Employment'!M653, "0"), ""), "")</f>
        <v/>
      </c>
      <c r="D646" s="8" t="str">
        <f>IF(ISNUMBER('Change in Employment'!G653),'Change in Employment'!G653,"")</f>
        <v/>
      </c>
    </row>
    <row r="647" spans="1:4">
      <c r="A647" t="str">
        <f>TEXT(IF('Change in Employment'!B654&lt;&gt;0,DATE(YEAR('Change in Employment'!B654), MONTH('Change in Employment'!B654), 1), ""), "mm/dd/yyyy")</f>
        <v/>
      </c>
      <c r="B647" t="str">
        <f>IF(ISNUMBER('Change in Employment'!L654),'Change in Employment'!L654, "")</f>
        <v/>
      </c>
      <c r="C647" t="str">
        <f>IFERROR(IF(ISNUMBER('Change in Employment'!M654),TEXT('Change in Employment'!M654, "0"), ""), "")</f>
        <v/>
      </c>
      <c r="D647" s="8" t="str">
        <f>IF(ISNUMBER('Change in Employment'!G654),'Change in Employment'!G654,"")</f>
        <v/>
      </c>
    </row>
    <row r="648" spans="1:4">
      <c r="A648" t="str">
        <f>TEXT(IF('Change in Employment'!B655&lt;&gt;0,DATE(YEAR('Change in Employment'!B655), MONTH('Change in Employment'!B655), 1), ""), "mm/dd/yyyy")</f>
        <v/>
      </c>
      <c r="B648" t="str">
        <f>IF(ISNUMBER('Change in Employment'!L655),'Change in Employment'!L655, "")</f>
        <v/>
      </c>
      <c r="C648" t="str">
        <f>IFERROR(IF(ISNUMBER('Change in Employment'!M655),TEXT('Change in Employment'!M655, "0"), ""), "")</f>
        <v/>
      </c>
      <c r="D648" s="8" t="str">
        <f>IF(ISNUMBER('Change in Employment'!G655),'Change in Employment'!G655,"")</f>
        <v/>
      </c>
    </row>
    <row r="649" spans="1:4">
      <c r="A649" t="str">
        <f>TEXT(IF('Change in Employment'!B656&lt;&gt;0,DATE(YEAR('Change in Employment'!B656), MONTH('Change in Employment'!B656), 1), ""), "mm/dd/yyyy")</f>
        <v/>
      </c>
      <c r="B649" t="str">
        <f>IF(ISNUMBER('Change in Employment'!L656),'Change in Employment'!L656, "")</f>
        <v/>
      </c>
      <c r="C649" t="str">
        <f>IFERROR(IF(ISNUMBER('Change in Employment'!M656),TEXT('Change in Employment'!M656, "0"), ""), "")</f>
        <v/>
      </c>
      <c r="D649" s="8" t="str">
        <f>IF(ISNUMBER('Change in Employment'!G656),'Change in Employment'!G656,"")</f>
        <v/>
      </c>
    </row>
    <row r="650" spans="1:4">
      <c r="A650" t="str">
        <f>TEXT(IF('Change in Employment'!B657&lt;&gt;0,DATE(YEAR('Change in Employment'!B657), MONTH('Change in Employment'!B657), 1), ""), "mm/dd/yyyy")</f>
        <v/>
      </c>
      <c r="B650" t="str">
        <f>IF(ISNUMBER('Change in Employment'!L657),'Change in Employment'!L657, "")</f>
        <v/>
      </c>
      <c r="C650" t="str">
        <f>IFERROR(IF(ISNUMBER('Change in Employment'!M657),TEXT('Change in Employment'!M657, "0"), ""), "")</f>
        <v/>
      </c>
      <c r="D650" s="8" t="str">
        <f>IF(ISNUMBER('Change in Employment'!G657),'Change in Employment'!G657,"")</f>
        <v/>
      </c>
    </row>
    <row r="651" spans="1:4">
      <c r="A651" t="str">
        <f>TEXT(IF('Change in Employment'!B658&lt;&gt;0,DATE(YEAR('Change in Employment'!B658), MONTH('Change in Employment'!B658), 1), ""), "mm/dd/yyyy")</f>
        <v/>
      </c>
      <c r="B651" t="str">
        <f>IF(ISNUMBER('Change in Employment'!L658),'Change in Employment'!L658, "")</f>
        <v/>
      </c>
      <c r="C651" t="str">
        <f>IFERROR(IF(ISNUMBER('Change in Employment'!M658),TEXT('Change in Employment'!M658, "0"), ""), "")</f>
        <v/>
      </c>
      <c r="D651" s="8" t="str">
        <f>IF(ISNUMBER('Change in Employment'!G658),'Change in Employment'!G658,"")</f>
        <v/>
      </c>
    </row>
    <row r="652" spans="1:4">
      <c r="A652" t="str">
        <f>TEXT(IF('Change in Employment'!B659&lt;&gt;0,DATE(YEAR('Change in Employment'!B659), MONTH('Change in Employment'!B659), 1), ""), "mm/dd/yyyy")</f>
        <v/>
      </c>
      <c r="B652" t="str">
        <f>IF(ISNUMBER('Change in Employment'!L659),'Change in Employment'!L659, "")</f>
        <v/>
      </c>
      <c r="C652" t="str">
        <f>IFERROR(IF(ISNUMBER('Change in Employment'!M659),TEXT('Change in Employment'!M659, "0"), ""), "")</f>
        <v/>
      </c>
      <c r="D652" s="8" t="str">
        <f>IF(ISNUMBER('Change in Employment'!G659),'Change in Employment'!G659,"")</f>
        <v/>
      </c>
    </row>
    <row r="653" spans="1:4">
      <c r="A653" t="str">
        <f>TEXT(IF('Change in Employment'!B660&lt;&gt;0,DATE(YEAR('Change in Employment'!B660), MONTH('Change in Employment'!B660), 1), ""), "mm/dd/yyyy")</f>
        <v/>
      </c>
      <c r="B653" t="str">
        <f>IF(ISNUMBER('Change in Employment'!L660),'Change in Employment'!L660, "")</f>
        <v/>
      </c>
      <c r="C653" t="str">
        <f>IFERROR(IF(ISNUMBER('Change in Employment'!M660),TEXT('Change in Employment'!M660, "0"), ""), "")</f>
        <v/>
      </c>
      <c r="D653" s="8" t="str">
        <f>IF(ISNUMBER('Change in Employment'!G660),'Change in Employment'!G660,"")</f>
        <v/>
      </c>
    </row>
    <row r="654" spans="1:4">
      <c r="A654" t="str">
        <f>TEXT(IF('Change in Employment'!B661&lt;&gt;0,DATE(YEAR('Change in Employment'!B661), MONTH('Change in Employment'!B661), 1), ""), "mm/dd/yyyy")</f>
        <v/>
      </c>
      <c r="B654" t="str">
        <f>IF(ISNUMBER('Change in Employment'!L661),'Change in Employment'!L661, "")</f>
        <v/>
      </c>
      <c r="C654" t="str">
        <f>IFERROR(IF(ISNUMBER('Change in Employment'!M661),TEXT('Change in Employment'!M661, "0"), ""), "")</f>
        <v/>
      </c>
      <c r="D654" s="8" t="str">
        <f>IF(ISNUMBER('Change in Employment'!G661),'Change in Employment'!G661,"")</f>
        <v/>
      </c>
    </row>
    <row r="655" spans="1:4">
      <c r="A655" t="str">
        <f>TEXT(IF('Change in Employment'!B662&lt;&gt;0,DATE(YEAR('Change in Employment'!B662), MONTH('Change in Employment'!B662), 1), ""), "mm/dd/yyyy")</f>
        <v/>
      </c>
      <c r="B655" t="str">
        <f>IF(ISNUMBER('Change in Employment'!L662),'Change in Employment'!L662, "")</f>
        <v/>
      </c>
      <c r="C655" t="str">
        <f>IFERROR(IF(ISNUMBER('Change in Employment'!M662),TEXT('Change in Employment'!M662, "0"), ""), "")</f>
        <v/>
      </c>
      <c r="D655" s="8" t="str">
        <f>IF(ISNUMBER('Change in Employment'!G662),'Change in Employment'!G662,"")</f>
        <v/>
      </c>
    </row>
    <row r="656" spans="1:4">
      <c r="A656" t="str">
        <f>TEXT(IF('Change in Employment'!B663&lt;&gt;0,DATE(YEAR('Change in Employment'!B663), MONTH('Change in Employment'!B663), 1), ""), "mm/dd/yyyy")</f>
        <v/>
      </c>
      <c r="B656" t="str">
        <f>IF(ISNUMBER('Change in Employment'!L663),'Change in Employment'!L663, "")</f>
        <v/>
      </c>
      <c r="C656" t="str">
        <f>IFERROR(IF(ISNUMBER('Change in Employment'!M663),TEXT('Change in Employment'!M663, "0"), ""), "")</f>
        <v/>
      </c>
      <c r="D656" s="8" t="str">
        <f>IF(ISNUMBER('Change in Employment'!G663),'Change in Employment'!G663,"")</f>
        <v/>
      </c>
    </row>
    <row r="657" spans="1:4">
      <c r="A657" t="str">
        <f>TEXT(IF('Change in Employment'!B664&lt;&gt;0,DATE(YEAR('Change in Employment'!B664), MONTH('Change in Employment'!B664), 1), ""), "mm/dd/yyyy")</f>
        <v/>
      </c>
      <c r="B657" t="str">
        <f>IF(ISNUMBER('Change in Employment'!L664),'Change in Employment'!L664, "")</f>
        <v/>
      </c>
      <c r="C657" t="str">
        <f>IFERROR(IF(ISNUMBER('Change in Employment'!M664),TEXT('Change in Employment'!M664, "0"), ""), "")</f>
        <v/>
      </c>
      <c r="D657" s="8" t="str">
        <f>IF(ISNUMBER('Change in Employment'!G664),'Change in Employment'!G664,"")</f>
        <v/>
      </c>
    </row>
    <row r="658" spans="1:4">
      <c r="A658" t="str">
        <f>TEXT(IF('Change in Employment'!B665&lt;&gt;0,DATE(YEAR('Change in Employment'!B665), MONTH('Change in Employment'!B665), 1), ""), "mm/dd/yyyy")</f>
        <v/>
      </c>
      <c r="B658" t="str">
        <f>IF(ISNUMBER('Change in Employment'!L665),'Change in Employment'!L665, "")</f>
        <v/>
      </c>
      <c r="C658" t="str">
        <f>IFERROR(IF(ISNUMBER('Change in Employment'!M665),TEXT('Change in Employment'!M665, "0"), ""), "")</f>
        <v/>
      </c>
      <c r="D658" s="8" t="str">
        <f>IF(ISNUMBER('Change in Employment'!G665),'Change in Employment'!G665,"")</f>
        <v/>
      </c>
    </row>
    <row r="659" spans="1:4">
      <c r="A659" t="str">
        <f>TEXT(IF('Change in Employment'!B666&lt;&gt;0,DATE(YEAR('Change in Employment'!B666), MONTH('Change in Employment'!B666), 1), ""), "mm/dd/yyyy")</f>
        <v/>
      </c>
      <c r="B659" t="str">
        <f>IF(ISNUMBER('Change in Employment'!L666),'Change in Employment'!L666, "")</f>
        <v/>
      </c>
      <c r="C659" t="str">
        <f>IFERROR(IF(ISNUMBER('Change in Employment'!M666),TEXT('Change in Employment'!M666, "0"), ""), "")</f>
        <v/>
      </c>
      <c r="D659" s="8" t="str">
        <f>IF(ISNUMBER('Change in Employment'!G666),'Change in Employment'!G666,"")</f>
        <v/>
      </c>
    </row>
    <row r="660" spans="1:4">
      <c r="A660" t="str">
        <f>TEXT(IF('Change in Employment'!B667&lt;&gt;0,DATE(YEAR('Change in Employment'!B667), MONTH('Change in Employment'!B667), 1), ""), "mm/dd/yyyy")</f>
        <v/>
      </c>
      <c r="B660" t="str">
        <f>IF(ISNUMBER('Change in Employment'!L667),'Change in Employment'!L667, "")</f>
        <v/>
      </c>
      <c r="C660" t="str">
        <f>IFERROR(IF(ISNUMBER('Change in Employment'!M667),TEXT('Change in Employment'!M667, "0"), ""), "")</f>
        <v/>
      </c>
      <c r="D660" s="8" t="str">
        <f>IF(ISNUMBER('Change in Employment'!G667),'Change in Employment'!G667,"")</f>
        <v/>
      </c>
    </row>
    <row r="661" spans="1:4">
      <c r="A661" t="str">
        <f>TEXT(IF('Change in Employment'!B668&lt;&gt;0,DATE(YEAR('Change in Employment'!B668), MONTH('Change in Employment'!B668), 1), ""), "mm/dd/yyyy")</f>
        <v/>
      </c>
      <c r="B661" t="str">
        <f>IF(ISNUMBER('Change in Employment'!L668),'Change in Employment'!L668, "")</f>
        <v/>
      </c>
      <c r="C661" t="str">
        <f>IFERROR(IF(ISNUMBER('Change in Employment'!M668),TEXT('Change in Employment'!M668, "0"), ""), "")</f>
        <v/>
      </c>
      <c r="D661" s="8" t="str">
        <f>IF(ISNUMBER('Change in Employment'!G668),'Change in Employment'!G668,"")</f>
        <v/>
      </c>
    </row>
    <row r="662" spans="1:4">
      <c r="A662" t="str">
        <f>TEXT(IF('Change in Employment'!B669&lt;&gt;0,DATE(YEAR('Change in Employment'!B669), MONTH('Change in Employment'!B669), 1), ""), "mm/dd/yyyy")</f>
        <v/>
      </c>
      <c r="B662" t="str">
        <f>IF(ISNUMBER('Change in Employment'!L669),'Change in Employment'!L669, "")</f>
        <v/>
      </c>
      <c r="C662" t="str">
        <f>IFERROR(IF(ISNUMBER('Change in Employment'!M669),TEXT('Change in Employment'!M669, "0"), ""), "")</f>
        <v/>
      </c>
      <c r="D662" s="8" t="str">
        <f>IF(ISNUMBER('Change in Employment'!G669),'Change in Employment'!G669,"")</f>
        <v/>
      </c>
    </row>
    <row r="663" spans="1:4">
      <c r="A663" t="str">
        <f>TEXT(IF('Change in Employment'!B670&lt;&gt;0,DATE(YEAR('Change in Employment'!B670), MONTH('Change in Employment'!B670), 1), ""), "mm/dd/yyyy")</f>
        <v/>
      </c>
      <c r="B663" t="str">
        <f>IF(ISNUMBER('Change in Employment'!L670),'Change in Employment'!L670, "")</f>
        <v/>
      </c>
      <c r="C663" t="str">
        <f>IFERROR(IF(ISNUMBER('Change in Employment'!M670),TEXT('Change in Employment'!M670, "0"), ""), "")</f>
        <v/>
      </c>
      <c r="D663" s="8" t="str">
        <f>IF(ISNUMBER('Change in Employment'!G670),'Change in Employment'!G670,"")</f>
        <v/>
      </c>
    </row>
    <row r="664" spans="1:4">
      <c r="A664" t="str">
        <f>TEXT(IF('Change in Employment'!B671&lt;&gt;0,DATE(YEAR('Change in Employment'!B671), MONTH('Change in Employment'!B671), 1), ""), "mm/dd/yyyy")</f>
        <v/>
      </c>
      <c r="B664" t="str">
        <f>IF(ISNUMBER('Change in Employment'!L671),'Change in Employment'!L671, "")</f>
        <v/>
      </c>
      <c r="C664" t="str">
        <f>IFERROR(IF(ISNUMBER('Change in Employment'!M671),TEXT('Change in Employment'!M671, "0"), ""), "")</f>
        <v/>
      </c>
      <c r="D664" s="8" t="str">
        <f>IF(ISNUMBER('Change in Employment'!G671),'Change in Employment'!G671,"")</f>
        <v/>
      </c>
    </row>
    <row r="665" spans="1:4">
      <c r="A665" t="str">
        <f>TEXT(IF('Change in Employment'!B672&lt;&gt;0,DATE(YEAR('Change in Employment'!B672), MONTH('Change in Employment'!B672), 1), ""), "mm/dd/yyyy")</f>
        <v/>
      </c>
      <c r="B665" t="str">
        <f>IF(ISNUMBER('Change in Employment'!L672),'Change in Employment'!L672, "")</f>
        <v/>
      </c>
      <c r="C665" t="str">
        <f>IFERROR(IF(ISNUMBER('Change in Employment'!M672),TEXT('Change in Employment'!M672, "0"), ""), "")</f>
        <v/>
      </c>
      <c r="D665" s="8" t="str">
        <f>IF(ISNUMBER('Change in Employment'!G672),'Change in Employment'!G672,"")</f>
        <v/>
      </c>
    </row>
    <row r="666" spans="1:4">
      <c r="A666" t="str">
        <f>TEXT(IF('Change in Employment'!B673&lt;&gt;0,DATE(YEAR('Change in Employment'!B673), MONTH('Change in Employment'!B673), 1), ""), "mm/dd/yyyy")</f>
        <v/>
      </c>
      <c r="B666" t="str">
        <f>IF(ISNUMBER('Change in Employment'!L673),'Change in Employment'!L673, "")</f>
        <v/>
      </c>
      <c r="C666" t="str">
        <f>IFERROR(IF(ISNUMBER('Change in Employment'!M673),TEXT('Change in Employment'!M673, "0"), ""), "")</f>
        <v/>
      </c>
      <c r="D666" s="8" t="str">
        <f>IF(ISNUMBER('Change in Employment'!G673),'Change in Employment'!G673,"")</f>
        <v/>
      </c>
    </row>
    <row r="667" spans="1:4">
      <c r="A667" t="str">
        <f>TEXT(IF('Change in Employment'!B674&lt;&gt;0,DATE(YEAR('Change in Employment'!B674), MONTH('Change in Employment'!B674), 1), ""), "mm/dd/yyyy")</f>
        <v/>
      </c>
      <c r="B667" t="str">
        <f>IF(ISNUMBER('Change in Employment'!L674),'Change in Employment'!L674, "")</f>
        <v/>
      </c>
      <c r="C667" t="str">
        <f>IFERROR(IF(ISNUMBER('Change in Employment'!M674),TEXT('Change in Employment'!M674, "0"), ""), "")</f>
        <v/>
      </c>
      <c r="D667" s="8" t="str">
        <f>IF(ISNUMBER('Change in Employment'!G674),'Change in Employment'!G674,"")</f>
        <v/>
      </c>
    </row>
    <row r="668" spans="1:4">
      <c r="A668" t="str">
        <f>TEXT(IF('Change in Employment'!B675&lt;&gt;0,DATE(YEAR('Change in Employment'!B675), MONTH('Change in Employment'!B675), 1), ""), "mm/dd/yyyy")</f>
        <v/>
      </c>
      <c r="B668" t="str">
        <f>IF(ISNUMBER('Change in Employment'!L675),'Change in Employment'!L675, "")</f>
        <v/>
      </c>
      <c r="C668" t="str">
        <f>IFERROR(IF(ISNUMBER('Change in Employment'!M675),TEXT('Change in Employment'!M675, "0"), ""), "")</f>
        <v/>
      </c>
      <c r="D668" s="8" t="str">
        <f>IF(ISNUMBER('Change in Employment'!G675),'Change in Employment'!G675,"")</f>
        <v/>
      </c>
    </row>
    <row r="669" spans="1:4">
      <c r="A669" t="str">
        <f>TEXT(IF('Change in Employment'!B676&lt;&gt;0,DATE(YEAR('Change in Employment'!B676), MONTH('Change in Employment'!B676), 1), ""), "mm/dd/yyyy")</f>
        <v/>
      </c>
      <c r="B669" t="str">
        <f>IF(ISNUMBER('Change in Employment'!L676),'Change in Employment'!L676, "")</f>
        <v/>
      </c>
      <c r="C669" t="str">
        <f>IFERROR(IF(ISNUMBER('Change in Employment'!M676),TEXT('Change in Employment'!M676, "0"), ""), "")</f>
        <v/>
      </c>
      <c r="D669" s="8" t="str">
        <f>IF(ISNUMBER('Change in Employment'!G676),'Change in Employment'!G676,"")</f>
        <v/>
      </c>
    </row>
    <row r="670" spans="1:4">
      <c r="A670" t="str">
        <f>TEXT(IF('Change in Employment'!B677&lt;&gt;0,DATE(YEAR('Change in Employment'!B677), MONTH('Change in Employment'!B677), 1), ""), "mm/dd/yyyy")</f>
        <v/>
      </c>
      <c r="B670" t="str">
        <f>IF(ISNUMBER('Change in Employment'!L677),'Change in Employment'!L677, "")</f>
        <v/>
      </c>
      <c r="C670" t="str">
        <f>IFERROR(IF(ISNUMBER('Change in Employment'!M677),TEXT('Change in Employment'!M677, "0"), ""), "")</f>
        <v/>
      </c>
      <c r="D670" s="8" t="str">
        <f>IF(ISNUMBER('Change in Employment'!G677),'Change in Employment'!G677,"")</f>
        <v/>
      </c>
    </row>
    <row r="671" spans="1:4">
      <c r="A671" t="str">
        <f>TEXT(IF('Change in Employment'!B678&lt;&gt;0,DATE(YEAR('Change in Employment'!B678), MONTH('Change in Employment'!B678), 1), ""), "mm/dd/yyyy")</f>
        <v/>
      </c>
      <c r="B671" t="str">
        <f>IF(ISNUMBER('Change in Employment'!L678),'Change in Employment'!L678, "")</f>
        <v/>
      </c>
      <c r="C671" t="str">
        <f>IFERROR(IF(ISNUMBER('Change in Employment'!M678),TEXT('Change in Employment'!M678, "0"), ""), "")</f>
        <v/>
      </c>
      <c r="D671" s="8" t="str">
        <f>IF(ISNUMBER('Change in Employment'!G678),'Change in Employment'!G678,"")</f>
        <v/>
      </c>
    </row>
    <row r="672" spans="1:4">
      <c r="A672" t="str">
        <f>TEXT(IF('Change in Employment'!B679&lt;&gt;0,DATE(YEAR('Change in Employment'!B679), MONTH('Change in Employment'!B679), 1), ""), "mm/dd/yyyy")</f>
        <v/>
      </c>
      <c r="B672" t="str">
        <f>IF(ISNUMBER('Change in Employment'!L679),'Change in Employment'!L679, "")</f>
        <v/>
      </c>
      <c r="C672" t="str">
        <f>IFERROR(IF(ISNUMBER('Change in Employment'!M679),TEXT('Change in Employment'!M679, "0"), ""), "")</f>
        <v/>
      </c>
      <c r="D672" s="8" t="str">
        <f>IF(ISNUMBER('Change in Employment'!G679),'Change in Employment'!G679,"")</f>
        <v/>
      </c>
    </row>
    <row r="673" spans="1:4">
      <c r="A673" t="str">
        <f>TEXT(IF('Change in Employment'!B680&lt;&gt;0,DATE(YEAR('Change in Employment'!B680), MONTH('Change in Employment'!B680), 1), ""), "mm/dd/yyyy")</f>
        <v/>
      </c>
      <c r="B673" t="str">
        <f>IF(ISNUMBER('Change in Employment'!L680),'Change in Employment'!L680, "")</f>
        <v/>
      </c>
      <c r="C673" t="str">
        <f>IFERROR(IF(ISNUMBER('Change in Employment'!M680),TEXT('Change in Employment'!M680, "0"), ""), "")</f>
        <v/>
      </c>
      <c r="D673" s="8" t="str">
        <f>IF(ISNUMBER('Change in Employment'!G680),'Change in Employment'!G680,"")</f>
        <v/>
      </c>
    </row>
    <row r="674" spans="1:4">
      <c r="A674" t="str">
        <f>TEXT(IF('Change in Employment'!B681&lt;&gt;0,DATE(YEAR('Change in Employment'!B681), MONTH('Change in Employment'!B681), 1), ""), "mm/dd/yyyy")</f>
        <v/>
      </c>
      <c r="B674" t="str">
        <f>IF(ISNUMBER('Change in Employment'!L681),'Change in Employment'!L681, "")</f>
        <v/>
      </c>
      <c r="C674" t="str">
        <f>IFERROR(IF(ISNUMBER('Change in Employment'!M681),TEXT('Change in Employment'!M681, "0"), ""), "")</f>
        <v/>
      </c>
      <c r="D674" s="8" t="str">
        <f>IF(ISNUMBER('Change in Employment'!G681),'Change in Employment'!G681,"")</f>
        <v/>
      </c>
    </row>
    <row r="675" spans="1:4">
      <c r="A675" t="str">
        <f>TEXT(IF('Change in Employment'!B682&lt;&gt;0,DATE(YEAR('Change in Employment'!B682), MONTH('Change in Employment'!B682), 1), ""), "mm/dd/yyyy")</f>
        <v/>
      </c>
      <c r="B675" t="str">
        <f>IF(ISNUMBER('Change in Employment'!L682),'Change in Employment'!L682, "")</f>
        <v/>
      </c>
      <c r="C675" t="str">
        <f>IFERROR(IF(ISNUMBER('Change in Employment'!M682),TEXT('Change in Employment'!M682, "0"), ""), "")</f>
        <v/>
      </c>
      <c r="D675" s="8" t="str">
        <f>IF(ISNUMBER('Change in Employment'!G682),'Change in Employment'!G682,"")</f>
        <v/>
      </c>
    </row>
    <row r="676" spans="1:4">
      <c r="A676" t="str">
        <f>TEXT(IF('Change in Employment'!B683&lt;&gt;0,DATE(YEAR('Change in Employment'!B683), MONTH('Change in Employment'!B683), 1), ""), "mm/dd/yyyy")</f>
        <v/>
      </c>
      <c r="B676" t="str">
        <f>IF(ISNUMBER('Change in Employment'!L683),'Change in Employment'!L683, "")</f>
        <v/>
      </c>
      <c r="C676" t="str">
        <f>IFERROR(IF(ISNUMBER('Change in Employment'!M683),TEXT('Change in Employment'!M683, "0"), ""), "")</f>
        <v/>
      </c>
      <c r="D676" s="8" t="str">
        <f>IF(ISNUMBER('Change in Employment'!G683),'Change in Employment'!G683,"")</f>
        <v/>
      </c>
    </row>
    <row r="677" spans="1:4">
      <c r="A677" t="str">
        <f>TEXT(IF('Change in Employment'!B684&lt;&gt;0,DATE(YEAR('Change in Employment'!B684), MONTH('Change in Employment'!B684), 1), ""), "mm/dd/yyyy")</f>
        <v/>
      </c>
      <c r="B677" t="str">
        <f>IF(ISNUMBER('Change in Employment'!L684),'Change in Employment'!L684, "")</f>
        <v/>
      </c>
      <c r="C677" t="str">
        <f>IFERROR(IF(ISNUMBER('Change in Employment'!M684),TEXT('Change in Employment'!M684, "0"), ""), "")</f>
        <v/>
      </c>
      <c r="D677" s="8" t="str">
        <f>IF(ISNUMBER('Change in Employment'!G684),'Change in Employment'!G684,"")</f>
        <v/>
      </c>
    </row>
    <row r="678" spans="1:4">
      <c r="A678" t="str">
        <f>TEXT(IF('Change in Employment'!B685&lt;&gt;0,DATE(YEAR('Change in Employment'!B685), MONTH('Change in Employment'!B685), 1), ""), "mm/dd/yyyy")</f>
        <v/>
      </c>
      <c r="B678" t="str">
        <f>IF(ISNUMBER('Change in Employment'!L685),'Change in Employment'!L685, "")</f>
        <v/>
      </c>
      <c r="C678" t="str">
        <f>IFERROR(IF(ISNUMBER('Change in Employment'!M685),TEXT('Change in Employment'!M685, "0"), ""), "")</f>
        <v/>
      </c>
      <c r="D678" s="8" t="str">
        <f>IF(ISNUMBER('Change in Employment'!G685),'Change in Employment'!G685,"")</f>
        <v/>
      </c>
    </row>
    <row r="679" spans="1:4">
      <c r="A679" t="str">
        <f>TEXT(IF('Change in Employment'!B686&lt;&gt;0,DATE(YEAR('Change in Employment'!B686), MONTH('Change in Employment'!B686), 1), ""), "mm/dd/yyyy")</f>
        <v/>
      </c>
      <c r="B679" t="str">
        <f>IF(ISNUMBER('Change in Employment'!L686),'Change in Employment'!L686, "")</f>
        <v/>
      </c>
      <c r="C679" t="str">
        <f>IFERROR(IF(ISNUMBER('Change in Employment'!M686),TEXT('Change in Employment'!M686, "0"), ""), "")</f>
        <v/>
      </c>
      <c r="D679" s="8" t="str">
        <f>IF(ISNUMBER('Change in Employment'!G686),'Change in Employment'!G686,"")</f>
        <v/>
      </c>
    </row>
    <row r="680" spans="1:4">
      <c r="A680" t="str">
        <f>TEXT(IF('Change in Employment'!B687&lt;&gt;0,DATE(YEAR('Change in Employment'!B687), MONTH('Change in Employment'!B687), 1), ""), "mm/dd/yyyy")</f>
        <v/>
      </c>
      <c r="B680" t="str">
        <f>IF(ISNUMBER('Change in Employment'!L687),'Change in Employment'!L687, "")</f>
        <v/>
      </c>
      <c r="C680" t="str">
        <f>IFERROR(IF(ISNUMBER('Change in Employment'!M687),TEXT('Change in Employment'!M687, "0"), ""), "")</f>
        <v/>
      </c>
      <c r="D680" s="8" t="str">
        <f>IF(ISNUMBER('Change in Employment'!G687),'Change in Employment'!G687,"")</f>
        <v/>
      </c>
    </row>
    <row r="681" spans="1:4">
      <c r="A681" t="str">
        <f>TEXT(IF('Change in Employment'!B688&lt;&gt;0,DATE(YEAR('Change in Employment'!B688), MONTH('Change in Employment'!B688), 1), ""), "mm/dd/yyyy")</f>
        <v/>
      </c>
      <c r="B681" t="str">
        <f>IF(ISNUMBER('Change in Employment'!L688),'Change in Employment'!L688, "")</f>
        <v/>
      </c>
      <c r="C681" t="str">
        <f>IFERROR(IF(ISNUMBER('Change in Employment'!M688),TEXT('Change in Employment'!M688, "0"), ""), "")</f>
        <v/>
      </c>
      <c r="D681" s="8" t="str">
        <f>IF(ISNUMBER('Change in Employment'!G688),'Change in Employment'!G688,"")</f>
        <v/>
      </c>
    </row>
    <row r="682" spans="1:4">
      <c r="A682" t="str">
        <f>TEXT(IF('Change in Employment'!B689&lt;&gt;0,DATE(YEAR('Change in Employment'!B689), MONTH('Change in Employment'!B689), 1), ""), "mm/dd/yyyy")</f>
        <v/>
      </c>
      <c r="B682" t="str">
        <f>IF(ISNUMBER('Change in Employment'!L689),'Change in Employment'!L689, "")</f>
        <v/>
      </c>
      <c r="C682" t="str">
        <f>IFERROR(IF(ISNUMBER('Change in Employment'!M689),TEXT('Change in Employment'!M689, "0"), ""), "")</f>
        <v/>
      </c>
      <c r="D682" s="8" t="str">
        <f>IF(ISNUMBER('Change in Employment'!G689),'Change in Employment'!G689,"")</f>
        <v/>
      </c>
    </row>
    <row r="683" spans="1:4">
      <c r="A683" t="str">
        <f>TEXT(IF('Change in Employment'!B690&lt;&gt;0,DATE(YEAR('Change in Employment'!B690), MONTH('Change in Employment'!B690), 1), ""), "mm/dd/yyyy")</f>
        <v/>
      </c>
      <c r="B683" t="str">
        <f>IF(ISNUMBER('Change in Employment'!L690),'Change in Employment'!L690, "")</f>
        <v/>
      </c>
      <c r="C683" t="str">
        <f>IFERROR(IF(ISNUMBER('Change in Employment'!M690),TEXT('Change in Employment'!M690, "0"), ""), "")</f>
        <v/>
      </c>
      <c r="D683" s="8" t="str">
        <f>IF(ISNUMBER('Change in Employment'!G690),'Change in Employment'!G690,"")</f>
        <v/>
      </c>
    </row>
    <row r="684" spans="1:4">
      <c r="A684" t="str">
        <f>TEXT(IF('Change in Employment'!B691&lt;&gt;0,DATE(YEAR('Change in Employment'!B691), MONTH('Change in Employment'!B691), 1), ""), "mm/dd/yyyy")</f>
        <v/>
      </c>
      <c r="B684" t="str">
        <f>IF(ISNUMBER('Change in Employment'!L691),'Change in Employment'!L691, "")</f>
        <v/>
      </c>
      <c r="C684" t="str">
        <f>IFERROR(IF(ISNUMBER('Change in Employment'!M691),TEXT('Change in Employment'!M691, "0"), ""), "")</f>
        <v/>
      </c>
      <c r="D684" s="8" t="str">
        <f>IF(ISNUMBER('Change in Employment'!G691),'Change in Employment'!G691,"")</f>
        <v/>
      </c>
    </row>
    <row r="685" spans="1:4">
      <c r="A685" t="str">
        <f>TEXT(IF('Change in Employment'!B692&lt;&gt;0,DATE(YEAR('Change in Employment'!B692), MONTH('Change in Employment'!B692), 1), ""), "mm/dd/yyyy")</f>
        <v/>
      </c>
      <c r="B685" t="str">
        <f>IF(ISNUMBER('Change in Employment'!L692),'Change in Employment'!L692, "")</f>
        <v/>
      </c>
      <c r="C685" t="str">
        <f>IFERROR(IF(ISNUMBER('Change in Employment'!M692),TEXT('Change in Employment'!M692, "0"), ""), "")</f>
        <v/>
      </c>
      <c r="D685" s="8" t="str">
        <f>IF(ISNUMBER('Change in Employment'!G692),'Change in Employment'!G692,"")</f>
        <v/>
      </c>
    </row>
    <row r="686" spans="1:4">
      <c r="A686" t="str">
        <f>TEXT(IF('Change in Employment'!B693&lt;&gt;0,DATE(YEAR('Change in Employment'!B693), MONTH('Change in Employment'!B693), 1), ""), "mm/dd/yyyy")</f>
        <v/>
      </c>
      <c r="B686" t="str">
        <f>IF(ISNUMBER('Change in Employment'!L693),'Change in Employment'!L693, "")</f>
        <v/>
      </c>
      <c r="C686" t="str">
        <f>IFERROR(IF(ISNUMBER('Change in Employment'!M693),TEXT('Change in Employment'!M693, "0"), ""), "")</f>
        <v/>
      </c>
      <c r="D686" s="8" t="str">
        <f>IF(ISNUMBER('Change in Employment'!G693),'Change in Employment'!G693,"")</f>
        <v/>
      </c>
    </row>
    <row r="687" spans="1:4">
      <c r="A687" t="str">
        <f>TEXT(IF('Change in Employment'!B694&lt;&gt;0,DATE(YEAR('Change in Employment'!B694), MONTH('Change in Employment'!B694), 1), ""), "mm/dd/yyyy")</f>
        <v/>
      </c>
      <c r="B687" t="str">
        <f>IF(ISNUMBER('Change in Employment'!L694),'Change in Employment'!L694, "")</f>
        <v/>
      </c>
      <c r="C687" t="str">
        <f>IFERROR(IF(ISNUMBER('Change in Employment'!M694),TEXT('Change in Employment'!M694, "0"), ""), "")</f>
        <v/>
      </c>
      <c r="D687" s="8" t="str">
        <f>IF(ISNUMBER('Change in Employment'!G694),'Change in Employment'!G694,"")</f>
        <v/>
      </c>
    </row>
    <row r="688" spans="1:4">
      <c r="A688" t="str">
        <f>TEXT(IF('Change in Employment'!B695&lt;&gt;0,DATE(YEAR('Change in Employment'!B695), MONTH('Change in Employment'!B695), 1), ""), "mm/dd/yyyy")</f>
        <v/>
      </c>
      <c r="B688" t="str">
        <f>IF(ISNUMBER('Change in Employment'!L695),'Change in Employment'!L695, "")</f>
        <v/>
      </c>
      <c r="C688" t="str">
        <f>IFERROR(IF(ISNUMBER('Change in Employment'!M695),TEXT('Change in Employment'!M695, "0"), ""), "")</f>
        <v/>
      </c>
      <c r="D688" s="8" t="str">
        <f>IF(ISNUMBER('Change in Employment'!G695),'Change in Employment'!G695,"")</f>
        <v/>
      </c>
    </row>
    <row r="689" spans="1:4">
      <c r="A689" t="str">
        <f>TEXT(IF('Change in Employment'!B696&lt;&gt;0,DATE(YEAR('Change in Employment'!B696), MONTH('Change in Employment'!B696), 1), ""), "mm/dd/yyyy")</f>
        <v/>
      </c>
      <c r="B689" t="str">
        <f>IF(ISNUMBER('Change in Employment'!L696),'Change in Employment'!L696, "")</f>
        <v/>
      </c>
      <c r="C689" t="str">
        <f>IFERROR(IF(ISNUMBER('Change in Employment'!M696),TEXT('Change in Employment'!M696, "0"), ""), "")</f>
        <v/>
      </c>
      <c r="D689" s="8" t="str">
        <f>IF(ISNUMBER('Change in Employment'!G696),'Change in Employment'!G696,"")</f>
        <v/>
      </c>
    </row>
    <row r="690" spans="1:4">
      <c r="A690" t="str">
        <f>TEXT(IF('Change in Employment'!B697&lt;&gt;0,DATE(YEAR('Change in Employment'!B697), MONTH('Change in Employment'!B697), 1), ""), "mm/dd/yyyy")</f>
        <v/>
      </c>
      <c r="B690" t="str">
        <f>IF(ISNUMBER('Change in Employment'!L697),'Change in Employment'!L697, "")</f>
        <v/>
      </c>
      <c r="C690" t="str">
        <f>IFERROR(IF(ISNUMBER('Change in Employment'!M697),TEXT('Change in Employment'!M697, "0"), ""), "")</f>
        <v/>
      </c>
      <c r="D690" s="8" t="str">
        <f>IF(ISNUMBER('Change in Employment'!G697),'Change in Employment'!G697,"")</f>
        <v/>
      </c>
    </row>
    <row r="691" spans="1:4">
      <c r="A691" t="str">
        <f>TEXT(IF('Change in Employment'!B698&lt;&gt;0,DATE(YEAR('Change in Employment'!B698), MONTH('Change in Employment'!B698), 1), ""), "mm/dd/yyyy")</f>
        <v/>
      </c>
      <c r="B691" t="str">
        <f>IF(ISNUMBER('Change in Employment'!L698),'Change in Employment'!L698, "")</f>
        <v/>
      </c>
      <c r="C691" t="str">
        <f>IFERROR(IF(ISNUMBER('Change in Employment'!M698),TEXT('Change in Employment'!M698, "0"), ""), "")</f>
        <v/>
      </c>
      <c r="D691" s="8" t="str">
        <f>IF(ISNUMBER('Change in Employment'!G698),'Change in Employment'!G698,"")</f>
        <v/>
      </c>
    </row>
    <row r="692" spans="1:4">
      <c r="A692" t="str">
        <f>TEXT(IF('Change in Employment'!B699&lt;&gt;0,DATE(YEAR('Change in Employment'!B699), MONTH('Change in Employment'!B699), 1), ""), "mm/dd/yyyy")</f>
        <v/>
      </c>
      <c r="B692" t="str">
        <f>IF(ISNUMBER('Change in Employment'!L699),'Change in Employment'!L699, "")</f>
        <v/>
      </c>
      <c r="C692" t="str">
        <f>IFERROR(IF(ISNUMBER('Change in Employment'!M699),TEXT('Change in Employment'!M699, "0"), ""), "")</f>
        <v/>
      </c>
      <c r="D692" s="8" t="str">
        <f>IF(ISNUMBER('Change in Employment'!G699),'Change in Employment'!G699,"")</f>
        <v/>
      </c>
    </row>
    <row r="693" spans="1:4">
      <c r="A693" t="str">
        <f>TEXT(IF('Change in Employment'!B700&lt;&gt;0,DATE(YEAR('Change in Employment'!B700), MONTH('Change in Employment'!B700), 1), ""), "mm/dd/yyyy")</f>
        <v/>
      </c>
      <c r="B693" t="str">
        <f>IF(ISNUMBER('Change in Employment'!L700),'Change in Employment'!L700, "")</f>
        <v/>
      </c>
      <c r="C693" t="str">
        <f>IFERROR(IF(ISNUMBER('Change in Employment'!M700),TEXT('Change in Employment'!M700, "0"), ""), "")</f>
        <v/>
      </c>
      <c r="D693" s="8" t="str">
        <f>IF(ISNUMBER('Change in Employment'!G700),'Change in Employment'!G700,"")</f>
        <v/>
      </c>
    </row>
    <row r="694" spans="1:4">
      <c r="A694" t="str">
        <f>TEXT(IF('Change in Employment'!B701&lt;&gt;0,DATE(YEAR('Change in Employment'!B701), MONTH('Change in Employment'!B701), 1), ""), "mm/dd/yyyy")</f>
        <v/>
      </c>
      <c r="B694" t="str">
        <f>IF(ISNUMBER('Change in Employment'!L701),'Change in Employment'!L701, "")</f>
        <v/>
      </c>
      <c r="C694" t="str">
        <f>IFERROR(IF(ISNUMBER('Change in Employment'!M701),TEXT('Change in Employment'!M701, "0"), ""), "")</f>
        <v/>
      </c>
      <c r="D694" s="8" t="str">
        <f>IF(ISNUMBER('Change in Employment'!G701),'Change in Employment'!G701,"")</f>
        <v/>
      </c>
    </row>
    <row r="695" spans="1:4">
      <c r="A695" t="str">
        <f>TEXT(IF('Change in Employment'!B702&lt;&gt;0,DATE(YEAR('Change in Employment'!B702), MONTH('Change in Employment'!B702), 1), ""), "mm/dd/yyyy")</f>
        <v/>
      </c>
      <c r="B695" t="str">
        <f>IF(ISNUMBER('Change in Employment'!L702),'Change in Employment'!L702, "")</f>
        <v/>
      </c>
      <c r="C695" t="str">
        <f>IFERROR(IF(ISNUMBER('Change in Employment'!M702),TEXT('Change in Employment'!M702, "0"), ""), "")</f>
        <v/>
      </c>
      <c r="D695" s="8" t="str">
        <f>IF(ISNUMBER('Change in Employment'!G702),'Change in Employment'!G702,"")</f>
        <v/>
      </c>
    </row>
    <row r="696" spans="1:4">
      <c r="A696" t="str">
        <f>TEXT(IF('Change in Employment'!B703&lt;&gt;0,DATE(YEAR('Change in Employment'!B703), MONTH('Change in Employment'!B703), 1), ""), "mm/dd/yyyy")</f>
        <v/>
      </c>
      <c r="B696" t="str">
        <f>IF(ISNUMBER('Change in Employment'!L703),'Change in Employment'!L703, "")</f>
        <v/>
      </c>
      <c r="C696" t="str">
        <f>IFERROR(IF(ISNUMBER('Change in Employment'!M703),TEXT('Change in Employment'!M703, "0"), ""), "")</f>
        <v/>
      </c>
      <c r="D696" s="8" t="str">
        <f>IF(ISNUMBER('Change in Employment'!G703),'Change in Employment'!G703,"")</f>
        <v/>
      </c>
    </row>
    <row r="697" spans="1:4">
      <c r="A697" t="str">
        <f>TEXT(IF('Change in Employment'!B704&lt;&gt;0,DATE(YEAR('Change in Employment'!B704), MONTH('Change in Employment'!B704), 1), ""), "mm/dd/yyyy")</f>
        <v/>
      </c>
      <c r="B697" t="str">
        <f>IF(ISNUMBER('Change in Employment'!L704),'Change in Employment'!L704, "")</f>
        <v/>
      </c>
      <c r="C697" t="str">
        <f>IFERROR(IF(ISNUMBER('Change in Employment'!M704),TEXT('Change in Employment'!M704, "0"), ""), "")</f>
        <v/>
      </c>
      <c r="D697" s="8" t="str">
        <f>IF(ISNUMBER('Change in Employment'!G704),'Change in Employment'!G704,"")</f>
        <v/>
      </c>
    </row>
    <row r="698" spans="1:4">
      <c r="A698" t="str">
        <f>TEXT(IF('Change in Employment'!B705&lt;&gt;0,DATE(YEAR('Change in Employment'!B705), MONTH('Change in Employment'!B705), 1), ""), "mm/dd/yyyy")</f>
        <v/>
      </c>
      <c r="B698" t="str">
        <f>IF(ISNUMBER('Change in Employment'!L705),'Change in Employment'!L705, "")</f>
        <v/>
      </c>
      <c r="C698" t="str">
        <f>IFERROR(IF(ISNUMBER('Change in Employment'!M705),TEXT('Change in Employment'!M705, "0"), ""), "")</f>
        <v/>
      </c>
      <c r="D698" s="8" t="str">
        <f>IF(ISNUMBER('Change in Employment'!G705),'Change in Employment'!G705,"")</f>
        <v/>
      </c>
    </row>
    <row r="699" spans="1:4">
      <c r="A699" t="str">
        <f>TEXT(IF('Change in Employment'!B706&lt;&gt;0,DATE(YEAR('Change in Employment'!B706), MONTH('Change in Employment'!B706), 1), ""), "mm/dd/yyyy")</f>
        <v/>
      </c>
      <c r="B699" t="str">
        <f>IF(ISNUMBER('Change in Employment'!L706),'Change in Employment'!L706, "")</f>
        <v/>
      </c>
      <c r="C699" t="str">
        <f>IFERROR(IF(ISNUMBER('Change in Employment'!M706),TEXT('Change in Employment'!M706, "0"), ""), "")</f>
        <v/>
      </c>
      <c r="D699" s="8" t="str">
        <f>IF(ISNUMBER('Change in Employment'!G706),'Change in Employment'!G706,"")</f>
        <v/>
      </c>
    </row>
    <row r="700" spans="1:4">
      <c r="A700" t="str">
        <f>TEXT(IF('Change in Employment'!B707&lt;&gt;0,DATE(YEAR('Change in Employment'!B707), MONTH('Change in Employment'!B707), 1), ""), "mm/dd/yyyy")</f>
        <v/>
      </c>
      <c r="B700" t="str">
        <f>IF(ISNUMBER('Change in Employment'!L707),'Change in Employment'!L707, "")</f>
        <v/>
      </c>
      <c r="C700" t="str">
        <f>IFERROR(IF(ISNUMBER('Change in Employment'!M707),TEXT('Change in Employment'!M707, "0"), ""), "")</f>
        <v/>
      </c>
      <c r="D700" s="8" t="str">
        <f>IF(ISNUMBER('Change in Employment'!G707),'Change in Employment'!G707,"")</f>
        <v/>
      </c>
    </row>
    <row r="701" spans="1:4">
      <c r="A701" t="str">
        <f>TEXT(IF('Change in Employment'!B708&lt;&gt;0,DATE(YEAR('Change in Employment'!B708), MONTH('Change in Employment'!B708), 1), ""), "mm/dd/yyyy")</f>
        <v/>
      </c>
      <c r="B701" t="str">
        <f>IF(ISNUMBER('Change in Employment'!L708),'Change in Employment'!L708, "")</f>
        <v/>
      </c>
      <c r="C701" t="str">
        <f>IFERROR(IF(ISNUMBER('Change in Employment'!M708),TEXT('Change in Employment'!M708, "0"), ""), "")</f>
        <v/>
      </c>
      <c r="D701" s="8" t="str">
        <f>IF(ISNUMBER('Change in Employment'!G708),'Change in Employment'!G708,"")</f>
        <v/>
      </c>
    </row>
    <row r="702" spans="1:4">
      <c r="A702" t="str">
        <f>TEXT(IF('Change in Employment'!B709&lt;&gt;0,DATE(YEAR('Change in Employment'!B709), MONTH('Change in Employment'!B709), 1), ""), "mm/dd/yyyy")</f>
        <v/>
      </c>
      <c r="B702" t="str">
        <f>IF(ISNUMBER('Change in Employment'!L709),'Change in Employment'!L709, "")</f>
        <v/>
      </c>
      <c r="C702" t="str">
        <f>IFERROR(IF(ISNUMBER('Change in Employment'!M709),TEXT('Change in Employment'!M709, "0"), ""), "")</f>
        <v/>
      </c>
      <c r="D702" s="8" t="str">
        <f>IF(ISNUMBER('Change in Employment'!G709),'Change in Employment'!G709,"")</f>
        <v/>
      </c>
    </row>
    <row r="703" spans="1:4">
      <c r="A703" t="str">
        <f>TEXT(IF('Change in Employment'!B710&lt;&gt;0,DATE(YEAR('Change in Employment'!B710), MONTH('Change in Employment'!B710), 1), ""), "mm/dd/yyyy")</f>
        <v/>
      </c>
      <c r="B703" t="str">
        <f>IF(ISNUMBER('Change in Employment'!L710),'Change in Employment'!L710, "")</f>
        <v/>
      </c>
      <c r="C703" t="str">
        <f>IFERROR(IF(ISNUMBER('Change in Employment'!M710),TEXT('Change in Employment'!M710, "0"), ""), "")</f>
        <v/>
      </c>
      <c r="D703" s="8" t="str">
        <f>IF(ISNUMBER('Change in Employment'!G710),'Change in Employment'!G710,"")</f>
        <v/>
      </c>
    </row>
    <row r="704" spans="1:4">
      <c r="A704" t="str">
        <f>TEXT(IF('Change in Employment'!B711&lt;&gt;0,DATE(YEAR('Change in Employment'!B711), MONTH('Change in Employment'!B711), 1), ""), "mm/dd/yyyy")</f>
        <v/>
      </c>
      <c r="B704" t="str">
        <f>IF(ISNUMBER('Change in Employment'!L711),'Change in Employment'!L711, "")</f>
        <v/>
      </c>
      <c r="C704" t="str">
        <f>IFERROR(IF(ISNUMBER('Change in Employment'!M711),TEXT('Change in Employment'!M711, "0"), ""), "")</f>
        <v/>
      </c>
      <c r="D704" s="8" t="str">
        <f>IF(ISNUMBER('Change in Employment'!G711),'Change in Employment'!G711,"")</f>
        <v/>
      </c>
    </row>
    <row r="705" spans="1:4">
      <c r="A705" t="str">
        <f>TEXT(IF('Change in Employment'!B712&lt;&gt;0,DATE(YEAR('Change in Employment'!B712), MONTH('Change in Employment'!B712), 1), ""), "mm/dd/yyyy")</f>
        <v/>
      </c>
      <c r="B705" t="str">
        <f>IF(ISNUMBER('Change in Employment'!L712),'Change in Employment'!L712, "")</f>
        <v/>
      </c>
      <c r="C705" t="str">
        <f>IFERROR(IF(ISNUMBER('Change in Employment'!M712),TEXT('Change in Employment'!M712, "0"), ""), "")</f>
        <v/>
      </c>
      <c r="D705" s="8" t="str">
        <f>IF(ISNUMBER('Change in Employment'!G712),'Change in Employment'!G712,"")</f>
        <v/>
      </c>
    </row>
    <row r="706" spans="1:4">
      <c r="A706" t="str">
        <f>TEXT(IF('Change in Employment'!B713&lt;&gt;0,DATE(YEAR('Change in Employment'!B713), MONTH('Change in Employment'!B713), 1), ""), "mm/dd/yyyy")</f>
        <v/>
      </c>
      <c r="B706" t="str">
        <f>IF(ISNUMBER('Change in Employment'!L713),'Change in Employment'!L713, "")</f>
        <v/>
      </c>
      <c r="C706" t="str">
        <f>IFERROR(IF(ISNUMBER('Change in Employment'!M713),TEXT('Change in Employment'!M713, "0"), ""), "")</f>
        <v/>
      </c>
      <c r="D706" s="8" t="str">
        <f>IF(ISNUMBER('Change in Employment'!G713),'Change in Employment'!G713,"")</f>
        <v/>
      </c>
    </row>
    <row r="707" spans="1:4">
      <c r="A707" t="str">
        <f>TEXT(IF('Change in Employment'!B714&lt;&gt;0,DATE(YEAR('Change in Employment'!B714), MONTH('Change in Employment'!B714), 1), ""), "mm/dd/yyyy")</f>
        <v/>
      </c>
      <c r="B707" t="str">
        <f>IF(ISNUMBER('Change in Employment'!L714),'Change in Employment'!L714, "")</f>
        <v/>
      </c>
      <c r="C707" t="str">
        <f>IFERROR(IF(ISNUMBER('Change in Employment'!M714),TEXT('Change in Employment'!M714, "0"), ""), "")</f>
        <v/>
      </c>
      <c r="D707" s="8" t="str">
        <f>IF(ISNUMBER('Change in Employment'!G714),'Change in Employment'!G714,"")</f>
        <v/>
      </c>
    </row>
    <row r="708" spans="1:4">
      <c r="A708" t="str">
        <f>TEXT(IF('Change in Employment'!B715&lt;&gt;0,DATE(YEAR('Change in Employment'!B715), MONTH('Change in Employment'!B715), 1), ""), "mm/dd/yyyy")</f>
        <v/>
      </c>
      <c r="B708" t="str">
        <f>IF(ISNUMBER('Change in Employment'!L715),'Change in Employment'!L715, "")</f>
        <v/>
      </c>
      <c r="C708" t="str">
        <f>IFERROR(IF(ISNUMBER('Change in Employment'!M715),TEXT('Change in Employment'!M715, "0"), ""), "")</f>
        <v/>
      </c>
      <c r="D708" s="8" t="str">
        <f>IF(ISNUMBER('Change in Employment'!G715),'Change in Employment'!G715,"")</f>
        <v/>
      </c>
    </row>
    <row r="709" spans="1:4">
      <c r="A709" t="str">
        <f>TEXT(IF('Change in Employment'!B716&lt;&gt;0,DATE(YEAR('Change in Employment'!B716), MONTH('Change in Employment'!B716), 1), ""), "mm/dd/yyyy")</f>
        <v/>
      </c>
      <c r="B709" t="str">
        <f>IF(ISNUMBER('Change in Employment'!L716),'Change in Employment'!L716, "")</f>
        <v/>
      </c>
      <c r="C709" t="str">
        <f>IFERROR(IF(ISNUMBER('Change in Employment'!M716),TEXT('Change in Employment'!M716, "0"), ""), "")</f>
        <v/>
      </c>
      <c r="D709" s="8" t="str">
        <f>IF(ISNUMBER('Change in Employment'!G716),'Change in Employment'!G716,"")</f>
        <v/>
      </c>
    </row>
    <row r="710" spans="1:4">
      <c r="A710" t="str">
        <f>TEXT(IF('Change in Employment'!B717&lt;&gt;0,DATE(YEAR('Change in Employment'!B717), MONTH('Change in Employment'!B717), 1), ""), "mm/dd/yyyy")</f>
        <v/>
      </c>
      <c r="B710" t="str">
        <f>IF(ISNUMBER('Change in Employment'!L717),'Change in Employment'!L717, "")</f>
        <v/>
      </c>
      <c r="C710" t="str">
        <f>IFERROR(IF(ISNUMBER('Change in Employment'!M717),TEXT('Change in Employment'!M717, "0"), ""), "")</f>
        <v/>
      </c>
      <c r="D710" s="8" t="str">
        <f>IF(ISNUMBER('Change in Employment'!G717),'Change in Employment'!G717,"")</f>
        <v/>
      </c>
    </row>
    <row r="711" spans="1:4">
      <c r="A711" t="str">
        <f>TEXT(IF('Change in Employment'!B718&lt;&gt;0,DATE(YEAR('Change in Employment'!B718), MONTH('Change in Employment'!B718), 1), ""), "mm/dd/yyyy")</f>
        <v/>
      </c>
      <c r="B711" t="str">
        <f>IF(ISNUMBER('Change in Employment'!L718),'Change in Employment'!L718, "")</f>
        <v/>
      </c>
      <c r="C711" t="str">
        <f>IFERROR(IF(ISNUMBER('Change in Employment'!M718),TEXT('Change in Employment'!M718, "0"), ""), "")</f>
        <v/>
      </c>
      <c r="D711" s="8" t="str">
        <f>IF(ISNUMBER('Change in Employment'!G718),'Change in Employment'!G718,"")</f>
        <v/>
      </c>
    </row>
    <row r="712" spans="1:4">
      <c r="A712" t="str">
        <f>TEXT(IF('Change in Employment'!B719&lt;&gt;0,DATE(YEAR('Change in Employment'!B719), MONTH('Change in Employment'!B719), 1), ""), "mm/dd/yyyy")</f>
        <v/>
      </c>
      <c r="B712" t="str">
        <f>IF(ISNUMBER('Change in Employment'!L719),'Change in Employment'!L719, "")</f>
        <v/>
      </c>
      <c r="C712" t="str">
        <f>IFERROR(IF(ISNUMBER('Change in Employment'!M719),TEXT('Change in Employment'!M719, "0"), ""), "")</f>
        <v/>
      </c>
      <c r="D712" s="8" t="str">
        <f>IF(ISNUMBER('Change in Employment'!G719),'Change in Employment'!G719,"")</f>
        <v/>
      </c>
    </row>
    <row r="713" spans="1:4">
      <c r="A713" t="str">
        <f>TEXT(IF('Change in Employment'!B720&lt;&gt;0,DATE(YEAR('Change in Employment'!B720), MONTH('Change in Employment'!B720), 1), ""), "mm/dd/yyyy")</f>
        <v/>
      </c>
      <c r="B713" t="str">
        <f>IF(ISNUMBER('Change in Employment'!L720),'Change in Employment'!L720, "")</f>
        <v/>
      </c>
      <c r="C713" t="str">
        <f>IFERROR(IF(ISNUMBER('Change in Employment'!M720),TEXT('Change in Employment'!M720, "0"), ""), "")</f>
        <v/>
      </c>
      <c r="D713" s="8" t="str">
        <f>IF(ISNUMBER('Change in Employment'!G720),'Change in Employment'!G720,"")</f>
        <v/>
      </c>
    </row>
    <row r="714" spans="1:4">
      <c r="A714" t="str">
        <f>TEXT(IF('Change in Employment'!B721&lt;&gt;0,DATE(YEAR('Change in Employment'!B721), MONTH('Change in Employment'!B721), 1), ""), "mm/dd/yyyy")</f>
        <v/>
      </c>
      <c r="B714" t="str">
        <f>IF(ISNUMBER('Change in Employment'!L721),'Change in Employment'!L721, "")</f>
        <v/>
      </c>
      <c r="C714" t="str">
        <f>IFERROR(IF(ISNUMBER('Change in Employment'!M721),TEXT('Change in Employment'!M721, "0"), ""), "")</f>
        <v/>
      </c>
      <c r="D714" s="8" t="str">
        <f>IF(ISNUMBER('Change in Employment'!G721),'Change in Employment'!G721,"")</f>
        <v/>
      </c>
    </row>
    <row r="715" spans="1:4">
      <c r="A715" t="str">
        <f>TEXT(IF('Change in Employment'!B722&lt;&gt;0,DATE(YEAR('Change in Employment'!B722), MONTH('Change in Employment'!B722), 1), ""), "mm/dd/yyyy")</f>
        <v/>
      </c>
      <c r="B715" t="str">
        <f>IF(ISNUMBER('Change in Employment'!L722),'Change in Employment'!L722, "")</f>
        <v/>
      </c>
      <c r="C715" t="str">
        <f>IFERROR(IF(ISNUMBER('Change in Employment'!M722),TEXT('Change in Employment'!M722, "0"), ""), "")</f>
        <v/>
      </c>
      <c r="D715" s="8" t="str">
        <f>IF(ISNUMBER('Change in Employment'!G722),'Change in Employment'!G722,"")</f>
        <v/>
      </c>
    </row>
    <row r="716" spans="1:4">
      <c r="A716" t="str">
        <f>TEXT(IF('Change in Employment'!B723&lt;&gt;0,DATE(YEAR('Change in Employment'!B723), MONTH('Change in Employment'!B723), 1), ""), "mm/dd/yyyy")</f>
        <v/>
      </c>
      <c r="B716" t="str">
        <f>IF(ISNUMBER('Change in Employment'!L723),'Change in Employment'!L723, "")</f>
        <v/>
      </c>
      <c r="C716" t="str">
        <f>IFERROR(IF(ISNUMBER('Change in Employment'!M723),TEXT('Change in Employment'!M723, "0"), ""), "")</f>
        <v/>
      </c>
      <c r="D716" s="8" t="str">
        <f>IF(ISNUMBER('Change in Employment'!G723),'Change in Employment'!G723,"")</f>
        <v/>
      </c>
    </row>
    <row r="717" spans="1:4">
      <c r="A717" t="str">
        <f>TEXT(IF('Change in Employment'!B724&lt;&gt;0,DATE(YEAR('Change in Employment'!B724), MONTH('Change in Employment'!B724), 1), ""), "mm/dd/yyyy")</f>
        <v/>
      </c>
      <c r="B717" t="str">
        <f>IF(ISNUMBER('Change in Employment'!L724),'Change in Employment'!L724, "")</f>
        <v/>
      </c>
      <c r="C717" t="str">
        <f>IFERROR(IF(ISNUMBER('Change in Employment'!M724),TEXT('Change in Employment'!M724, "0"), ""), "")</f>
        <v/>
      </c>
      <c r="D717" s="8" t="str">
        <f>IF(ISNUMBER('Change in Employment'!G724),'Change in Employment'!G724,"")</f>
        <v/>
      </c>
    </row>
    <row r="718" spans="1:4">
      <c r="A718" t="str">
        <f>TEXT(IF('Change in Employment'!B725&lt;&gt;0,DATE(YEAR('Change in Employment'!B725), MONTH('Change in Employment'!B725), 1), ""), "mm/dd/yyyy")</f>
        <v/>
      </c>
      <c r="B718" t="str">
        <f>IF(ISNUMBER('Change in Employment'!L725),'Change in Employment'!L725, "")</f>
        <v/>
      </c>
      <c r="C718" t="str">
        <f>IFERROR(IF(ISNUMBER('Change in Employment'!M725),TEXT('Change in Employment'!M725, "0"), ""), "")</f>
        <v/>
      </c>
      <c r="D718" s="8" t="str">
        <f>IF(ISNUMBER('Change in Employment'!G725),'Change in Employment'!G725,"")</f>
        <v/>
      </c>
    </row>
    <row r="719" spans="1:4">
      <c r="A719" t="str">
        <f>TEXT(IF('Change in Employment'!B726&lt;&gt;0,DATE(YEAR('Change in Employment'!B726), MONTH('Change in Employment'!B726), 1), ""), "mm/dd/yyyy")</f>
        <v/>
      </c>
      <c r="B719" t="str">
        <f>IF(ISNUMBER('Change in Employment'!L726),'Change in Employment'!L726, "")</f>
        <v/>
      </c>
      <c r="C719" t="str">
        <f>IFERROR(IF(ISNUMBER('Change in Employment'!M726),TEXT('Change in Employment'!M726, "0"), ""), "")</f>
        <v/>
      </c>
      <c r="D719" s="8" t="str">
        <f>IF(ISNUMBER('Change in Employment'!G726),'Change in Employment'!G726,"")</f>
        <v/>
      </c>
    </row>
    <row r="720" spans="1:4">
      <c r="A720" t="str">
        <f>TEXT(IF('Change in Employment'!B727&lt;&gt;0,DATE(YEAR('Change in Employment'!B727), MONTH('Change in Employment'!B727), 1), ""), "mm/dd/yyyy")</f>
        <v/>
      </c>
      <c r="B720" t="str">
        <f>IF(ISNUMBER('Change in Employment'!L727),'Change in Employment'!L727, "")</f>
        <v/>
      </c>
      <c r="C720" t="str">
        <f>IFERROR(IF(ISNUMBER('Change in Employment'!M727),TEXT('Change in Employment'!M727, "0"), ""), "")</f>
        <v/>
      </c>
      <c r="D720" s="8" t="str">
        <f>IF(ISNUMBER('Change in Employment'!G727),'Change in Employment'!G727,"")</f>
        <v/>
      </c>
    </row>
    <row r="721" spans="1:4">
      <c r="A721" t="str">
        <f>TEXT(IF('Change in Employment'!B728&lt;&gt;0,DATE(YEAR('Change in Employment'!B728), MONTH('Change in Employment'!B728), 1), ""), "mm/dd/yyyy")</f>
        <v/>
      </c>
      <c r="B721" t="str">
        <f>IF(ISNUMBER('Change in Employment'!L728),'Change in Employment'!L728, "")</f>
        <v/>
      </c>
      <c r="C721" t="str">
        <f>IFERROR(IF(ISNUMBER('Change in Employment'!M728),TEXT('Change in Employment'!M728, "0"), ""), "")</f>
        <v/>
      </c>
      <c r="D721" s="8" t="str">
        <f>IF(ISNUMBER('Change in Employment'!G728),'Change in Employment'!G728,"")</f>
        <v/>
      </c>
    </row>
    <row r="722" spans="1:4">
      <c r="A722" t="str">
        <f>TEXT(IF('Change in Employment'!B729&lt;&gt;0,DATE(YEAR('Change in Employment'!B729), MONTH('Change in Employment'!B729), 1), ""), "mm/dd/yyyy")</f>
        <v/>
      </c>
      <c r="B722" t="str">
        <f>IF(ISNUMBER('Change in Employment'!L729),'Change in Employment'!L729, "")</f>
        <v/>
      </c>
      <c r="C722" t="str">
        <f>IFERROR(IF(ISNUMBER('Change in Employment'!M729),TEXT('Change in Employment'!M729, "0"), ""), "")</f>
        <v/>
      </c>
      <c r="D722" s="8" t="str">
        <f>IF(ISNUMBER('Change in Employment'!G729),'Change in Employment'!G729,"")</f>
        <v/>
      </c>
    </row>
    <row r="723" spans="1:4">
      <c r="A723" t="str">
        <f>TEXT(IF('Change in Employment'!B730&lt;&gt;0,DATE(YEAR('Change in Employment'!B730), MONTH('Change in Employment'!B730), 1), ""), "mm/dd/yyyy")</f>
        <v/>
      </c>
      <c r="B723" t="str">
        <f>IF(ISNUMBER('Change in Employment'!L730),'Change in Employment'!L730, "")</f>
        <v/>
      </c>
      <c r="C723" t="str">
        <f>IFERROR(IF(ISNUMBER('Change in Employment'!M730),TEXT('Change in Employment'!M730, "0"), ""), "")</f>
        <v/>
      </c>
      <c r="D723" s="8" t="str">
        <f>IF(ISNUMBER('Change in Employment'!G730),'Change in Employment'!G730,"")</f>
        <v/>
      </c>
    </row>
    <row r="724" spans="1:4">
      <c r="A724" t="str">
        <f>TEXT(IF('Change in Employment'!B731&lt;&gt;0,DATE(YEAR('Change in Employment'!B731), MONTH('Change in Employment'!B731), 1), ""), "mm/dd/yyyy")</f>
        <v/>
      </c>
      <c r="B724" t="str">
        <f>IF(ISNUMBER('Change in Employment'!L731),'Change in Employment'!L731, "")</f>
        <v/>
      </c>
      <c r="C724" t="str">
        <f>IFERROR(IF(ISNUMBER('Change in Employment'!M731),TEXT('Change in Employment'!M731, "0"), ""), "")</f>
        <v/>
      </c>
      <c r="D724" s="8" t="str">
        <f>IF(ISNUMBER('Change in Employment'!G731),'Change in Employment'!G731,"")</f>
        <v/>
      </c>
    </row>
    <row r="725" spans="1:4">
      <c r="A725" t="str">
        <f>TEXT(IF('Change in Employment'!B732&lt;&gt;0,DATE(YEAR('Change in Employment'!B732), MONTH('Change in Employment'!B732), 1), ""), "mm/dd/yyyy")</f>
        <v/>
      </c>
      <c r="B725" t="str">
        <f>IF(ISNUMBER('Change in Employment'!L732),'Change in Employment'!L732, "")</f>
        <v/>
      </c>
      <c r="C725" t="str">
        <f>IFERROR(IF(ISNUMBER('Change in Employment'!M732),TEXT('Change in Employment'!M732, "0"), ""), "")</f>
        <v/>
      </c>
      <c r="D725" s="8" t="str">
        <f>IF(ISNUMBER('Change in Employment'!G732),'Change in Employment'!G732,"")</f>
        <v/>
      </c>
    </row>
    <row r="726" spans="1:4">
      <c r="A726" t="str">
        <f>TEXT(IF('Change in Employment'!B733&lt;&gt;0,DATE(YEAR('Change in Employment'!B733), MONTH('Change in Employment'!B733), 1), ""), "mm/dd/yyyy")</f>
        <v/>
      </c>
      <c r="B726" t="str">
        <f>IF(ISNUMBER('Change in Employment'!L733),'Change in Employment'!L733, "")</f>
        <v/>
      </c>
      <c r="C726" t="str">
        <f>IFERROR(IF(ISNUMBER('Change in Employment'!M733),TEXT('Change in Employment'!M733, "0"), ""), "")</f>
        <v/>
      </c>
      <c r="D726" s="8" t="str">
        <f>IF(ISNUMBER('Change in Employment'!G733),'Change in Employment'!G733,"")</f>
        <v/>
      </c>
    </row>
    <row r="727" spans="1:4">
      <c r="A727" t="str">
        <f>TEXT(IF('Change in Employment'!B734&lt;&gt;0,DATE(YEAR('Change in Employment'!B734), MONTH('Change in Employment'!B734), 1), ""), "mm/dd/yyyy")</f>
        <v/>
      </c>
      <c r="B727" t="str">
        <f>IF(ISNUMBER('Change in Employment'!L734),'Change in Employment'!L734, "")</f>
        <v/>
      </c>
      <c r="C727" t="str">
        <f>IFERROR(IF(ISNUMBER('Change in Employment'!M734),TEXT('Change in Employment'!M734, "0"), ""), "")</f>
        <v/>
      </c>
      <c r="D727" s="8" t="str">
        <f>IF(ISNUMBER('Change in Employment'!G734),'Change in Employment'!G734,"")</f>
        <v/>
      </c>
    </row>
    <row r="728" spans="1:4">
      <c r="A728" t="str">
        <f>TEXT(IF('Change in Employment'!B735&lt;&gt;0,DATE(YEAR('Change in Employment'!B735), MONTH('Change in Employment'!B735), 1), ""), "mm/dd/yyyy")</f>
        <v/>
      </c>
      <c r="B728" t="str">
        <f>IF(ISNUMBER('Change in Employment'!L735),'Change in Employment'!L735, "")</f>
        <v/>
      </c>
      <c r="C728" t="str">
        <f>IFERROR(IF(ISNUMBER('Change in Employment'!M735),TEXT('Change in Employment'!M735, "0"), ""), "")</f>
        <v/>
      </c>
      <c r="D728" s="8" t="str">
        <f>IF(ISNUMBER('Change in Employment'!G735),'Change in Employment'!G735,"")</f>
        <v/>
      </c>
    </row>
    <row r="729" spans="1:4">
      <c r="A729" t="str">
        <f>TEXT(IF('Change in Employment'!B736&lt;&gt;0,DATE(YEAR('Change in Employment'!B736), MONTH('Change in Employment'!B736), 1), ""), "mm/dd/yyyy")</f>
        <v/>
      </c>
      <c r="B729" t="str">
        <f>IF(ISNUMBER('Change in Employment'!L736),'Change in Employment'!L736, "")</f>
        <v/>
      </c>
      <c r="C729" t="str">
        <f>IFERROR(IF(ISNUMBER('Change in Employment'!M736),TEXT('Change in Employment'!M736, "0"), ""), "")</f>
        <v/>
      </c>
      <c r="D729" s="8" t="str">
        <f>IF(ISNUMBER('Change in Employment'!G736),'Change in Employment'!G736,"")</f>
        <v/>
      </c>
    </row>
    <row r="730" spans="1:4">
      <c r="A730" t="str">
        <f>TEXT(IF('Change in Employment'!B737&lt;&gt;0,DATE(YEAR('Change in Employment'!B737), MONTH('Change in Employment'!B737), 1), ""), "mm/dd/yyyy")</f>
        <v/>
      </c>
      <c r="B730" t="str">
        <f>IF(ISNUMBER('Change in Employment'!L737),'Change in Employment'!L737, "")</f>
        <v/>
      </c>
      <c r="C730" t="str">
        <f>IFERROR(IF(ISNUMBER('Change in Employment'!M737),TEXT('Change in Employment'!M737, "0"), ""), "")</f>
        <v/>
      </c>
      <c r="D730" s="8" t="str">
        <f>IF(ISNUMBER('Change in Employment'!G737),'Change in Employment'!G737,"")</f>
        <v/>
      </c>
    </row>
    <row r="731" spans="1:4">
      <c r="A731" t="str">
        <f>TEXT(IF('Change in Employment'!B738&lt;&gt;0,DATE(YEAR('Change in Employment'!B738), MONTH('Change in Employment'!B738), 1), ""), "mm/dd/yyyy")</f>
        <v/>
      </c>
      <c r="B731" t="str">
        <f>IF(ISNUMBER('Change in Employment'!L738),'Change in Employment'!L738, "")</f>
        <v/>
      </c>
      <c r="C731" t="str">
        <f>IFERROR(IF(ISNUMBER('Change in Employment'!M738),TEXT('Change in Employment'!M738, "0"), ""), "")</f>
        <v/>
      </c>
      <c r="D731" s="8" t="str">
        <f>IF(ISNUMBER('Change in Employment'!G738),'Change in Employment'!G738,"")</f>
        <v/>
      </c>
    </row>
    <row r="732" spans="1:4">
      <c r="A732" t="str">
        <f>TEXT(IF('Change in Employment'!B739&lt;&gt;0,DATE(YEAR('Change in Employment'!B739), MONTH('Change in Employment'!B739), 1), ""), "mm/dd/yyyy")</f>
        <v/>
      </c>
      <c r="B732" t="str">
        <f>IF(ISNUMBER('Change in Employment'!L739),'Change in Employment'!L739, "")</f>
        <v/>
      </c>
      <c r="C732" t="str">
        <f>IFERROR(IF(ISNUMBER('Change in Employment'!M739),TEXT('Change in Employment'!M739, "0"), ""), "")</f>
        <v/>
      </c>
      <c r="D732" s="8" t="str">
        <f>IF(ISNUMBER('Change in Employment'!G739),'Change in Employment'!G739,"")</f>
        <v/>
      </c>
    </row>
    <row r="733" spans="1:4">
      <c r="A733" t="str">
        <f>TEXT(IF('Change in Employment'!B740&lt;&gt;0,DATE(YEAR('Change in Employment'!B740), MONTH('Change in Employment'!B740), 1), ""), "mm/dd/yyyy")</f>
        <v/>
      </c>
      <c r="B733" t="str">
        <f>IF(ISNUMBER('Change in Employment'!L740),'Change in Employment'!L740, "")</f>
        <v/>
      </c>
      <c r="C733" t="str">
        <f>IFERROR(IF(ISNUMBER('Change in Employment'!M740),TEXT('Change in Employment'!M740, "0"), ""), "")</f>
        <v/>
      </c>
      <c r="D733" s="8" t="str">
        <f>IF(ISNUMBER('Change in Employment'!G740),'Change in Employment'!G740,"")</f>
        <v/>
      </c>
    </row>
    <row r="734" spans="1:4">
      <c r="A734" t="str">
        <f>TEXT(IF('Change in Employment'!B741&lt;&gt;0,DATE(YEAR('Change in Employment'!B741), MONTH('Change in Employment'!B741), 1), ""), "mm/dd/yyyy")</f>
        <v/>
      </c>
      <c r="B734" t="str">
        <f>IF(ISNUMBER('Change in Employment'!L741),'Change in Employment'!L741, "")</f>
        <v/>
      </c>
      <c r="C734" t="str">
        <f>IFERROR(IF(ISNUMBER('Change in Employment'!M741),TEXT('Change in Employment'!M741, "0"), ""), "")</f>
        <v/>
      </c>
      <c r="D734" s="8" t="str">
        <f>IF(ISNUMBER('Change in Employment'!G741),'Change in Employment'!G741,"")</f>
        <v/>
      </c>
    </row>
    <row r="735" spans="1:4">
      <c r="A735" t="str">
        <f>TEXT(IF('Change in Employment'!B742&lt;&gt;0,DATE(YEAR('Change in Employment'!B742), MONTH('Change in Employment'!B742), 1), ""), "mm/dd/yyyy")</f>
        <v/>
      </c>
      <c r="B735" t="str">
        <f>IF(ISNUMBER('Change in Employment'!L742),'Change in Employment'!L742, "")</f>
        <v/>
      </c>
      <c r="C735" t="str">
        <f>IFERROR(IF(ISNUMBER('Change in Employment'!M742),TEXT('Change in Employment'!M742, "0"), ""), "")</f>
        <v/>
      </c>
      <c r="D735" s="8" t="str">
        <f>IF(ISNUMBER('Change in Employment'!G742),'Change in Employment'!G742,"")</f>
        <v/>
      </c>
    </row>
    <row r="736" spans="1:4">
      <c r="A736" t="str">
        <f>TEXT(IF('Change in Employment'!B743&lt;&gt;0,DATE(YEAR('Change in Employment'!B743), MONTH('Change in Employment'!B743), 1), ""), "mm/dd/yyyy")</f>
        <v/>
      </c>
      <c r="B736" t="str">
        <f>IF(ISNUMBER('Change in Employment'!L743),'Change in Employment'!L743, "")</f>
        <v/>
      </c>
      <c r="C736" t="str">
        <f>IFERROR(IF(ISNUMBER('Change in Employment'!M743),TEXT('Change in Employment'!M743, "0"), ""), "")</f>
        <v/>
      </c>
      <c r="D736" s="8" t="str">
        <f>IF(ISNUMBER('Change in Employment'!G743),'Change in Employment'!G743,"")</f>
        <v/>
      </c>
    </row>
    <row r="737" spans="1:4">
      <c r="A737" t="str">
        <f>TEXT(IF('Change in Employment'!B744&lt;&gt;0,DATE(YEAR('Change in Employment'!B744), MONTH('Change in Employment'!B744), 1), ""), "mm/dd/yyyy")</f>
        <v/>
      </c>
      <c r="B737" t="str">
        <f>IF(ISNUMBER('Change in Employment'!L744),'Change in Employment'!L744, "")</f>
        <v/>
      </c>
      <c r="C737" t="str">
        <f>IFERROR(IF(ISNUMBER('Change in Employment'!M744),TEXT('Change in Employment'!M744, "0"), ""), "")</f>
        <v/>
      </c>
      <c r="D737" s="8" t="str">
        <f>IF(ISNUMBER('Change in Employment'!G744),'Change in Employment'!G744,"")</f>
        <v/>
      </c>
    </row>
    <row r="738" spans="1:4">
      <c r="A738" t="str">
        <f>TEXT(IF('Change in Employment'!B745&lt;&gt;0,DATE(YEAR('Change in Employment'!B745), MONTH('Change in Employment'!B745), 1), ""), "mm/dd/yyyy")</f>
        <v/>
      </c>
      <c r="B738" t="str">
        <f>IF(ISNUMBER('Change in Employment'!L745),'Change in Employment'!L745, "")</f>
        <v/>
      </c>
      <c r="C738" t="str">
        <f>IFERROR(IF(ISNUMBER('Change in Employment'!M745),TEXT('Change in Employment'!M745, "0"), ""), "")</f>
        <v/>
      </c>
      <c r="D738" s="8" t="str">
        <f>IF(ISNUMBER('Change in Employment'!G745),'Change in Employment'!G745,"")</f>
        <v/>
      </c>
    </row>
    <row r="739" spans="1:4">
      <c r="A739" t="str">
        <f>TEXT(IF('Change in Employment'!B746&lt;&gt;0,DATE(YEAR('Change in Employment'!B746), MONTH('Change in Employment'!B746), 1), ""), "mm/dd/yyyy")</f>
        <v/>
      </c>
      <c r="B739" t="str">
        <f>IF(ISNUMBER('Change in Employment'!L746),'Change in Employment'!L746, "")</f>
        <v/>
      </c>
      <c r="C739" t="str">
        <f>IFERROR(IF(ISNUMBER('Change in Employment'!M746),TEXT('Change in Employment'!M746, "0"), ""), "")</f>
        <v/>
      </c>
      <c r="D739" s="8" t="str">
        <f>IF(ISNUMBER('Change in Employment'!G746),'Change in Employment'!G746,"")</f>
        <v/>
      </c>
    </row>
    <row r="740" spans="1:4">
      <c r="A740" t="str">
        <f>TEXT(IF('Change in Employment'!B747&lt;&gt;0,DATE(YEAR('Change in Employment'!B747), MONTH('Change in Employment'!B747), 1), ""), "mm/dd/yyyy")</f>
        <v/>
      </c>
      <c r="B740" t="str">
        <f>IF(ISNUMBER('Change in Employment'!L747),'Change in Employment'!L747, "")</f>
        <v/>
      </c>
      <c r="C740" t="str">
        <f>IFERROR(IF(ISNUMBER('Change in Employment'!M747),TEXT('Change in Employment'!M747, "0"), ""), "")</f>
        <v/>
      </c>
      <c r="D740" s="8" t="str">
        <f>IF(ISNUMBER('Change in Employment'!G747),'Change in Employment'!G747,"")</f>
        <v/>
      </c>
    </row>
    <row r="741" spans="1:4">
      <c r="A741" t="str">
        <f>TEXT(IF('Change in Employment'!B748&lt;&gt;0,DATE(YEAR('Change in Employment'!B748), MONTH('Change in Employment'!B748), 1), ""), "mm/dd/yyyy")</f>
        <v/>
      </c>
      <c r="B741" t="str">
        <f>IF(ISNUMBER('Change in Employment'!L748),'Change in Employment'!L748, "")</f>
        <v/>
      </c>
      <c r="C741" t="str">
        <f>IFERROR(IF(ISNUMBER('Change in Employment'!M748),TEXT('Change in Employment'!M748, "0"), ""), "")</f>
        <v/>
      </c>
      <c r="D741" s="8" t="str">
        <f>IF(ISNUMBER('Change in Employment'!G748),'Change in Employment'!G748,"")</f>
        <v/>
      </c>
    </row>
    <row r="742" spans="1:4">
      <c r="A742" t="str">
        <f>TEXT(IF('Change in Employment'!B749&lt;&gt;0,DATE(YEAR('Change in Employment'!B749), MONTH('Change in Employment'!B749), 1), ""), "mm/dd/yyyy")</f>
        <v/>
      </c>
      <c r="B742" t="str">
        <f>IF(ISNUMBER('Change in Employment'!L749),'Change in Employment'!L749, "")</f>
        <v/>
      </c>
      <c r="C742" t="str">
        <f>IFERROR(IF(ISNUMBER('Change in Employment'!M749),TEXT('Change in Employment'!M749, "0"), ""), "")</f>
        <v/>
      </c>
      <c r="D742" s="8" t="str">
        <f>IF(ISNUMBER('Change in Employment'!G749),'Change in Employment'!G749,"")</f>
        <v/>
      </c>
    </row>
    <row r="743" spans="1:4">
      <c r="A743" t="str">
        <f>TEXT(IF('Change in Employment'!B750&lt;&gt;0,DATE(YEAR('Change in Employment'!B750), MONTH('Change in Employment'!B750), 1), ""), "mm/dd/yyyy")</f>
        <v/>
      </c>
      <c r="B743" t="str">
        <f>IF(ISNUMBER('Change in Employment'!L750),'Change in Employment'!L750, "")</f>
        <v/>
      </c>
      <c r="C743" t="str">
        <f>IFERROR(IF(ISNUMBER('Change in Employment'!M750),TEXT('Change in Employment'!M750, "0"), ""), "")</f>
        <v/>
      </c>
      <c r="D743" s="8" t="str">
        <f>IF(ISNUMBER('Change in Employment'!G750),'Change in Employment'!G750,"")</f>
        <v/>
      </c>
    </row>
    <row r="744" spans="1:4">
      <c r="A744" t="str">
        <f>TEXT(IF('Change in Employment'!B751&lt;&gt;0,DATE(YEAR('Change in Employment'!B751), MONTH('Change in Employment'!B751), 1), ""), "mm/dd/yyyy")</f>
        <v/>
      </c>
      <c r="B744" t="str">
        <f>IF(ISNUMBER('Change in Employment'!L751),'Change in Employment'!L751, "")</f>
        <v/>
      </c>
      <c r="C744" t="str">
        <f>IFERROR(IF(ISNUMBER('Change in Employment'!M751),TEXT('Change in Employment'!M751, "0"), ""), "")</f>
        <v/>
      </c>
      <c r="D744" s="8" t="str">
        <f>IF(ISNUMBER('Change in Employment'!G751),'Change in Employment'!G751,"")</f>
        <v/>
      </c>
    </row>
    <row r="745" spans="1:4">
      <c r="A745" t="str">
        <f>TEXT(IF('Change in Employment'!B752&lt;&gt;0,DATE(YEAR('Change in Employment'!B752), MONTH('Change in Employment'!B752), 1), ""), "mm/dd/yyyy")</f>
        <v/>
      </c>
      <c r="B745" t="str">
        <f>IF(ISNUMBER('Change in Employment'!L752),'Change in Employment'!L752, "")</f>
        <v/>
      </c>
      <c r="C745" t="str">
        <f>IFERROR(IF(ISNUMBER('Change in Employment'!M752),TEXT('Change in Employment'!M752, "0"), ""), "")</f>
        <v/>
      </c>
      <c r="D745" s="8" t="str">
        <f>IF(ISNUMBER('Change in Employment'!G752),'Change in Employment'!G752,"")</f>
        <v/>
      </c>
    </row>
    <row r="746" spans="1:4">
      <c r="A746" t="str">
        <f>TEXT(IF('Change in Employment'!B753&lt;&gt;0,DATE(YEAR('Change in Employment'!B753), MONTH('Change in Employment'!B753), 1), ""), "mm/dd/yyyy")</f>
        <v/>
      </c>
      <c r="B746" t="str">
        <f>IF(ISNUMBER('Change in Employment'!L753),'Change in Employment'!L753, "")</f>
        <v/>
      </c>
      <c r="C746" t="str">
        <f>IFERROR(IF(ISNUMBER('Change in Employment'!M753),TEXT('Change in Employment'!M753, "0"), ""), "")</f>
        <v/>
      </c>
      <c r="D746" s="8" t="str">
        <f>IF(ISNUMBER('Change in Employment'!G753),'Change in Employment'!G753,"")</f>
        <v/>
      </c>
    </row>
    <row r="747" spans="1:4">
      <c r="A747" t="str">
        <f>TEXT(IF('Change in Employment'!B754&lt;&gt;0,DATE(YEAR('Change in Employment'!B754), MONTH('Change in Employment'!B754), 1), ""), "mm/dd/yyyy")</f>
        <v/>
      </c>
      <c r="B747" t="str">
        <f>IF(ISNUMBER('Change in Employment'!L754),'Change in Employment'!L754, "")</f>
        <v/>
      </c>
      <c r="C747" t="str">
        <f>IFERROR(IF(ISNUMBER('Change in Employment'!M754),TEXT('Change in Employment'!M754, "0"), ""), "")</f>
        <v/>
      </c>
      <c r="D747" s="8" t="str">
        <f>IF(ISNUMBER('Change in Employment'!G754),'Change in Employment'!G754,"")</f>
        <v/>
      </c>
    </row>
    <row r="748" spans="1:4">
      <c r="A748" t="str">
        <f>TEXT(IF('Change in Employment'!B755&lt;&gt;0,DATE(YEAR('Change in Employment'!B755), MONTH('Change in Employment'!B755), 1), ""), "mm/dd/yyyy")</f>
        <v/>
      </c>
      <c r="B748" t="str">
        <f>IF(ISNUMBER('Change in Employment'!L755),'Change in Employment'!L755, "")</f>
        <v/>
      </c>
      <c r="C748" t="str">
        <f>IFERROR(IF(ISNUMBER('Change in Employment'!M755),TEXT('Change in Employment'!M755, "0"), ""), "")</f>
        <v/>
      </c>
      <c r="D748" s="8" t="str">
        <f>IF(ISNUMBER('Change in Employment'!G755),'Change in Employment'!G755,"")</f>
        <v/>
      </c>
    </row>
    <row r="749" spans="1:4">
      <c r="A749" t="str">
        <f>TEXT(IF('Change in Employment'!B756&lt;&gt;0,DATE(YEAR('Change in Employment'!B756), MONTH('Change in Employment'!B756), 1), ""), "mm/dd/yyyy")</f>
        <v/>
      </c>
      <c r="B749" t="str">
        <f>IF(ISNUMBER('Change in Employment'!L756),'Change in Employment'!L756, "")</f>
        <v/>
      </c>
      <c r="C749" t="str">
        <f>IFERROR(IF(ISNUMBER('Change in Employment'!M756),TEXT('Change in Employment'!M756, "0"), ""), "")</f>
        <v/>
      </c>
      <c r="D749" s="8" t="str">
        <f>IF(ISNUMBER('Change in Employment'!G756),'Change in Employment'!G756,"")</f>
        <v/>
      </c>
    </row>
    <row r="750" spans="1:4">
      <c r="A750" t="str">
        <f>TEXT(IF('Change in Employment'!B757&lt;&gt;0,DATE(YEAR('Change in Employment'!B757), MONTH('Change in Employment'!B757), 1), ""), "mm/dd/yyyy")</f>
        <v/>
      </c>
      <c r="B750" t="str">
        <f>IF(ISNUMBER('Change in Employment'!L757),'Change in Employment'!L757, "")</f>
        <v/>
      </c>
      <c r="C750" t="str">
        <f>IFERROR(IF(ISNUMBER('Change in Employment'!M757),TEXT('Change in Employment'!M757, "0"), ""), "")</f>
        <v/>
      </c>
      <c r="D750" s="8" t="str">
        <f>IF(ISNUMBER('Change in Employment'!G757),'Change in Employment'!G757,"")</f>
        <v/>
      </c>
    </row>
    <row r="751" spans="1:4">
      <c r="A751" t="str">
        <f>TEXT(IF('Change in Employment'!B758&lt;&gt;0,DATE(YEAR('Change in Employment'!B758), MONTH('Change in Employment'!B758), 1), ""), "mm/dd/yyyy")</f>
        <v/>
      </c>
      <c r="B751" t="str">
        <f>IF(ISNUMBER('Change in Employment'!L758),'Change in Employment'!L758, "")</f>
        <v/>
      </c>
      <c r="C751" t="str">
        <f>IFERROR(IF(ISNUMBER('Change in Employment'!M758),TEXT('Change in Employment'!M758, "0"), ""), "")</f>
        <v/>
      </c>
      <c r="D751" s="8" t="str">
        <f>IF(ISNUMBER('Change in Employment'!G758),'Change in Employment'!G758,"")</f>
        <v/>
      </c>
    </row>
    <row r="752" spans="1:4">
      <c r="A752" t="str">
        <f>TEXT(IF('Change in Employment'!B759&lt;&gt;0,DATE(YEAR('Change in Employment'!B759), MONTH('Change in Employment'!B759), 1), ""), "mm/dd/yyyy")</f>
        <v/>
      </c>
      <c r="B752" t="str">
        <f>IF(ISNUMBER('Change in Employment'!L759),'Change in Employment'!L759, "")</f>
        <v/>
      </c>
      <c r="C752" t="str">
        <f>IFERROR(IF(ISNUMBER('Change in Employment'!M759),TEXT('Change in Employment'!M759, "0"), ""), "")</f>
        <v/>
      </c>
      <c r="D752" s="8" t="str">
        <f>IF(ISNUMBER('Change in Employment'!G759),'Change in Employment'!G759,"")</f>
        <v/>
      </c>
    </row>
    <row r="753" spans="1:4">
      <c r="A753" t="str">
        <f>TEXT(IF('Change in Employment'!B760&lt;&gt;0,DATE(YEAR('Change in Employment'!B760), MONTH('Change in Employment'!B760), 1), ""), "mm/dd/yyyy")</f>
        <v/>
      </c>
      <c r="B753" t="str">
        <f>IF(ISNUMBER('Change in Employment'!L760),'Change in Employment'!L760, "")</f>
        <v/>
      </c>
      <c r="C753" t="str">
        <f>IFERROR(IF(ISNUMBER('Change in Employment'!M760),TEXT('Change in Employment'!M760, "0"), ""), "")</f>
        <v/>
      </c>
      <c r="D753" s="8" t="str">
        <f>IF(ISNUMBER('Change in Employment'!G760),'Change in Employment'!G760,"")</f>
        <v/>
      </c>
    </row>
    <row r="754" spans="1:4">
      <c r="A754" t="str">
        <f>TEXT(IF('Change in Employment'!B761&lt;&gt;0,DATE(YEAR('Change in Employment'!B761), MONTH('Change in Employment'!B761), 1), ""), "mm/dd/yyyy")</f>
        <v/>
      </c>
      <c r="B754" t="str">
        <f>IF(ISNUMBER('Change in Employment'!L761),'Change in Employment'!L761, "")</f>
        <v/>
      </c>
      <c r="C754" t="str">
        <f>IFERROR(IF(ISNUMBER('Change in Employment'!M761),TEXT('Change in Employment'!M761, "0"), ""), "")</f>
        <v/>
      </c>
      <c r="D754" s="8" t="str">
        <f>IF(ISNUMBER('Change in Employment'!G761),'Change in Employment'!G761,"")</f>
        <v/>
      </c>
    </row>
    <row r="755" spans="1:4">
      <c r="A755" t="str">
        <f>TEXT(IF('Change in Employment'!B762&lt;&gt;0,DATE(YEAR('Change in Employment'!B762), MONTH('Change in Employment'!B762), 1), ""), "mm/dd/yyyy")</f>
        <v/>
      </c>
      <c r="B755" t="str">
        <f>IF(ISNUMBER('Change in Employment'!L762),'Change in Employment'!L762, "")</f>
        <v/>
      </c>
      <c r="C755" t="str">
        <f>IFERROR(IF(ISNUMBER('Change in Employment'!M762),TEXT('Change in Employment'!M762, "0"), ""), "")</f>
        <v/>
      </c>
      <c r="D755" s="8" t="str">
        <f>IF(ISNUMBER('Change in Employment'!G762),'Change in Employment'!G762,"")</f>
        <v/>
      </c>
    </row>
    <row r="756" spans="1:4">
      <c r="A756" t="str">
        <f>TEXT(IF('Change in Employment'!B763&lt;&gt;0,DATE(YEAR('Change in Employment'!B763), MONTH('Change in Employment'!B763), 1), ""), "mm/dd/yyyy")</f>
        <v/>
      </c>
      <c r="B756" t="str">
        <f>IF(ISNUMBER('Change in Employment'!L763),'Change in Employment'!L763, "")</f>
        <v/>
      </c>
      <c r="C756" t="str">
        <f>IFERROR(IF(ISNUMBER('Change in Employment'!M763),TEXT('Change in Employment'!M763, "0"), ""), "")</f>
        <v/>
      </c>
      <c r="D756" s="8" t="str">
        <f>IF(ISNUMBER('Change in Employment'!G763),'Change in Employment'!G763,"")</f>
        <v/>
      </c>
    </row>
    <row r="757" spans="1:4">
      <c r="A757" t="str">
        <f>TEXT(IF('Change in Employment'!B764&lt;&gt;0,DATE(YEAR('Change in Employment'!B764), MONTH('Change in Employment'!B764), 1), ""), "mm/dd/yyyy")</f>
        <v/>
      </c>
      <c r="B757" t="str">
        <f>IF(ISNUMBER('Change in Employment'!L764),'Change in Employment'!L764, "")</f>
        <v/>
      </c>
      <c r="C757" t="str">
        <f>IFERROR(IF(ISNUMBER('Change in Employment'!M764),TEXT('Change in Employment'!M764, "0"), ""), "")</f>
        <v/>
      </c>
      <c r="D757" s="8" t="str">
        <f>IF(ISNUMBER('Change in Employment'!G764),'Change in Employment'!G764,"")</f>
        <v/>
      </c>
    </row>
    <row r="758" spans="1:4">
      <c r="A758" t="str">
        <f>TEXT(IF('Change in Employment'!B765&lt;&gt;0,DATE(YEAR('Change in Employment'!B765), MONTH('Change in Employment'!B765), 1), ""), "mm/dd/yyyy")</f>
        <v/>
      </c>
      <c r="B758" t="str">
        <f>IF(ISNUMBER('Change in Employment'!L765),'Change in Employment'!L765, "")</f>
        <v/>
      </c>
      <c r="C758" t="str">
        <f>IFERROR(IF(ISNUMBER('Change in Employment'!M765),TEXT('Change in Employment'!M765, "0"), ""), "")</f>
        <v/>
      </c>
      <c r="D758" s="8" t="str">
        <f>IF(ISNUMBER('Change in Employment'!G765),'Change in Employment'!G765,"")</f>
        <v/>
      </c>
    </row>
    <row r="759" spans="1:4">
      <c r="A759" t="str">
        <f>TEXT(IF('Change in Employment'!B766&lt;&gt;0,DATE(YEAR('Change in Employment'!B766), MONTH('Change in Employment'!B766), 1), ""), "mm/dd/yyyy")</f>
        <v/>
      </c>
      <c r="B759" t="str">
        <f>IF(ISNUMBER('Change in Employment'!L766),'Change in Employment'!L766, "")</f>
        <v/>
      </c>
      <c r="C759" t="str">
        <f>IFERROR(IF(ISNUMBER('Change in Employment'!M766),TEXT('Change in Employment'!M766, "0"), ""), "")</f>
        <v/>
      </c>
      <c r="D759" s="8" t="str">
        <f>IF(ISNUMBER('Change in Employment'!G766),'Change in Employment'!G766,"")</f>
        <v/>
      </c>
    </row>
    <row r="760" spans="1:4">
      <c r="A760" t="str">
        <f>TEXT(IF('Change in Employment'!B767&lt;&gt;0,DATE(YEAR('Change in Employment'!B767), MONTH('Change in Employment'!B767), 1), ""), "mm/dd/yyyy")</f>
        <v/>
      </c>
      <c r="B760" t="str">
        <f>IF(ISNUMBER('Change in Employment'!L767),'Change in Employment'!L767, "")</f>
        <v/>
      </c>
      <c r="C760" t="str">
        <f>IFERROR(IF(ISNUMBER('Change in Employment'!M767),TEXT('Change in Employment'!M767, "0"), ""), "")</f>
        <v/>
      </c>
      <c r="D760" s="8" t="str">
        <f>IF(ISNUMBER('Change in Employment'!G767),'Change in Employment'!G767,"")</f>
        <v/>
      </c>
    </row>
    <row r="761" spans="1:4">
      <c r="A761" t="str">
        <f>TEXT(IF('Change in Employment'!B768&lt;&gt;0,DATE(YEAR('Change in Employment'!B768), MONTH('Change in Employment'!B768), 1), ""), "mm/dd/yyyy")</f>
        <v/>
      </c>
      <c r="B761" t="str">
        <f>IF(ISNUMBER('Change in Employment'!L768),'Change in Employment'!L768, "")</f>
        <v/>
      </c>
      <c r="C761" t="str">
        <f>IFERROR(IF(ISNUMBER('Change in Employment'!M768),TEXT('Change in Employment'!M768, "0"), ""), "")</f>
        <v/>
      </c>
      <c r="D761" s="8" t="str">
        <f>IF(ISNUMBER('Change in Employment'!G768),'Change in Employment'!G768,"")</f>
        <v/>
      </c>
    </row>
    <row r="762" spans="1:4">
      <c r="A762" t="str">
        <f>TEXT(IF('Change in Employment'!B769&lt;&gt;0,DATE(YEAR('Change in Employment'!B769), MONTH('Change in Employment'!B769), 1), ""), "mm/dd/yyyy")</f>
        <v/>
      </c>
      <c r="B762" t="str">
        <f>IF(ISNUMBER('Change in Employment'!L769),'Change in Employment'!L769, "")</f>
        <v/>
      </c>
      <c r="C762" t="str">
        <f>IFERROR(IF(ISNUMBER('Change in Employment'!M769),TEXT('Change in Employment'!M769, "0"), ""), "")</f>
        <v/>
      </c>
      <c r="D762" s="8" t="str">
        <f>IF(ISNUMBER('Change in Employment'!G769),'Change in Employment'!G769,"")</f>
        <v/>
      </c>
    </row>
    <row r="763" spans="1:4">
      <c r="A763" t="str">
        <f>TEXT(IF('Change in Employment'!B770&lt;&gt;0,DATE(YEAR('Change in Employment'!B770), MONTH('Change in Employment'!B770), 1), ""), "mm/dd/yyyy")</f>
        <v/>
      </c>
      <c r="B763" t="str">
        <f>IF(ISNUMBER('Change in Employment'!L770),'Change in Employment'!L770, "")</f>
        <v/>
      </c>
      <c r="C763" t="str">
        <f>IFERROR(IF(ISNUMBER('Change in Employment'!M770),TEXT('Change in Employment'!M770, "0"), ""), "")</f>
        <v/>
      </c>
      <c r="D763" s="8" t="str">
        <f>IF(ISNUMBER('Change in Employment'!G770),'Change in Employment'!G770,"")</f>
        <v/>
      </c>
    </row>
    <row r="764" spans="1:4">
      <c r="A764" t="str">
        <f>TEXT(IF('Change in Employment'!B771&lt;&gt;0,DATE(YEAR('Change in Employment'!B771), MONTH('Change in Employment'!B771), 1), ""), "mm/dd/yyyy")</f>
        <v/>
      </c>
      <c r="B764" t="str">
        <f>IF(ISNUMBER('Change in Employment'!L771),'Change in Employment'!L771, "")</f>
        <v/>
      </c>
      <c r="C764" t="str">
        <f>IFERROR(IF(ISNUMBER('Change in Employment'!M771),TEXT('Change in Employment'!M771, "0"), ""), "")</f>
        <v/>
      </c>
      <c r="D764" s="8" t="str">
        <f>IF(ISNUMBER('Change in Employment'!G771),'Change in Employment'!G771,"")</f>
        <v/>
      </c>
    </row>
    <row r="765" spans="1:4">
      <c r="A765" t="str">
        <f>TEXT(IF('Change in Employment'!B772&lt;&gt;0,DATE(YEAR('Change in Employment'!B772), MONTH('Change in Employment'!B772), 1), ""), "mm/dd/yyyy")</f>
        <v/>
      </c>
      <c r="B765" t="str">
        <f>IF(ISNUMBER('Change in Employment'!L772),'Change in Employment'!L772, "")</f>
        <v/>
      </c>
      <c r="C765" t="str">
        <f>IFERROR(IF(ISNUMBER('Change in Employment'!M772),TEXT('Change in Employment'!M772, "0"), ""), "")</f>
        <v/>
      </c>
      <c r="D765" s="8" t="str">
        <f>IF(ISNUMBER('Change in Employment'!G772),'Change in Employment'!G772,"")</f>
        <v/>
      </c>
    </row>
    <row r="766" spans="1:4">
      <c r="A766" t="str">
        <f>TEXT(IF('Change in Employment'!B773&lt;&gt;0,DATE(YEAR('Change in Employment'!B773), MONTH('Change in Employment'!B773), 1), ""), "mm/dd/yyyy")</f>
        <v/>
      </c>
      <c r="B766" t="str">
        <f>IF(ISNUMBER('Change in Employment'!L773),'Change in Employment'!L773, "")</f>
        <v/>
      </c>
      <c r="C766" t="str">
        <f>IFERROR(IF(ISNUMBER('Change in Employment'!M773),TEXT('Change in Employment'!M773, "0"), ""), "")</f>
        <v/>
      </c>
      <c r="D766" s="8" t="str">
        <f>IF(ISNUMBER('Change in Employment'!G773),'Change in Employment'!G773,"")</f>
        <v/>
      </c>
    </row>
    <row r="767" spans="1:4">
      <c r="A767" t="str">
        <f>TEXT(IF('Change in Employment'!B774&lt;&gt;0,DATE(YEAR('Change in Employment'!B774), MONTH('Change in Employment'!B774), 1), ""), "mm/dd/yyyy")</f>
        <v/>
      </c>
      <c r="B767" t="str">
        <f>IF(ISNUMBER('Change in Employment'!L774),'Change in Employment'!L774, "")</f>
        <v/>
      </c>
      <c r="C767" t="str">
        <f>IFERROR(IF(ISNUMBER('Change in Employment'!M774),TEXT('Change in Employment'!M774, "0"), ""), "")</f>
        <v/>
      </c>
      <c r="D767" s="8" t="str">
        <f>IF(ISNUMBER('Change in Employment'!G774),'Change in Employment'!G774,"")</f>
        <v/>
      </c>
    </row>
    <row r="768" spans="1:4">
      <c r="A768" t="str">
        <f>TEXT(IF('Change in Employment'!B775&lt;&gt;0,DATE(YEAR('Change in Employment'!B775), MONTH('Change in Employment'!B775), 1), ""), "mm/dd/yyyy")</f>
        <v/>
      </c>
      <c r="B768" t="str">
        <f>IF(ISNUMBER('Change in Employment'!L775),'Change in Employment'!L775, "")</f>
        <v/>
      </c>
      <c r="C768" t="str">
        <f>IFERROR(IF(ISNUMBER('Change in Employment'!M775),TEXT('Change in Employment'!M775, "0"), ""), "")</f>
        <v/>
      </c>
      <c r="D768" s="8" t="str">
        <f>IF(ISNUMBER('Change in Employment'!G775),'Change in Employment'!G775,"")</f>
        <v/>
      </c>
    </row>
    <row r="769" spans="1:4">
      <c r="A769" t="str">
        <f>TEXT(IF('Change in Employment'!B776&lt;&gt;0,DATE(YEAR('Change in Employment'!B776), MONTH('Change in Employment'!B776), 1), ""), "mm/dd/yyyy")</f>
        <v/>
      </c>
      <c r="B769" t="str">
        <f>IF(ISNUMBER('Change in Employment'!L776),'Change in Employment'!L776, "")</f>
        <v/>
      </c>
      <c r="C769" t="str">
        <f>IFERROR(IF(ISNUMBER('Change in Employment'!M776),TEXT('Change in Employment'!M776, "0"), ""), "")</f>
        <v/>
      </c>
      <c r="D769" s="8" t="str">
        <f>IF(ISNUMBER('Change in Employment'!G776),'Change in Employment'!G776,"")</f>
        <v/>
      </c>
    </row>
    <row r="770" spans="1:4">
      <c r="A770" t="str">
        <f>TEXT(IF('Change in Employment'!B777&lt;&gt;0,DATE(YEAR('Change in Employment'!B777), MONTH('Change in Employment'!B777), 1), ""), "mm/dd/yyyy")</f>
        <v/>
      </c>
      <c r="B770" t="str">
        <f>IF(ISNUMBER('Change in Employment'!L777),'Change in Employment'!L777, "")</f>
        <v/>
      </c>
      <c r="C770" t="str">
        <f>IFERROR(IF(ISNUMBER('Change in Employment'!M777),TEXT('Change in Employment'!M777, "0"), ""), "")</f>
        <v/>
      </c>
      <c r="D770" s="8" t="str">
        <f>IF(ISNUMBER('Change in Employment'!G777),'Change in Employment'!G777,"")</f>
        <v/>
      </c>
    </row>
    <row r="771" spans="1:4">
      <c r="A771" t="str">
        <f>TEXT(IF('Change in Employment'!B778&lt;&gt;0,DATE(YEAR('Change in Employment'!B778), MONTH('Change in Employment'!B778), 1), ""), "mm/dd/yyyy")</f>
        <v/>
      </c>
      <c r="B771" t="str">
        <f>IF(ISNUMBER('Change in Employment'!L778),'Change in Employment'!L778, "")</f>
        <v/>
      </c>
      <c r="C771" t="str">
        <f>IFERROR(IF(ISNUMBER('Change in Employment'!M778),TEXT('Change in Employment'!M778, "0"), ""), "")</f>
        <v/>
      </c>
      <c r="D771" s="8" t="str">
        <f>IF(ISNUMBER('Change in Employment'!G778),'Change in Employment'!G778,"")</f>
        <v/>
      </c>
    </row>
    <row r="772" spans="1:4">
      <c r="A772" t="str">
        <f>TEXT(IF('Change in Employment'!B779&lt;&gt;0,DATE(YEAR('Change in Employment'!B779), MONTH('Change in Employment'!B779), 1), ""), "mm/dd/yyyy")</f>
        <v/>
      </c>
      <c r="B772" t="str">
        <f>IF(ISNUMBER('Change in Employment'!L779),'Change in Employment'!L779, "")</f>
        <v/>
      </c>
      <c r="C772" t="str">
        <f>IFERROR(IF(ISNUMBER('Change in Employment'!M779),TEXT('Change in Employment'!M779, "0"), ""), "")</f>
        <v/>
      </c>
      <c r="D772" s="8" t="str">
        <f>IF(ISNUMBER('Change in Employment'!G779),'Change in Employment'!G779,"")</f>
        <v/>
      </c>
    </row>
    <row r="773" spans="1:4">
      <c r="A773" t="str">
        <f>TEXT(IF('Change in Employment'!B780&lt;&gt;0,DATE(YEAR('Change in Employment'!B780), MONTH('Change in Employment'!B780), 1), ""), "mm/dd/yyyy")</f>
        <v/>
      </c>
      <c r="B773" t="str">
        <f>IF(ISNUMBER('Change in Employment'!L780),'Change in Employment'!L780, "")</f>
        <v/>
      </c>
      <c r="C773" t="str">
        <f>IFERROR(IF(ISNUMBER('Change in Employment'!M780),TEXT('Change in Employment'!M780, "0"), ""), "")</f>
        <v/>
      </c>
      <c r="D773" s="8" t="str">
        <f>IF(ISNUMBER('Change in Employment'!G780),'Change in Employment'!G780,"")</f>
        <v/>
      </c>
    </row>
    <row r="774" spans="1:4">
      <c r="A774" t="str">
        <f>TEXT(IF('Change in Employment'!B781&lt;&gt;0,DATE(YEAR('Change in Employment'!B781), MONTH('Change in Employment'!B781), 1), ""), "mm/dd/yyyy")</f>
        <v/>
      </c>
      <c r="B774" t="str">
        <f>IF(ISNUMBER('Change in Employment'!L781),'Change in Employment'!L781, "")</f>
        <v/>
      </c>
      <c r="C774" t="str">
        <f>IFERROR(IF(ISNUMBER('Change in Employment'!M781),TEXT('Change in Employment'!M781, "0"), ""), "")</f>
        <v/>
      </c>
      <c r="D774" s="8" t="str">
        <f>IF(ISNUMBER('Change in Employment'!G781),'Change in Employment'!G781,"")</f>
        <v/>
      </c>
    </row>
    <row r="775" spans="1:4">
      <c r="A775" t="str">
        <f>TEXT(IF('Change in Employment'!B782&lt;&gt;0,DATE(YEAR('Change in Employment'!B782), MONTH('Change in Employment'!B782), 1), ""), "mm/dd/yyyy")</f>
        <v/>
      </c>
      <c r="B775" t="str">
        <f>IF(ISNUMBER('Change in Employment'!L782),'Change in Employment'!L782, "")</f>
        <v/>
      </c>
      <c r="C775" t="str">
        <f>IFERROR(IF(ISNUMBER('Change in Employment'!M782),TEXT('Change in Employment'!M782, "0"), ""), "")</f>
        <v/>
      </c>
      <c r="D775" s="8" t="str">
        <f>IF(ISNUMBER('Change in Employment'!G782),'Change in Employment'!G782,"")</f>
        <v/>
      </c>
    </row>
    <row r="776" spans="1:4">
      <c r="A776" t="str">
        <f>TEXT(IF('Change in Employment'!B783&lt;&gt;0,DATE(YEAR('Change in Employment'!B783), MONTH('Change in Employment'!B783), 1), ""), "mm/dd/yyyy")</f>
        <v/>
      </c>
      <c r="B776" t="str">
        <f>IF(ISNUMBER('Change in Employment'!L783),'Change in Employment'!L783, "")</f>
        <v/>
      </c>
      <c r="C776" t="str">
        <f>IFERROR(IF(ISNUMBER('Change in Employment'!M783),TEXT('Change in Employment'!M783, "0"), ""), "")</f>
        <v/>
      </c>
      <c r="D776" s="8" t="str">
        <f>IF(ISNUMBER('Change in Employment'!G783),'Change in Employment'!G783,"")</f>
        <v/>
      </c>
    </row>
    <row r="777" spans="1:4">
      <c r="A777" t="str">
        <f>TEXT(IF('Change in Employment'!B784&lt;&gt;0,DATE(YEAR('Change in Employment'!B784), MONTH('Change in Employment'!B784), 1), ""), "mm/dd/yyyy")</f>
        <v/>
      </c>
      <c r="B777" t="str">
        <f>IF(ISNUMBER('Change in Employment'!L784),'Change in Employment'!L784, "")</f>
        <v/>
      </c>
      <c r="C777" t="str">
        <f>IFERROR(IF(ISNUMBER('Change in Employment'!M784),TEXT('Change in Employment'!M784, "0"), ""), "")</f>
        <v/>
      </c>
      <c r="D777" s="8" t="str">
        <f>IF(ISNUMBER('Change in Employment'!G784),'Change in Employment'!G784,"")</f>
        <v/>
      </c>
    </row>
    <row r="778" spans="1:4">
      <c r="A778" t="str">
        <f>TEXT(IF('Change in Employment'!B785&lt;&gt;0,DATE(YEAR('Change in Employment'!B785), MONTH('Change in Employment'!B785), 1), ""), "mm/dd/yyyy")</f>
        <v/>
      </c>
      <c r="B778" t="str">
        <f>IF(ISNUMBER('Change in Employment'!L785),'Change in Employment'!L785, "")</f>
        <v/>
      </c>
      <c r="C778" t="str">
        <f>IFERROR(IF(ISNUMBER('Change in Employment'!M785),TEXT('Change in Employment'!M785, "0"), ""), "")</f>
        <v/>
      </c>
      <c r="D778" s="8" t="str">
        <f>IF(ISNUMBER('Change in Employment'!G785),'Change in Employment'!G785,"")</f>
        <v/>
      </c>
    </row>
    <row r="779" spans="1:4">
      <c r="A779" t="str">
        <f>TEXT(IF('Change in Employment'!B786&lt;&gt;0,DATE(YEAR('Change in Employment'!B786), MONTH('Change in Employment'!B786), 1), ""), "mm/dd/yyyy")</f>
        <v/>
      </c>
      <c r="B779" t="str">
        <f>IF(ISNUMBER('Change in Employment'!L786),'Change in Employment'!L786, "")</f>
        <v/>
      </c>
      <c r="C779" t="str">
        <f>IFERROR(IF(ISNUMBER('Change in Employment'!M786),TEXT('Change in Employment'!M786, "0"), ""), "")</f>
        <v/>
      </c>
      <c r="D779" s="8" t="str">
        <f>IF(ISNUMBER('Change in Employment'!G786),'Change in Employment'!G786,"")</f>
        <v/>
      </c>
    </row>
    <row r="780" spans="1:4">
      <c r="A780" t="str">
        <f>TEXT(IF('Change in Employment'!B787&lt;&gt;0,DATE(YEAR('Change in Employment'!B787), MONTH('Change in Employment'!B787), 1), ""), "mm/dd/yyyy")</f>
        <v/>
      </c>
      <c r="B780" t="str">
        <f>IF(ISNUMBER('Change in Employment'!L787),'Change in Employment'!L787, "")</f>
        <v/>
      </c>
      <c r="C780" t="str">
        <f>IFERROR(IF(ISNUMBER('Change in Employment'!M787),TEXT('Change in Employment'!M787, "0"), ""), "")</f>
        <v/>
      </c>
      <c r="D780" s="8" t="str">
        <f>IF(ISNUMBER('Change in Employment'!G787),'Change in Employment'!G787,"")</f>
        <v/>
      </c>
    </row>
    <row r="781" spans="1:4">
      <c r="A781" t="str">
        <f>TEXT(IF('Change in Employment'!B788&lt;&gt;0,DATE(YEAR('Change in Employment'!B788), MONTH('Change in Employment'!B788), 1), ""), "mm/dd/yyyy")</f>
        <v/>
      </c>
      <c r="B781" t="str">
        <f>IF(ISNUMBER('Change in Employment'!L788),'Change in Employment'!L788, "")</f>
        <v/>
      </c>
      <c r="C781" t="str">
        <f>IFERROR(IF(ISNUMBER('Change in Employment'!M788),TEXT('Change in Employment'!M788, "0"), ""), "")</f>
        <v/>
      </c>
      <c r="D781" s="8" t="str">
        <f>IF(ISNUMBER('Change in Employment'!G788),'Change in Employment'!G788,"")</f>
        <v/>
      </c>
    </row>
    <row r="782" spans="1:4">
      <c r="A782" t="str">
        <f>TEXT(IF('Change in Employment'!B789&lt;&gt;0,DATE(YEAR('Change in Employment'!B789), MONTH('Change in Employment'!B789), 1), ""), "mm/dd/yyyy")</f>
        <v/>
      </c>
      <c r="B782" t="str">
        <f>IF(ISNUMBER('Change in Employment'!L789),'Change in Employment'!L789, "")</f>
        <v/>
      </c>
      <c r="C782" t="str">
        <f>IFERROR(IF(ISNUMBER('Change in Employment'!M789),TEXT('Change in Employment'!M789, "0"), ""), "")</f>
        <v/>
      </c>
      <c r="D782" s="8" t="str">
        <f>IF(ISNUMBER('Change in Employment'!G789),'Change in Employment'!G789,"")</f>
        <v/>
      </c>
    </row>
    <row r="783" spans="1:4">
      <c r="A783" t="str">
        <f>TEXT(IF('Change in Employment'!B790&lt;&gt;0,DATE(YEAR('Change in Employment'!B790), MONTH('Change in Employment'!B790), 1), ""), "mm/dd/yyyy")</f>
        <v/>
      </c>
      <c r="B783" t="str">
        <f>IF(ISNUMBER('Change in Employment'!L790),'Change in Employment'!L790, "")</f>
        <v/>
      </c>
      <c r="C783" t="str">
        <f>IFERROR(IF(ISNUMBER('Change in Employment'!M790),TEXT('Change in Employment'!M790, "0"), ""), "")</f>
        <v/>
      </c>
      <c r="D783" s="8" t="str">
        <f>IF(ISNUMBER('Change in Employment'!G790),'Change in Employment'!G790,"")</f>
        <v/>
      </c>
    </row>
    <row r="784" spans="1:4">
      <c r="A784" t="str">
        <f>TEXT(IF('Change in Employment'!B791&lt;&gt;0,DATE(YEAR('Change in Employment'!B791), MONTH('Change in Employment'!B791), 1), ""), "mm/dd/yyyy")</f>
        <v/>
      </c>
      <c r="B784" t="str">
        <f>IF(ISNUMBER('Change in Employment'!L791),'Change in Employment'!L791, "")</f>
        <v/>
      </c>
      <c r="C784" t="str">
        <f>IFERROR(IF(ISNUMBER('Change in Employment'!M791),TEXT('Change in Employment'!M791, "0"), ""), "")</f>
        <v/>
      </c>
      <c r="D784" s="8" t="str">
        <f>IF(ISNUMBER('Change in Employment'!G791),'Change in Employment'!G791,"")</f>
        <v/>
      </c>
    </row>
    <row r="785" spans="1:4">
      <c r="A785" t="str">
        <f>TEXT(IF('Change in Employment'!B792&lt;&gt;0,DATE(YEAR('Change in Employment'!B792), MONTH('Change in Employment'!B792), 1), ""), "mm/dd/yyyy")</f>
        <v/>
      </c>
      <c r="B785" t="str">
        <f>IF(ISNUMBER('Change in Employment'!L792),'Change in Employment'!L792, "")</f>
        <v/>
      </c>
      <c r="C785" t="str">
        <f>IFERROR(IF(ISNUMBER('Change in Employment'!M792),TEXT('Change in Employment'!M792, "0"), ""), "")</f>
        <v/>
      </c>
      <c r="D785" s="8" t="str">
        <f>IF(ISNUMBER('Change in Employment'!G792),'Change in Employment'!G792,"")</f>
        <v/>
      </c>
    </row>
    <row r="786" spans="1:4">
      <c r="A786" t="str">
        <f>TEXT(IF('Change in Employment'!B793&lt;&gt;0,DATE(YEAR('Change in Employment'!B793), MONTH('Change in Employment'!B793), 1), ""), "mm/dd/yyyy")</f>
        <v/>
      </c>
      <c r="B786" t="str">
        <f>IF(ISNUMBER('Change in Employment'!L793),'Change in Employment'!L793, "")</f>
        <v/>
      </c>
      <c r="C786" t="str">
        <f>IFERROR(IF(ISNUMBER('Change in Employment'!M793),TEXT('Change in Employment'!M793, "0"), ""), "")</f>
        <v/>
      </c>
      <c r="D786" s="8" t="str">
        <f>IF(ISNUMBER('Change in Employment'!G793),'Change in Employment'!G793,"")</f>
        <v/>
      </c>
    </row>
    <row r="787" spans="1:4">
      <c r="A787" t="str">
        <f>TEXT(IF('Change in Employment'!B794&lt;&gt;0,DATE(YEAR('Change in Employment'!B794), MONTH('Change in Employment'!B794), 1), ""), "mm/dd/yyyy")</f>
        <v/>
      </c>
      <c r="B787" t="str">
        <f>IF(ISNUMBER('Change in Employment'!L794),'Change in Employment'!L794, "")</f>
        <v/>
      </c>
      <c r="C787" t="str">
        <f>IFERROR(IF(ISNUMBER('Change in Employment'!M794),TEXT('Change in Employment'!M794, "0"), ""), "")</f>
        <v/>
      </c>
      <c r="D787" s="8" t="str">
        <f>IF(ISNUMBER('Change in Employment'!G794),'Change in Employment'!G794,"")</f>
        <v/>
      </c>
    </row>
    <row r="788" spans="1:4">
      <c r="A788" t="str">
        <f>TEXT(IF('Change in Employment'!B795&lt;&gt;0,DATE(YEAR('Change in Employment'!B795), MONTH('Change in Employment'!B795), 1), ""), "mm/dd/yyyy")</f>
        <v/>
      </c>
      <c r="B788" t="str">
        <f>IF(ISNUMBER('Change in Employment'!L795),'Change in Employment'!L795, "")</f>
        <v/>
      </c>
      <c r="C788" t="str">
        <f>IFERROR(IF(ISNUMBER('Change in Employment'!M795),TEXT('Change in Employment'!M795, "0"), ""), "")</f>
        <v/>
      </c>
      <c r="D788" s="8" t="str">
        <f>IF(ISNUMBER('Change in Employment'!G795),'Change in Employment'!G795,"")</f>
        <v/>
      </c>
    </row>
    <row r="789" spans="1:4">
      <c r="A789" t="str">
        <f>TEXT(IF('Change in Employment'!B796&lt;&gt;0,DATE(YEAR('Change in Employment'!B796), MONTH('Change in Employment'!B796), 1), ""), "mm/dd/yyyy")</f>
        <v/>
      </c>
      <c r="B789" t="str">
        <f>IF(ISNUMBER('Change in Employment'!L796),'Change in Employment'!L796, "")</f>
        <v/>
      </c>
      <c r="C789" t="str">
        <f>IFERROR(IF(ISNUMBER('Change in Employment'!M796),TEXT('Change in Employment'!M796, "0"), ""), "")</f>
        <v/>
      </c>
      <c r="D789" s="8" t="str">
        <f>IF(ISNUMBER('Change in Employment'!G796),'Change in Employment'!G796,"")</f>
        <v/>
      </c>
    </row>
    <row r="790" spans="1:4">
      <c r="A790" t="str">
        <f>TEXT(IF('Change in Employment'!B797&lt;&gt;0,DATE(YEAR('Change in Employment'!B797), MONTH('Change in Employment'!B797), 1), ""), "mm/dd/yyyy")</f>
        <v/>
      </c>
      <c r="B790" t="str">
        <f>IF(ISNUMBER('Change in Employment'!L797),'Change in Employment'!L797, "")</f>
        <v/>
      </c>
      <c r="C790" t="str">
        <f>IFERROR(IF(ISNUMBER('Change in Employment'!M797),TEXT('Change in Employment'!M797, "0"), ""), "")</f>
        <v/>
      </c>
      <c r="D790" s="8" t="str">
        <f>IF(ISNUMBER('Change in Employment'!G797),'Change in Employment'!G797,"")</f>
        <v/>
      </c>
    </row>
    <row r="791" spans="1:4">
      <c r="A791" t="str">
        <f>TEXT(IF('Change in Employment'!B798&lt;&gt;0,DATE(YEAR('Change in Employment'!B798), MONTH('Change in Employment'!B798), 1), ""), "mm/dd/yyyy")</f>
        <v/>
      </c>
      <c r="B791" t="str">
        <f>IF(ISNUMBER('Change in Employment'!L798),'Change in Employment'!L798, "")</f>
        <v/>
      </c>
      <c r="C791" t="str">
        <f>IFERROR(IF(ISNUMBER('Change in Employment'!M798),TEXT('Change in Employment'!M798, "0"), ""), "")</f>
        <v/>
      </c>
      <c r="D791" s="8" t="str">
        <f>IF(ISNUMBER('Change in Employment'!G798),'Change in Employment'!G798,"")</f>
        <v/>
      </c>
    </row>
    <row r="792" spans="1:4">
      <c r="A792" t="str">
        <f>TEXT(IF('Change in Employment'!B799&lt;&gt;0,DATE(YEAR('Change in Employment'!B799), MONTH('Change in Employment'!B799), 1), ""), "mm/dd/yyyy")</f>
        <v/>
      </c>
      <c r="B792" t="str">
        <f>IF(ISNUMBER('Change in Employment'!L799),'Change in Employment'!L799, "")</f>
        <v/>
      </c>
      <c r="C792" t="str">
        <f>IFERROR(IF(ISNUMBER('Change in Employment'!M799),TEXT('Change in Employment'!M799, "0"), ""), "")</f>
        <v/>
      </c>
      <c r="D792" s="8" t="str">
        <f>IF(ISNUMBER('Change in Employment'!G799),'Change in Employment'!G799,"")</f>
        <v/>
      </c>
    </row>
    <row r="793" spans="1:4">
      <c r="A793" t="str">
        <f>TEXT(IF('Change in Employment'!B800&lt;&gt;0,DATE(YEAR('Change in Employment'!B800), MONTH('Change in Employment'!B800), 1), ""), "mm/dd/yyyy")</f>
        <v/>
      </c>
      <c r="B793" t="str">
        <f>IF(ISNUMBER('Change in Employment'!L800),'Change in Employment'!L800, "")</f>
        <v/>
      </c>
      <c r="C793" t="str">
        <f>IFERROR(IF(ISNUMBER('Change in Employment'!M800),TEXT('Change in Employment'!M800, "0"), ""), "")</f>
        <v/>
      </c>
      <c r="D793" s="8" t="str">
        <f>IF(ISNUMBER('Change in Employment'!G800),'Change in Employment'!G800,"")</f>
        <v/>
      </c>
    </row>
    <row r="794" spans="1:4">
      <c r="A794" t="str">
        <f>TEXT(IF('Change in Employment'!B801&lt;&gt;0,DATE(YEAR('Change in Employment'!B801), MONTH('Change in Employment'!B801), 1), ""), "mm/dd/yyyy")</f>
        <v/>
      </c>
      <c r="B794" t="str">
        <f>IF(ISNUMBER('Change in Employment'!L801),'Change in Employment'!L801, "")</f>
        <v/>
      </c>
      <c r="C794" t="str">
        <f>IFERROR(IF(ISNUMBER('Change in Employment'!M801),TEXT('Change in Employment'!M801, "0"), ""), "")</f>
        <v/>
      </c>
      <c r="D794" s="8" t="str">
        <f>IF(ISNUMBER('Change in Employment'!G801),'Change in Employment'!G801,"")</f>
        <v/>
      </c>
    </row>
    <row r="795" spans="1:4">
      <c r="A795" t="str">
        <f>TEXT(IF('Change in Employment'!B802&lt;&gt;0,DATE(YEAR('Change in Employment'!B802), MONTH('Change in Employment'!B802), 1), ""), "mm/dd/yyyy")</f>
        <v/>
      </c>
      <c r="B795" t="str">
        <f>IF(ISNUMBER('Change in Employment'!L802),'Change in Employment'!L802, "")</f>
        <v/>
      </c>
      <c r="C795" t="str">
        <f>IFERROR(IF(ISNUMBER('Change in Employment'!M802),TEXT('Change in Employment'!M802, "0"), ""), "")</f>
        <v/>
      </c>
      <c r="D795" s="8" t="str">
        <f>IF(ISNUMBER('Change in Employment'!G802),'Change in Employment'!G802,"")</f>
        <v/>
      </c>
    </row>
    <row r="796" spans="1:4">
      <c r="A796" t="str">
        <f>TEXT(IF('Change in Employment'!B803&lt;&gt;0,DATE(YEAR('Change in Employment'!B803), MONTH('Change in Employment'!B803), 1), ""), "mm/dd/yyyy")</f>
        <v/>
      </c>
      <c r="B796" t="str">
        <f>IF(ISNUMBER('Change in Employment'!L803),'Change in Employment'!L803, "")</f>
        <v/>
      </c>
      <c r="C796" t="str">
        <f>IFERROR(IF(ISNUMBER('Change in Employment'!M803),TEXT('Change in Employment'!M803, "0"), ""), "")</f>
        <v/>
      </c>
      <c r="D796" s="8" t="str">
        <f>IF(ISNUMBER('Change in Employment'!G803),'Change in Employment'!G803,"")</f>
        <v/>
      </c>
    </row>
    <row r="797" spans="1:4">
      <c r="A797" t="str">
        <f>TEXT(IF('Change in Employment'!B804&lt;&gt;0,DATE(YEAR('Change in Employment'!B804), MONTH('Change in Employment'!B804), 1), ""), "mm/dd/yyyy")</f>
        <v/>
      </c>
      <c r="B797" t="str">
        <f>IF(ISNUMBER('Change in Employment'!L804),'Change in Employment'!L804, "")</f>
        <v/>
      </c>
      <c r="C797" t="str">
        <f>IFERROR(IF(ISNUMBER('Change in Employment'!M804),TEXT('Change in Employment'!M804, "0"), ""), "")</f>
        <v/>
      </c>
      <c r="D797" s="8" t="str">
        <f>IF(ISNUMBER('Change in Employment'!G804),'Change in Employment'!G804,"")</f>
        <v/>
      </c>
    </row>
    <row r="798" spans="1:4">
      <c r="A798" t="str">
        <f>TEXT(IF('Change in Employment'!B805&lt;&gt;0,DATE(YEAR('Change in Employment'!B805), MONTH('Change in Employment'!B805), 1), ""), "mm/dd/yyyy")</f>
        <v/>
      </c>
      <c r="B798" t="str">
        <f>IF(ISNUMBER('Change in Employment'!L805),'Change in Employment'!L805, "")</f>
        <v/>
      </c>
      <c r="C798" t="str">
        <f>IFERROR(IF(ISNUMBER('Change in Employment'!M805),TEXT('Change in Employment'!M805, "0"), ""), "")</f>
        <v/>
      </c>
      <c r="D798" s="8" t="str">
        <f>IF(ISNUMBER('Change in Employment'!G805),'Change in Employment'!G805,"")</f>
        <v/>
      </c>
    </row>
    <row r="799" spans="1:4">
      <c r="A799" t="str">
        <f>TEXT(IF('Change in Employment'!B806&lt;&gt;0,DATE(YEAR('Change in Employment'!B806), MONTH('Change in Employment'!B806), 1), ""), "mm/dd/yyyy")</f>
        <v/>
      </c>
      <c r="B799" t="str">
        <f>IF(ISNUMBER('Change in Employment'!L806),'Change in Employment'!L806, "")</f>
        <v/>
      </c>
      <c r="C799" t="str">
        <f>IFERROR(IF(ISNUMBER('Change in Employment'!M806),TEXT('Change in Employment'!M806, "0"), ""), "")</f>
        <v/>
      </c>
      <c r="D799" s="8" t="str">
        <f>IF(ISNUMBER('Change in Employment'!G806),'Change in Employment'!G806,"")</f>
        <v/>
      </c>
    </row>
    <row r="800" spans="1:4">
      <c r="A800" t="str">
        <f>TEXT(IF('Change in Employment'!B807&lt;&gt;0,DATE(YEAR('Change in Employment'!B807), MONTH('Change in Employment'!B807), 1), ""), "mm/dd/yyyy")</f>
        <v/>
      </c>
      <c r="B800" t="str">
        <f>IF(ISNUMBER('Change in Employment'!L807),'Change in Employment'!L807, "")</f>
        <v/>
      </c>
      <c r="C800" t="str">
        <f>IFERROR(IF(ISNUMBER('Change in Employment'!M807),TEXT('Change in Employment'!M807, "0"), ""), "")</f>
        <v/>
      </c>
      <c r="D800" s="8" t="str">
        <f>IF(ISNUMBER('Change in Employment'!G807),'Change in Employment'!G807,"")</f>
        <v/>
      </c>
    </row>
    <row r="801" spans="1:4">
      <c r="A801" t="str">
        <f>TEXT(IF('Change in Employment'!B808&lt;&gt;0,DATE(YEAR('Change in Employment'!B808), MONTH('Change in Employment'!B808), 1), ""), "mm/dd/yyyy")</f>
        <v/>
      </c>
      <c r="B801" t="str">
        <f>IF(ISNUMBER('Change in Employment'!L808),'Change in Employment'!L808, "")</f>
        <v/>
      </c>
      <c r="C801" t="str">
        <f>IFERROR(IF(ISNUMBER('Change in Employment'!M808),TEXT('Change in Employment'!M808, "0"), ""), "")</f>
        <v/>
      </c>
      <c r="D801" s="8" t="str">
        <f>IF(ISNUMBER('Change in Employment'!G808),'Change in Employment'!G808,"")</f>
        <v/>
      </c>
    </row>
    <row r="802" spans="1:4">
      <c r="A802" t="str">
        <f>TEXT(IF('Change in Employment'!B809&lt;&gt;0,DATE(YEAR('Change in Employment'!B809), MONTH('Change in Employment'!B809), 1), ""), "mm/dd/yyyy")</f>
        <v/>
      </c>
      <c r="B802" t="str">
        <f>IF(ISNUMBER('Change in Employment'!L809),'Change in Employment'!L809, "")</f>
        <v/>
      </c>
      <c r="C802" t="str">
        <f>IFERROR(IF(ISNUMBER('Change in Employment'!M809),TEXT('Change in Employment'!M809, "0"), ""), "")</f>
        <v/>
      </c>
      <c r="D802" s="8" t="str">
        <f>IF(ISNUMBER('Change in Employment'!G809),'Change in Employment'!G809,"")</f>
        <v/>
      </c>
    </row>
    <row r="803" spans="1:4">
      <c r="A803" t="str">
        <f>TEXT(IF('Change in Employment'!B810&lt;&gt;0,DATE(YEAR('Change in Employment'!B810), MONTH('Change in Employment'!B810), 1), ""), "mm/dd/yyyy")</f>
        <v/>
      </c>
      <c r="B803" t="str">
        <f>IF(ISNUMBER('Change in Employment'!L810),'Change in Employment'!L810, "")</f>
        <v/>
      </c>
      <c r="C803" t="str">
        <f>IFERROR(IF(ISNUMBER('Change in Employment'!M810),TEXT('Change in Employment'!M810, "0"), ""), "")</f>
        <v/>
      </c>
      <c r="D803" s="8" t="str">
        <f>IF(ISNUMBER('Change in Employment'!G810),'Change in Employment'!G810,"")</f>
        <v/>
      </c>
    </row>
    <row r="804" spans="1:4">
      <c r="A804" t="str">
        <f>TEXT(IF('Change in Employment'!B811&lt;&gt;0,DATE(YEAR('Change in Employment'!B811), MONTH('Change in Employment'!B811), 1), ""), "mm/dd/yyyy")</f>
        <v/>
      </c>
      <c r="B804" t="str">
        <f>IF(ISNUMBER('Change in Employment'!L811),'Change in Employment'!L811, "")</f>
        <v/>
      </c>
      <c r="C804" t="str">
        <f>IFERROR(IF(ISNUMBER('Change in Employment'!M811),TEXT('Change in Employment'!M811, "0"), ""), "")</f>
        <v/>
      </c>
      <c r="D804" s="8" t="str">
        <f>IF(ISNUMBER('Change in Employment'!G811),'Change in Employment'!G811,"")</f>
        <v/>
      </c>
    </row>
    <row r="805" spans="1:4">
      <c r="A805" t="str">
        <f>TEXT(IF('Change in Employment'!B812&lt;&gt;0,DATE(YEAR('Change in Employment'!B812), MONTH('Change in Employment'!B812), 1), ""), "mm/dd/yyyy")</f>
        <v/>
      </c>
      <c r="B805" t="str">
        <f>IF(ISNUMBER('Change in Employment'!L812),'Change in Employment'!L812, "")</f>
        <v/>
      </c>
      <c r="C805" t="str">
        <f>IFERROR(IF(ISNUMBER('Change in Employment'!M812),TEXT('Change in Employment'!M812, "0"), ""), "")</f>
        <v/>
      </c>
      <c r="D805" s="8" t="str">
        <f>IF(ISNUMBER('Change in Employment'!G812),'Change in Employment'!G812,"")</f>
        <v/>
      </c>
    </row>
    <row r="806" spans="1:4">
      <c r="A806" t="str">
        <f>TEXT(IF('Change in Employment'!B813&lt;&gt;0,DATE(YEAR('Change in Employment'!B813), MONTH('Change in Employment'!B813), 1), ""), "mm/dd/yyyy")</f>
        <v/>
      </c>
      <c r="B806" t="str">
        <f>IF(ISNUMBER('Change in Employment'!L813),'Change in Employment'!L813, "")</f>
        <v/>
      </c>
      <c r="C806" t="str">
        <f>IFERROR(IF(ISNUMBER('Change in Employment'!M813),TEXT('Change in Employment'!M813, "0"), ""), "")</f>
        <v/>
      </c>
      <c r="D806" s="8" t="str">
        <f>IF(ISNUMBER('Change in Employment'!G813),'Change in Employment'!G813,"")</f>
        <v/>
      </c>
    </row>
    <row r="807" spans="1:4">
      <c r="A807" t="str">
        <f>TEXT(IF('Change in Employment'!B814&lt;&gt;0,DATE(YEAR('Change in Employment'!B814), MONTH('Change in Employment'!B814), 1), ""), "mm/dd/yyyy")</f>
        <v/>
      </c>
      <c r="B807" t="str">
        <f>IF(ISNUMBER('Change in Employment'!L814),'Change in Employment'!L814, "")</f>
        <v/>
      </c>
      <c r="C807" t="str">
        <f>IFERROR(IF(ISNUMBER('Change in Employment'!M814),TEXT('Change in Employment'!M814, "0"), ""), "")</f>
        <v/>
      </c>
      <c r="D807" s="8" t="str">
        <f>IF(ISNUMBER('Change in Employment'!G814),'Change in Employment'!G814,"")</f>
        <v/>
      </c>
    </row>
    <row r="808" spans="1:4">
      <c r="A808" t="str">
        <f>TEXT(IF('Change in Employment'!B815&lt;&gt;0,DATE(YEAR('Change in Employment'!B815), MONTH('Change in Employment'!B815), 1), ""), "mm/dd/yyyy")</f>
        <v/>
      </c>
      <c r="B808" t="str">
        <f>IF(ISNUMBER('Change in Employment'!L815),'Change in Employment'!L815, "")</f>
        <v/>
      </c>
      <c r="C808" t="str">
        <f>IFERROR(IF(ISNUMBER('Change in Employment'!M815),TEXT('Change in Employment'!M815, "0"), ""), "")</f>
        <v/>
      </c>
      <c r="D808" s="8" t="str">
        <f>IF(ISNUMBER('Change in Employment'!G815),'Change in Employment'!G815,"")</f>
        <v/>
      </c>
    </row>
    <row r="809" spans="1:4">
      <c r="A809" t="str">
        <f>TEXT(IF('Change in Employment'!B816&lt;&gt;0,DATE(YEAR('Change in Employment'!B816), MONTH('Change in Employment'!B816), 1), ""), "mm/dd/yyyy")</f>
        <v/>
      </c>
      <c r="B809" t="str">
        <f>IF(ISNUMBER('Change in Employment'!L816),'Change in Employment'!L816, "")</f>
        <v/>
      </c>
      <c r="C809" t="str">
        <f>IFERROR(IF(ISNUMBER('Change in Employment'!M816),TEXT('Change in Employment'!M816, "0"), ""), "")</f>
        <v/>
      </c>
      <c r="D809" s="8" t="str">
        <f>IF(ISNUMBER('Change in Employment'!G816),'Change in Employment'!G816,"")</f>
        <v/>
      </c>
    </row>
    <row r="810" spans="1:4">
      <c r="A810" t="str">
        <f>TEXT(IF('Change in Employment'!B817&lt;&gt;0,DATE(YEAR('Change in Employment'!B817), MONTH('Change in Employment'!B817), 1), ""), "mm/dd/yyyy")</f>
        <v/>
      </c>
      <c r="B810" t="str">
        <f>IF(ISNUMBER('Change in Employment'!L817),'Change in Employment'!L817, "")</f>
        <v/>
      </c>
      <c r="C810" t="str">
        <f>IFERROR(IF(ISNUMBER('Change in Employment'!M817),TEXT('Change in Employment'!M817, "0"), ""), "")</f>
        <v/>
      </c>
      <c r="D810" s="8" t="str">
        <f>IF(ISNUMBER('Change in Employment'!G817),'Change in Employment'!G817,"")</f>
        <v/>
      </c>
    </row>
    <row r="811" spans="1:4">
      <c r="A811" t="str">
        <f>TEXT(IF('Change in Employment'!B818&lt;&gt;0,DATE(YEAR('Change in Employment'!B818), MONTH('Change in Employment'!B818), 1), ""), "mm/dd/yyyy")</f>
        <v/>
      </c>
      <c r="B811" t="str">
        <f>IF(ISNUMBER('Change in Employment'!L818),'Change in Employment'!L818, "")</f>
        <v/>
      </c>
      <c r="C811" t="str">
        <f>IFERROR(IF(ISNUMBER('Change in Employment'!M818),TEXT('Change in Employment'!M818, "0"), ""), "")</f>
        <v/>
      </c>
      <c r="D811" s="8" t="str">
        <f>IF(ISNUMBER('Change in Employment'!G818),'Change in Employment'!G818,"")</f>
        <v/>
      </c>
    </row>
    <row r="812" spans="1:4">
      <c r="A812" t="str">
        <f>TEXT(IF('Change in Employment'!B819&lt;&gt;0,DATE(YEAR('Change in Employment'!B819), MONTH('Change in Employment'!B819), 1), ""), "mm/dd/yyyy")</f>
        <v/>
      </c>
      <c r="B812" t="str">
        <f>IF(ISNUMBER('Change in Employment'!L819),'Change in Employment'!L819, "")</f>
        <v/>
      </c>
      <c r="C812" t="str">
        <f>IFERROR(IF(ISNUMBER('Change in Employment'!M819),TEXT('Change in Employment'!M819, "0"), ""), "")</f>
        <v/>
      </c>
      <c r="D812" s="8" t="str">
        <f>IF(ISNUMBER('Change in Employment'!G819),'Change in Employment'!G819,"")</f>
        <v/>
      </c>
    </row>
    <row r="813" spans="1:4">
      <c r="A813" t="str">
        <f>TEXT(IF('Change in Employment'!B820&lt;&gt;0,DATE(YEAR('Change in Employment'!B820), MONTH('Change in Employment'!B820), 1), ""), "mm/dd/yyyy")</f>
        <v/>
      </c>
      <c r="B813" t="str">
        <f>IF(ISNUMBER('Change in Employment'!L820),'Change in Employment'!L820, "")</f>
        <v/>
      </c>
      <c r="C813" t="str">
        <f>IFERROR(IF(ISNUMBER('Change in Employment'!M820),TEXT('Change in Employment'!M820, "0"), ""), "")</f>
        <v/>
      </c>
      <c r="D813" s="8" t="str">
        <f>IF(ISNUMBER('Change in Employment'!G820),'Change in Employment'!G820,"")</f>
        <v/>
      </c>
    </row>
    <row r="814" spans="1:4">
      <c r="A814" t="str">
        <f>TEXT(IF('Change in Employment'!B821&lt;&gt;0,DATE(YEAR('Change in Employment'!B821), MONTH('Change in Employment'!B821), 1), ""), "mm/dd/yyyy")</f>
        <v/>
      </c>
      <c r="B814" t="str">
        <f>IF(ISNUMBER('Change in Employment'!L821),'Change in Employment'!L821, "")</f>
        <v/>
      </c>
      <c r="C814" t="str">
        <f>IFERROR(IF(ISNUMBER('Change in Employment'!M821),TEXT('Change in Employment'!M821, "0"), ""), "")</f>
        <v/>
      </c>
      <c r="D814" s="8" t="str">
        <f>IF(ISNUMBER('Change in Employment'!G821),'Change in Employment'!G821,"")</f>
        <v/>
      </c>
    </row>
    <row r="815" spans="1:4">
      <c r="A815" t="str">
        <f>TEXT(IF('Change in Employment'!B822&lt;&gt;0,DATE(YEAR('Change in Employment'!B822), MONTH('Change in Employment'!B822), 1), ""), "mm/dd/yyyy")</f>
        <v/>
      </c>
      <c r="B815" t="str">
        <f>IF(ISNUMBER('Change in Employment'!L822),'Change in Employment'!L822, "")</f>
        <v/>
      </c>
      <c r="C815" t="str">
        <f>IFERROR(IF(ISNUMBER('Change in Employment'!M822),TEXT('Change in Employment'!M822, "0"), ""), "")</f>
        <v/>
      </c>
      <c r="D815" s="8" t="str">
        <f>IF(ISNUMBER('Change in Employment'!G822),'Change in Employment'!G822,"")</f>
        <v/>
      </c>
    </row>
    <row r="816" spans="1:4">
      <c r="A816" t="str">
        <f>TEXT(IF('Change in Employment'!B823&lt;&gt;0,DATE(YEAR('Change in Employment'!B823), MONTH('Change in Employment'!B823), 1), ""), "mm/dd/yyyy")</f>
        <v/>
      </c>
      <c r="B816" t="str">
        <f>IF(ISNUMBER('Change in Employment'!L823),'Change in Employment'!L823, "")</f>
        <v/>
      </c>
      <c r="C816" t="str">
        <f>IFERROR(IF(ISNUMBER('Change in Employment'!M823),TEXT('Change in Employment'!M823, "0"), ""), "")</f>
        <v/>
      </c>
      <c r="D816" s="8" t="str">
        <f>IF(ISNUMBER('Change in Employment'!G823),'Change in Employment'!G823,"")</f>
        <v/>
      </c>
    </row>
    <row r="817" spans="1:4">
      <c r="A817" t="str">
        <f>TEXT(IF('Change in Employment'!B824&lt;&gt;0,DATE(YEAR('Change in Employment'!B824), MONTH('Change in Employment'!B824), 1), ""), "mm/dd/yyyy")</f>
        <v/>
      </c>
      <c r="B817" t="str">
        <f>IF(ISNUMBER('Change in Employment'!L824),'Change in Employment'!L824, "")</f>
        <v/>
      </c>
      <c r="C817" t="str">
        <f>IFERROR(IF(ISNUMBER('Change in Employment'!M824),TEXT('Change in Employment'!M824, "0"), ""), "")</f>
        <v/>
      </c>
      <c r="D817" s="8" t="str">
        <f>IF(ISNUMBER('Change in Employment'!G824),'Change in Employment'!G824,"")</f>
        <v/>
      </c>
    </row>
    <row r="818" spans="1:4">
      <c r="A818" t="str">
        <f>TEXT(IF('Change in Employment'!B825&lt;&gt;0,DATE(YEAR('Change in Employment'!B825), MONTH('Change in Employment'!B825), 1), ""), "mm/dd/yyyy")</f>
        <v/>
      </c>
      <c r="B818" t="str">
        <f>IF(ISNUMBER('Change in Employment'!L825),'Change in Employment'!L825, "")</f>
        <v/>
      </c>
      <c r="C818" t="str">
        <f>IFERROR(IF(ISNUMBER('Change in Employment'!M825),TEXT('Change in Employment'!M825, "0"), ""), "")</f>
        <v/>
      </c>
      <c r="D818" s="8" t="str">
        <f>IF(ISNUMBER('Change in Employment'!G825),'Change in Employment'!G825,"")</f>
        <v/>
      </c>
    </row>
    <row r="819" spans="1:4">
      <c r="A819" t="str">
        <f>TEXT(IF('Change in Employment'!B826&lt;&gt;0,DATE(YEAR('Change in Employment'!B826), MONTH('Change in Employment'!B826), 1), ""), "mm/dd/yyyy")</f>
        <v/>
      </c>
      <c r="B819" t="str">
        <f>IF(ISNUMBER('Change in Employment'!L826),'Change in Employment'!L826, "")</f>
        <v/>
      </c>
      <c r="C819" t="str">
        <f>IFERROR(IF(ISNUMBER('Change in Employment'!M826),TEXT('Change in Employment'!M826, "0"), ""), "")</f>
        <v/>
      </c>
      <c r="D819" s="8" t="str">
        <f>IF(ISNUMBER('Change in Employment'!G826),'Change in Employment'!G826,"")</f>
        <v/>
      </c>
    </row>
    <row r="820" spans="1:4">
      <c r="A820" t="str">
        <f>TEXT(IF('Change in Employment'!B827&lt;&gt;0,DATE(YEAR('Change in Employment'!B827), MONTH('Change in Employment'!B827), 1), ""), "mm/dd/yyyy")</f>
        <v/>
      </c>
      <c r="B820" t="str">
        <f>IF(ISNUMBER('Change in Employment'!L827),'Change in Employment'!L827, "")</f>
        <v/>
      </c>
      <c r="C820" t="str">
        <f>IFERROR(IF(ISNUMBER('Change in Employment'!M827),TEXT('Change in Employment'!M827, "0"), ""), "")</f>
        <v/>
      </c>
      <c r="D820" s="8" t="str">
        <f>IF(ISNUMBER('Change in Employment'!G827),'Change in Employment'!G827,"")</f>
        <v/>
      </c>
    </row>
    <row r="821" spans="1:4">
      <c r="A821" t="str">
        <f>TEXT(IF('Change in Employment'!B828&lt;&gt;0,DATE(YEAR('Change in Employment'!B828), MONTH('Change in Employment'!B828), 1), ""), "mm/dd/yyyy")</f>
        <v/>
      </c>
      <c r="B821" t="str">
        <f>IF(ISNUMBER('Change in Employment'!L828),'Change in Employment'!L828, "")</f>
        <v/>
      </c>
      <c r="C821" t="str">
        <f>IFERROR(IF(ISNUMBER('Change in Employment'!M828),TEXT('Change in Employment'!M828, "0"), ""), "")</f>
        <v/>
      </c>
      <c r="D821" s="8" t="str">
        <f>IF(ISNUMBER('Change in Employment'!G828),'Change in Employment'!G828,"")</f>
        <v/>
      </c>
    </row>
    <row r="822" spans="1:4">
      <c r="A822" t="str">
        <f>TEXT(IF('Change in Employment'!B829&lt;&gt;0,DATE(YEAR('Change in Employment'!B829), MONTH('Change in Employment'!B829), 1), ""), "mm/dd/yyyy")</f>
        <v/>
      </c>
      <c r="B822" t="str">
        <f>IF(ISNUMBER('Change in Employment'!L829),'Change in Employment'!L829, "")</f>
        <v/>
      </c>
      <c r="C822" t="str">
        <f>IFERROR(IF(ISNUMBER('Change in Employment'!M829),TEXT('Change in Employment'!M829, "0"), ""), "")</f>
        <v/>
      </c>
      <c r="D822" s="8" t="str">
        <f>IF(ISNUMBER('Change in Employment'!G829),'Change in Employment'!G829,"")</f>
        <v/>
      </c>
    </row>
    <row r="823" spans="1:4">
      <c r="A823" t="str">
        <f>TEXT(IF('Change in Employment'!B830&lt;&gt;0,DATE(YEAR('Change in Employment'!B830), MONTH('Change in Employment'!B830), 1), ""), "mm/dd/yyyy")</f>
        <v/>
      </c>
      <c r="B823" t="str">
        <f>IF(ISNUMBER('Change in Employment'!L830),'Change in Employment'!L830, "")</f>
        <v/>
      </c>
      <c r="C823" t="str">
        <f>IFERROR(IF(ISNUMBER('Change in Employment'!M830),TEXT('Change in Employment'!M830, "0"), ""), "")</f>
        <v/>
      </c>
      <c r="D823" s="8" t="str">
        <f>IF(ISNUMBER('Change in Employment'!G830),'Change in Employment'!G830,"")</f>
        <v/>
      </c>
    </row>
    <row r="824" spans="1:4">
      <c r="A824" t="str">
        <f>TEXT(IF('Change in Employment'!B831&lt;&gt;0,DATE(YEAR('Change in Employment'!B831), MONTH('Change in Employment'!B831), 1), ""), "mm/dd/yyyy")</f>
        <v/>
      </c>
      <c r="B824" t="str">
        <f>IF(ISNUMBER('Change in Employment'!L831),'Change in Employment'!L831, "")</f>
        <v/>
      </c>
      <c r="C824" t="str">
        <f>IFERROR(IF(ISNUMBER('Change in Employment'!M831),TEXT('Change in Employment'!M831, "0"), ""), "")</f>
        <v/>
      </c>
      <c r="D824" s="8" t="str">
        <f>IF(ISNUMBER('Change in Employment'!G831),'Change in Employment'!G831,"")</f>
        <v/>
      </c>
    </row>
    <row r="825" spans="1:4">
      <c r="A825" t="str">
        <f>TEXT(IF('Change in Employment'!B832&lt;&gt;0,DATE(YEAR('Change in Employment'!B832), MONTH('Change in Employment'!B832), 1), ""), "mm/dd/yyyy")</f>
        <v/>
      </c>
      <c r="B825" t="str">
        <f>IF(ISNUMBER('Change in Employment'!L832),'Change in Employment'!L832, "")</f>
        <v/>
      </c>
      <c r="C825" t="str">
        <f>IFERROR(IF(ISNUMBER('Change in Employment'!M832),TEXT('Change in Employment'!M832, "0"), ""), "")</f>
        <v/>
      </c>
      <c r="D825" s="8" t="str">
        <f>IF(ISNUMBER('Change in Employment'!G832),'Change in Employment'!G832,"")</f>
        <v/>
      </c>
    </row>
    <row r="826" spans="1:4">
      <c r="A826" t="str">
        <f>TEXT(IF('Change in Employment'!B833&lt;&gt;0,DATE(YEAR('Change in Employment'!B833), MONTH('Change in Employment'!B833), 1), ""), "mm/dd/yyyy")</f>
        <v/>
      </c>
      <c r="B826" t="str">
        <f>IF(ISNUMBER('Change in Employment'!L833),'Change in Employment'!L833, "")</f>
        <v/>
      </c>
      <c r="C826" t="str">
        <f>IFERROR(IF(ISNUMBER('Change in Employment'!M833),TEXT('Change in Employment'!M833, "0"), ""), "")</f>
        <v/>
      </c>
      <c r="D826" s="8" t="str">
        <f>IF(ISNUMBER('Change in Employment'!G833),'Change in Employment'!G833,"")</f>
        <v/>
      </c>
    </row>
    <row r="827" spans="1:4">
      <c r="A827" t="str">
        <f>TEXT(IF('Change in Employment'!B834&lt;&gt;0,DATE(YEAR('Change in Employment'!B834), MONTH('Change in Employment'!B834), 1), ""), "mm/dd/yyyy")</f>
        <v/>
      </c>
      <c r="B827" t="str">
        <f>IF(ISNUMBER('Change in Employment'!L834),'Change in Employment'!L834, "")</f>
        <v/>
      </c>
      <c r="C827" t="str">
        <f>IFERROR(IF(ISNUMBER('Change in Employment'!M834),TEXT('Change in Employment'!M834, "0"), ""), "")</f>
        <v/>
      </c>
      <c r="D827" s="8" t="str">
        <f>IF(ISNUMBER('Change in Employment'!G834),'Change in Employment'!G834,"")</f>
        <v/>
      </c>
    </row>
    <row r="828" spans="1:4">
      <c r="A828" t="str">
        <f>TEXT(IF('Change in Employment'!B835&lt;&gt;0,DATE(YEAR('Change in Employment'!B835), MONTH('Change in Employment'!B835), 1), ""), "mm/dd/yyyy")</f>
        <v/>
      </c>
      <c r="B828" t="str">
        <f>IF(ISNUMBER('Change in Employment'!L835),'Change in Employment'!L835, "")</f>
        <v/>
      </c>
      <c r="C828" t="str">
        <f>IFERROR(IF(ISNUMBER('Change in Employment'!M835),TEXT('Change in Employment'!M835, "0"), ""), "")</f>
        <v/>
      </c>
      <c r="D828" s="8" t="str">
        <f>IF(ISNUMBER('Change in Employment'!G835),'Change in Employment'!G835,"")</f>
        <v/>
      </c>
    </row>
    <row r="829" spans="1:4">
      <c r="A829" t="str">
        <f>TEXT(IF('Change in Employment'!B836&lt;&gt;0,DATE(YEAR('Change in Employment'!B836), MONTH('Change in Employment'!B836), 1), ""), "mm/dd/yyyy")</f>
        <v/>
      </c>
      <c r="B829" t="str">
        <f>IF(ISNUMBER('Change in Employment'!L836),'Change in Employment'!L836, "")</f>
        <v/>
      </c>
      <c r="C829" t="str">
        <f>IFERROR(IF(ISNUMBER('Change in Employment'!M836),TEXT('Change in Employment'!M836, "0"), ""), "")</f>
        <v/>
      </c>
      <c r="D829" s="8" t="str">
        <f>IF(ISNUMBER('Change in Employment'!G836),'Change in Employment'!G836,"")</f>
        <v/>
      </c>
    </row>
    <row r="830" spans="1:4">
      <c r="A830" t="str">
        <f>TEXT(IF('Change in Employment'!B837&lt;&gt;0,DATE(YEAR('Change in Employment'!B837), MONTH('Change in Employment'!B837), 1), ""), "mm/dd/yyyy")</f>
        <v/>
      </c>
      <c r="B830" t="str">
        <f>IF(ISNUMBER('Change in Employment'!L837),'Change in Employment'!L837, "")</f>
        <v/>
      </c>
      <c r="C830" t="str">
        <f>IFERROR(IF(ISNUMBER('Change in Employment'!M837),TEXT('Change in Employment'!M837, "0"), ""), "")</f>
        <v/>
      </c>
      <c r="D830" s="8" t="str">
        <f>IF(ISNUMBER('Change in Employment'!G837),'Change in Employment'!G837,"")</f>
        <v/>
      </c>
    </row>
    <row r="831" spans="1:4">
      <c r="A831" t="str">
        <f>TEXT(IF('Change in Employment'!B838&lt;&gt;0,DATE(YEAR('Change in Employment'!B838), MONTH('Change in Employment'!B838), 1), ""), "mm/dd/yyyy")</f>
        <v/>
      </c>
      <c r="B831" t="str">
        <f>IF(ISNUMBER('Change in Employment'!L838),'Change in Employment'!L838, "")</f>
        <v/>
      </c>
      <c r="C831" t="str">
        <f>IFERROR(IF(ISNUMBER('Change in Employment'!M838),TEXT('Change in Employment'!M838, "0"), ""), "")</f>
        <v/>
      </c>
      <c r="D831" s="8" t="str">
        <f>IF(ISNUMBER('Change in Employment'!G838),'Change in Employment'!G838,"")</f>
        <v/>
      </c>
    </row>
    <row r="832" spans="1:4">
      <c r="A832" t="str">
        <f>TEXT(IF('Change in Employment'!B839&lt;&gt;0,DATE(YEAR('Change in Employment'!B839), MONTH('Change in Employment'!B839), 1), ""), "mm/dd/yyyy")</f>
        <v/>
      </c>
      <c r="B832" t="str">
        <f>IF(ISNUMBER('Change in Employment'!L839),'Change in Employment'!L839, "")</f>
        <v/>
      </c>
      <c r="C832" t="str">
        <f>IFERROR(IF(ISNUMBER('Change in Employment'!M839),TEXT('Change in Employment'!M839, "0"), ""), "")</f>
        <v/>
      </c>
      <c r="D832" s="8" t="str">
        <f>IF(ISNUMBER('Change in Employment'!G839),'Change in Employment'!G839,"")</f>
        <v/>
      </c>
    </row>
    <row r="833" spans="1:4">
      <c r="A833" t="str">
        <f>TEXT(IF('Change in Employment'!B840&lt;&gt;0,DATE(YEAR('Change in Employment'!B840), MONTH('Change in Employment'!B840), 1), ""), "mm/dd/yyyy")</f>
        <v/>
      </c>
      <c r="B833" t="str">
        <f>IF(ISNUMBER('Change in Employment'!L840),'Change in Employment'!L840, "")</f>
        <v/>
      </c>
      <c r="C833" t="str">
        <f>IFERROR(IF(ISNUMBER('Change in Employment'!M840),TEXT('Change in Employment'!M840, "0"), ""), "")</f>
        <v/>
      </c>
      <c r="D833" s="8" t="str">
        <f>IF(ISNUMBER('Change in Employment'!G840),'Change in Employment'!G840,"")</f>
        <v/>
      </c>
    </row>
    <row r="834" spans="1:4">
      <c r="A834" t="str">
        <f>TEXT(IF('Change in Employment'!B841&lt;&gt;0,DATE(YEAR('Change in Employment'!B841), MONTH('Change in Employment'!B841), 1), ""), "mm/dd/yyyy")</f>
        <v/>
      </c>
      <c r="B834" t="str">
        <f>IF(ISNUMBER('Change in Employment'!L841),'Change in Employment'!L841, "")</f>
        <v/>
      </c>
      <c r="C834" t="str">
        <f>IFERROR(IF(ISNUMBER('Change in Employment'!M841),TEXT('Change in Employment'!M841, "0"), ""), "")</f>
        <v/>
      </c>
      <c r="D834" s="8" t="str">
        <f>IF(ISNUMBER('Change in Employment'!G841),'Change in Employment'!G841,"")</f>
        <v/>
      </c>
    </row>
    <row r="835" spans="1:4">
      <c r="A835" t="str">
        <f>TEXT(IF('Change in Employment'!B842&lt;&gt;0,DATE(YEAR('Change in Employment'!B842), MONTH('Change in Employment'!B842), 1), ""), "mm/dd/yyyy")</f>
        <v/>
      </c>
      <c r="B835" t="str">
        <f>IF(ISNUMBER('Change in Employment'!L842),'Change in Employment'!L842, "")</f>
        <v/>
      </c>
      <c r="C835" t="str">
        <f>IFERROR(IF(ISNUMBER('Change in Employment'!M842),TEXT('Change in Employment'!M842, "0"), ""), "")</f>
        <v/>
      </c>
      <c r="D835" s="8" t="str">
        <f>IF(ISNUMBER('Change in Employment'!G842),'Change in Employment'!G842,"")</f>
        <v/>
      </c>
    </row>
    <row r="836" spans="1:4">
      <c r="A836" t="str">
        <f>TEXT(IF('Change in Employment'!B843&lt;&gt;0,DATE(YEAR('Change in Employment'!B843), MONTH('Change in Employment'!B843), 1), ""), "mm/dd/yyyy")</f>
        <v/>
      </c>
      <c r="B836" t="str">
        <f>IF(ISNUMBER('Change in Employment'!L843),'Change in Employment'!L843, "")</f>
        <v/>
      </c>
      <c r="C836" t="str">
        <f>IFERROR(IF(ISNUMBER('Change in Employment'!M843),TEXT('Change in Employment'!M843, "0"), ""), "")</f>
        <v/>
      </c>
      <c r="D836" s="8" t="str">
        <f>IF(ISNUMBER('Change in Employment'!G843),'Change in Employment'!G843,"")</f>
        <v/>
      </c>
    </row>
    <row r="837" spans="1:4">
      <c r="A837" t="str">
        <f>TEXT(IF('Change in Employment'!B844&lt;&gt;0,DATE(YEAR('Change in Employment'!B844), MONTH('Change in Employment'!B844), 1), ""), "mm/dd/yyyy")</f>
        <v/>
      </c>
      <c r="B837" t="str">
        <f>IF(ISNUMBER('Change in Employment'!L844),'Change in Employment'!L844, "")</f>
        <v/>
      </c>
      <c r="C837" t="str">
        <f>IFERROR(IF(ISNUMBER('Change in Employment'!M844),TEXT('Change in Employment'!M844, "0"), ""), "")</f>
        <v/>
      </c>
      <c r="D837" s="8" t="str">
        <f>IF(ISNUMBER('Change in Employment'!G844),'Change in Employment'!G844,"")</f>
        <v/>
      </c>
    </row>
    <row r="838" spans="1:4">
      <c r="A838" t="str">
        <f>TEXT(IF('Change in Employment'!B845&lt;&gt;0,DATE(YEAR('Change in Employment'!B845), MONTH('Change in Employment'!B845), 1), ""), "mm/dd/yyyy")</f>
        <v/>
      </c>
      <c r="B838" t="str">
        <f>IF(ISNUMBER('Change in Employment'!L845),'Change in Employment'!L845, "")</f>
        <v/>
      </c>
      <c r="C838" t="str">
        <f>IFERROR(IF(ISNUMBER('Change in Employment'!M845),TEXT('Change in Employment'!M845, "0"), ""), "")</f>
        <v/>
      </c>
      <c r="D838" s="8" t="str">
        <f>IF(ISNUMBER('Change in Employment'!G845),'Change in Employment'!G845,"")</f>
        <v/>
      </c>
    </row>
    <row r="839" spans="1:4">
      <c r="A839" t="str">
        <f>TEXT(IF('Change in Employment'!B846&lt;&gt;0,DATE(YEAR('Change in Employment'!B846), MONTH('Change in Employment'!B846), 1), ""), "mm/dd/yyyy")</f>
        <v/>
      </c>
      <c r="B839" t="str">
        <f>IF(ISNUMBER('Change in Employment'!L846),'Change in Employment'!L846, "")</f>
        <v/>
      </c>
      <c r="C839" t="str">
        <f>IFERROR(IF(ISNUMBER('Change in Employment'!M846),TEXT('Change in Employment'!M846, "0"), ""), "")</f>
        <v/>
      </c>
      <c r="D839" s="8" t="str">
        <f>IF(ISNUMBER('Change in Employment'!G846),'Change in Employment'!G846,"")</f>
        <v/>
      </c>
    </row>
    <row r="840" spans="1:4">
      <c r="A840" t="str">
        <f>TEXT(IF('Change in Employment'!B847&lt;&gt;0,DATE(YEAR('Change in Employment'!B847), MONTH('Change in Employment'!B847), 1), ""), "mm/dd/yyyy")</f>
        <v/>
      </c>
      <c r="B840" t="str">
        <f>IF(ISNUMBER('Change in Employment'!L847),'Change in Employment'!L847, "")</f>
        <v/>
      </c>
      <c r="C840" t="str">
        <f>IFERROR(IF(ISNUMBER('Change in Employment'!M847),TEXT('Change in Employment'!M847, "0"), ""), "")</f>
        <v/>
      </c>
      <c r="D840" s="8" t="str">
        <f>IF(ISNUMBER('Change in Employment'!G847),'Change in Employment'!G847,"")</f>
        <v/>
      </c>
    </row>
    <row r="841" spans="1:4">
      <c r="A841" t="str">
        <f>TEXT(IF('Change in Employment'!B848&lt;&gt;0,DATE(YEAR('Change in Employment'!B848), MONTH('Change in Employment'!B848), 1), ""), "mm/dd/yyyy")</f>
        <v/>
      </c>
      <c r="B841" t="str">
        <f>IF(ISNUMBER('Change in Employment'!L848),'Change in Employment'!L848, "")</f>
        <v/>
      </c>
      <c r="C841" t="str">
        <f>IFERROR(IF(ISNUMBER('Change in Employment'!M848),TEXT('Change in Employment'!M848, "0"), ""), "")</f>
        <v/>
      </c>
      <c r="D841" s="8" t="str">
        <f>IF(ISNUMBER('Change in Employment'!G848),'Change in Employment'!G848,"")</f>
        <v/>
      </c>
    </row>
    <row r="842" spans="1:4">
      <c r="A842" t="str">
        <f>TEXT(IF('Change in Employment'!B849&lt;&gt;0,DATE(YEAR('Change in Employment'!B849), MONTH('Change in Employment'!B849), 1), ""), "mm/dd/yyyy")</f>
        <v/>
      </c>
      <c r="B842" t="str">
        <f>IF(ISNUMBER('Change in Employment'!L849),'Change in Employment'!L849, "")</f>
        <v/>
      </c>
      <c r="C842" t="str">
        <f>IFERROR(IF(ISNUMBER('Change in Employment'!M849),TEXT('Change in Employment'!M849, "0"), ""), "")</f>
        <v/>
      </c>
      <c r="D842" s="8" t="str">
        <f>IF(ISNUMBER('Change in Employment'!G849),'Change in Employment'!G849,"")</f>
        <v/>
      </c>
    </row>
    <row r="843" spans="1:4">
      <c r="A843" t="str">
        <f>TEXT(IF('Change in Employment'!B850&lt;&gt;0,DATE(YEAR('Change in Employment'!B850), MONTH('Change in Employment'!B850), 1), ""), "mm/dd/yyyy")</f>
        <v/>
      </c>
      <c r="B843" t="str">
        <f>IF(ISNUMBER('Change in Employment'!L850),'Change in Employment'!L850, "")</f>
        <v/>
      </c>
      <c r="C843" t="str">
        <f>IFERROR(IF(ISNUMBER('Change in Employment'!M850),TEXT('Change in Employment'!M850, "0"), ""), "")</f>
        <v/>
      </c>
      <c r="D843" s="8" t="str">
        <f>IF(ISNUMBER('Change in Employment'!G850),'Change in Employment'!G850,"")</f>
        <v/>
      </c>
    </row>
    <row r="844" spans="1:4">
      <c r="A844" t="str">
        <f>TEXT(IF('Change in Employment'!B851&lt;&gt;0,DATE(YEAR('Change in Employment'!B851), MONTH('Change in Employment'!B851), 1), ""), "mm/dd/yyyy")</f>
        <v/>
      </c>
      <c r="B844" t="str">
        <f>IF(ISNUMBER('Change in Employment'!L851),'Change in Employment'!L851, "")</f>
        <v/>
      </c>
      <c r="C844" t="str">
        <f>IFERROR(IF(ISNUMBER('Change in Employment'!M851),TEXT('Change in Employment'!M851, "0"), ""), "")</f>
        <v/>
      </c>
      <c r="D844" s="8" t="str">
        <f>IF(ISNUMBER('Change in Employment'!G851),'Change in Employment'!G851,"")</f>
        <v/>
      </c>
    </row>
    <row r="845" spans="1:4">
      <c r="A845" t="str">
        <f>TEXT(IF('Change in Employment'!B852&lt;&gt;0,DATE(YEAR('Change in Employment'!B852), MONTH('Change in Employment'!B852), 1), ""), "mm/dd/yyyy")</f>
        <v/>
      </c>
      <c r="B845" t="str">
        <f>IF(ISNUMBER('Change in Employment'!L852),'Change in Employment'!L852, "")</f>
        <v/>
      </c>
      <c r="C845" t="str">
        <f>IFERROR(IF(ISNUMBER('Change in Employment'!M852),TEXT('Change in Employment'!M852, "0"), ""), "")</f>
        <v/>
      </c>
      <c r="D845" s="8" t="str">
        <f>IF(ISNUMBER('Change in Employment'!G852),'Change in Employment'!G852,"")</f>
        <v/>
      </c>
    </row>
    <row r="846" spans="1:4">
      <c r="A846" t="str">
        <f>TEXT(IF('Change in Employment'!B853&lt;&gt;0,DATE(YEAR('Change in Employment'!B853), MONTH('Change in Employment'!B853), 1), ""), "mm/dd/yyyy")</f>
        <v/>
      </c>
      <c r="B846" t="str">
        <f>IF(ISNUMBER('Change in Employment'!L853),'Change in Employment'!L853, "")</f>
        <v/>
      </c>
      <c r="C846" t="str">
        <f>IFERROR(IF(ISNUMBER('Change in Employment'!M853),TEXT('Change in Employment'!M853, "0"), ""), "")</f>
        <v/>
      </c>
      <c r="D846" s="8" t="str">
        <f>IF(ISNUMBER('Change in Employment'!G853),'Change in Employment'!G853,"")</f>
        <v/>
      </c>
    </row>
    <row r="847" spans="1:4">
      <c r="A847" t="str">
        <f>TEXT(IF('Change in Employment'!B854&lt;&gt;0,DATE(YEAR('Change in Employment'!B854), MONTH('Change in Employment'!B854), 1), ""), "mm/dd/yyyy")</f>
        <v/>
      </c>
      <c r="B847" t="str">
        <f>IF(ISNUMBER('Change in Employment'!L854),'Change in Employment'!L854, "")</f>
        <v/>
      </c>
      <c r="C847" t="str">
        <f>IFERROR(IF(ISNUMBER('Change in Employment'!M854),TEXT('Change in Employment'!M854, "0"), ""), "")</f>
        <v/>
      </c>
      <c r="D847" s="8" t="str">
        <f>IF(ISNUMBER('Change in Employment'!G854),'Change in Employment'!G854,"")</f>
        <v/>
      </c>
    </row>
    <row r="848" spans="1:4">
      <c r="A848" t="str">
        <f>TEXT(IF('Change in Employment'!B855&lt;&gt;0,DATE(YEAR('Change in Employment'!B855), MONTH('Change in Employment'!B855), 1), ""), "mm/dd/yyyy")</f>
        <v/>
      </c>
      <c r="B848" t="str">
        <f>IF(ISNUMBER('Change in Employment'!L855),'Change in Employment'!L855, "")</f>
        <v/>
      </c>
      <c r="C848" t="str">
        <f>IFERROR(IF(ISNUMBER('Change in Employment'!M855),TEXT('Change in Employment'!M855, "0"), ""), "")</f>
        <v/>
      </c>
      <c r="D848" s="8" t="str">
        <f>IF(ISNUMBER('Change in Employment'!G855),'Change in Employment'!G855,"")</f>
        <v/>
      </c>
    </row>
    <row r="849" spans="1:4">
      <c r="A849" t="str">
        <f>TEXT(IF('Change in Employment'!B856&lt;&gt;0,DATE(YEAR('Change in Employment'!B856), MONTH('Change in Employment'!B856), 1), ""), "mm/dd/yyyy")</f>
        <v/>
      </c>
      <c r="B849" t="str">
        <f>IF(ISNUMBER('Change in Employment'!L856),'Change in Employment'!L856, "")</f>
        <v/>
      </c>
      <c r="C849" t="str">
        <f>IFERROR(IF(ISNUMBER('Change in Employment'!M856),TEXT('Change in Employment'!M856, "0"), ""), "")</f>
        <v/>
      </c>
      <c r="D849" s="8" t="str">
        <f>IF(ISNUMBER('Change in Employment'!G856),'Change in Employment'!G856,"")</f>
        <v/>
      </c>
    </row>
    <row r="850" spans="1:4">
      <c r="A850" t="str">
        <f>TEXT(IF('Change in Employment'!B857&lt;&gt;0,DATE(YEAR('Change in Employment'!B857), MONTH('Change in Employment'!B857), 1), ""), "mm/dd/yyyy")</f>
        <v/>
      </c>
      <c r="B850" t="str">
        <f>IF(ISNUMBER('Change in Employment'!L857),'Change in Employment'!L857, "")</f>
        <v/>
      </c>
      <c r="C850" t="str">
        <f>IFERROR(IF(ISNUMBER('Change in Employment'!M857),TEXT('Change in Employment'!M857, "0"), ""), "")</f>
        <v/>
      </c>
      <c r="D850" s="8" t="str">
        <f>IF(ISNUMBER('Change in Employment'!G857),'Change in Employment'!G857,"")</f>
        <v/>
      </c>
    </row>
    <row r="851" spans="1:4">
      <c r="A851" t="str">
        <f>TEXT(IF('Change in Employment'!B858&lt;&gt;0,DATE(YEAR('Change in Employment'!B858), MONTH('Change in Employment'!B858), 1), ""), "mm/dd/yyyy")</f>
        <v/>
      </c>
      <c r="B851" t="str">
        <f>IF(ISNUMBER('Change in Employment'!L858),'Change in Employment'!L858, "")</f>
        <v/>
      </c>
      <c r="C851" t="str">
        <f>IFERROR(IF(ISNUMBER('Change in Employment'!M858),TEXT('Change in Employment'!M858, "0"), ""), "")</f>
        <v/>
      </c>
      <c r="D851" s="8" t="str">
        <f>IF(ISNUMBER('Change in Employment'!G858),'Change in Employment'!G858,"")</f>
        <v/>
      </c>
    </row>
    <row r="852" spans="1:4">
      <c r="A852" t="str">
        <f>TEXT(IF('Change in Employment'!B859&lt;&gt;0,DATE(YEAR('Change in Employment'!B859), MONTH('Change in Employment'!B859), 1), ""), "mm/dd/yyyy")</f>
        <v/>
      </c>
      <c r="B852" t="str">
        <f>IF(ISNUMBER('Change in Employment'!L859),'Change in Employment'!L859, "")</f>
        <v/>
      </c>
      <c r="C852" t="str">
        <f>IFERROR(IF(ISNUMBER('Change in Employment'!M859),TEXT('Change in Employment'!M859, "0"), ""), "")</f>
        <v/>
      </c>
      <c r="D852" s="8" t="str">
        <f>IF(ISNUMBER('Change in Employment'!G859),'Change in Employment'!G859,"")</f>
        <v/>
      </c>
    </row>
    <row r="853" spans="1:4">
      <c r="A853" t="str">
        <f>TEXT(IF('Change in Employment'!B860&lt;&gt;0,DATE(YEAR('Change in Employment'!B860), MONTH('Change in Employment'!B860), 1), ""), "mm/dd/yyyy")</f>
        <v/>
      </c>
      <c r="B853" t="str">
        <f>IF(ISNUMBER('Change in Employment'!L860),'Change in Employment'!L860, "")</f>
        <v/>
      </c>
      <c r="C853" t="str">
        <f>IFERROR(IF(ISNUMBER('Change in Employment'!M860),TEXT('Change in Employment'!M860, "0"), ""), "")</f>
        <v/>
      </c>
      <c r="D853" s="8" t="str">
        <f>IF(ISNUMBER('Change in Employment'!G860),'Change in Employment'!G860,"")</f>
        <v/>
      </c>
    </row>
    <row r="854" spans="1:4">
      <c r="A854" t="str">
        <f>TEXT(IF('Change in Employment'!B861&lt;&gt;0,DATE(YEAR('Change in Employment'!B861), MONTH('Change in Employment'!B861), 1), ""), "mm/dd/yyyy")</f>
        <v/>
      </c>
      <c r="B854" t="str">
        <f>IF(ISNUMBER('Change in Employment'!L861),'Change in Employment'!L861, "")</f>
        <v/>
      </c>
      <c r="C854" t="str">
        <f>IFERROR(IF(ISNUMBER('Change in Employment'!M861),TEXT('Change in Employment'!M861, "0"), ""), "")</f>
        <v/>
      </c>
      <c r="D854" s="8" t="str">
        <f>IF(ISNUMBER('Change in Employment'!G861),'Change in Employment'!G861,"")</f>
        <v/>
      </c>
    </row>
    <row r="855" spans="1:4">
      <c r="A855" t="str">
        <f>TEXT(IF('Change in Employment'!B862&lt;&gt;0,DATE(YEAR('Change in Employment'!B862), MONTH('Change in Employment'!B862), 1), ""), "mm/dd/yyyy")</f>
        <v/>
      </c>
      <c r="B855" t="str">
        <f>IF(ISNUMBER('Change in Employment'!L862),'Change in Employment'!L862, "")</f>
        <v/>
      </c>
      <c r="C855" t="str">
        <f>IFERROR(IF(ISNUMBER('Change in Employment'!M862),TEXT('Change in Employment'!M862, "0"), ""), "")</f>
        <v/>
      </c>
      <c r="D855" s="8" t="str">
        <f>IF(ISNUMBER('Change in Employment'!G862),'Change in Employment'!G862,"")</f>
        <v/>
      </c>
    </row>
    <row r="856" spans="1:4">
      <c r="A856" t="str">
        <f>TEXT(IF('Change in Employment'!B863&lt;&gt;0,DATE(YEAR('Change in Employment'!B863), MONTH('Change in Employment'!B863), 1), ""), "mm/dd/yyyy")</f>
        <v/>
      </c>
      <c r="B856" t="str">
        <f>IF(ISNUMBER('Change in Employment'!L863),'Change in Employment'!L863, "")</f>
        <v/>
      </c>
      <c r="C856" t="str">
        <f>IFERROR(IF(ISNUMBER('Change in Employment'!M863),TEXT('Change in Employment'!M863, "0"), ""), "")</f>
        <v/>
      </c>
      <c r="D856" s="8" t="str">
        <f>IF(ISNUMBER('Change in Employment'!G863),'Change in Employment'!G863,"")</f>
        <v/>
      </c>
    </row>
    <row r="857" spans="1:4">
      <c r="A857" t="str">
        <f>TEXT(IF('Change in Employment'!B864&lt;&gt;0,DATE(YEAR('Change in Employment'!B864), MONTH('Change in Employment'!B864), 1), ""), "mm/dd/yyyy")</f>
        <v/>
      </c>
      <c r="B857" t="str">
        <f>IF(ISNUMBER('Change in Employment'!L864),'Change in Employment'!L864, "")</f>
        <v/>
      </c>
      <c r="C857" t="str">
        <f>IFERROR(IF(ISNUMBER('Change in Employment'!M864),TEXT('Change in Employment'!M864, "0"), ""), "")</f>
        <v/>
      </c>
      <c r="D857" s="8" t="str">
        <f>IF(ISNUMBER('Change in Employment'!G864),'Change in Employment'!G864,"")</f>
        <v/>
      </c>
    </row>
    <row r="858" spans="1:4">
      <c r="A858" t="str">
        <f>TEXT(IF('Change in Employment'!B865&lt;&gt;0,DATE(YEAR('Change in Employment'!B865), MONTH('Change in Employment'!B865), 1), ""), "mm/dd/yyyy")</f>
        <v/>
      </c>
      <c r="B858" t="str">
        <f>IF(ISNUMBER('Change in Employment'!L865),'Change in Employment'!L865, "")</f>
        <v/>
      </c>
      <c r="C858" t="str">
        <f>IFERROR(IF(ISNUMBER('Change in Employment'!M865),TEXT('Change in Employment'!M865, "0"), ""), "")</f>
        <v/>
      </c>
      <c r="D858" s="8" t="str">
        <f>IF(ISNUMBER('Change in Employment'!G865),'Change in Employment'!G865,"")</f>
        <v/>
      </c>
    </row>
    <row r="859" spans="1:4">
      <c r="A859" t="str">
        <f>TEXT(IF('Change in Employment'!B866&lt;&gt;0,DATE(YEAR('Change in Employment'!B866), MONTH('Change in Employment'!B866), 1), ""), "mm/dd/yyyy")</f>
        <v/>
      </c>
      <c r="B859" t="str">
        <f>IF(ISNUMBER('Change in Employment'!L866),'Change in Employment'!L866, "")</f>
        <v/>
      </c>
      <c r="C859" t="str">
        <f>IFERROR(IF(ISNUMBER('Change in Employment'!M866),TEXT('Change in Employment'!M866, "0"), ""), "")</f>
        <v/>
      </c>
      <c r="D859" s="8" t="str">
        <f>IF(ISNUMBER('Change in Employment'!G866),'Change in Employment'!G866,"")</f>
        <v/>
      </c>
    </row>
    <row r="860" spans="1:4">
      <c r="A860" t="str">
        <f>TEXT(IF('Change in Employment'!B867&lt;&gt;0,DATE(YEAR('Change in Employment'!B867), MONTH('Change in Employment'!B867), 1), ""), "mm/dd/yyyy")</f>
        <v/>
      </c>
      <c r="B860" t="str">
        <f>IF(ISNUMBER('Change in Employment'!L867),'Change in Employment'!L867, "")</f>
        <v/>
      </c>
      <c r="C860" t="str">
        <f>IFERROR(IF(ISNUMBER('Change in Employment'!M867),TEXT('Change in Employment'!M867, "0"), ""), "")</f>
        <v/>
      </c>
      <c r="D860" s="8" t="str">
        <f>IF(ISNUMBER('Change in Employment'!G867),'Change in Employment'!G867,"")</f>
        <v/>
      </c>
    </row>
    <row r="861" spans="1:4">
      <c r="A861" t="str">
        <f>TEXT(IF('Change in Employment'!B868&lt;&gt;0,DATE(YEAR('Change in Employment'!B868), MONTH('Change in Employment'!B868), 1), ""), "mm/dd/yyyy")</f>
        <v/>
      </c>
      <c r="B861" t="str">
        <f>IF(ISNUMBER('Change in Employment'!L868),'Change in Employment'!L868, "")</f>
        <v/>
      </c>
      <c r="C861" t="str">
        <f>IFERROR(IF(ISNUMBER('Change in Employment'!M868),TEXT('Change in Employment'!M868, "0"), ""), "")</f>
        <v/>
      </c>
      <c r="D861" s="8" t="str">
        <f>IF(ISNUMBER('Change in Employment'!G868),'Change in Employment'!G868,"")</f>
        <v/>
      </c>
    </row>
    <row r="862" spans="1:4">
      <c r="A862" t="str">
        <f>TEXT(IF('Change in Employment'!B869&lt;&gt;0,DATE(YEAR('Change in Employment'!B869), MONTH('Change in Employment'!B869), 1), ""), "mm/dd/yyyy")</f>
        <v/>
      </c>
      <c r="B862" t="str">
        <f>IF(ISNUMBER('Change in Employment'!L869),'Change in Employment'!L869, "")</f>
        <v/>
      </c>
      <c r="C862" t="str">
        <f>IFERROR(IF(ISNUMBER('Change in Employment'!M869),TEXT('Change in Employment'!M869, "0"), ""), "")</f>
        <v/>
      </c>
      <c r="D862" s="8" t="str">
        <f>IF(ISNUMBER('Change in Employment'!G869),'Change in Employment'!G869,"")</f>
        <v/>
      </c>
    </row>
    <row r="863" spans="1:4">
      <c r="A863" t="str">
        <f>TEXT(IF('Change in Employment'!B870&lt;&gt;0,DATE(YEAR('Change in Employment'!B870), MONTH('Change in Employment'!B870), 1), ""), "mm/dd/yyyy")</f>
        <v/>
      </c>
      <c r="B863" t="str">
        <f>IF(ISNUMBER('Change in Employment'!L870),'Change in Employment'!L870, "")</f>
        <v/>
      </c>
      <c r="C863" t="str">
        <f>IFERROR(IF(ISNUMBER('Change in Employment'!M870),TEXT('Change in Employment'!M870, "0"), ""), "")</f>
        <v/>
      </c>
      <c r="D863" s="8" t="str">
        <f>IF(ISNUMBER('Change in Employment'!G870),'Change in Employment'!G870,"")</f>
        <v/>
      </c>
    </row>
    <row r="864" spans="1:4">
      <c r="A864" t="str">
        <f>TEXT(IF('Change in Employment'!B871&lt;&gt;0,DATE(YEAR('Change in Employment'!B871), MONTH('Change in Employment'!B871), 1), ""), "mm/dd/yyyy")</f>
        <v/>
      </c>
      <c r="B864" t="str">
        <f>IF(ISNUMBER('Change in Employment'!L871),'Change in Employment'!L871, "")</f>
        <v/>
      </c>
      <c r="C864" t="str">
        <f>IFERROR(IF(ISNUMBER('Change in Employment'!M871),TEXT('Change in Employment'!M871, "0"), ""), "")</f>
        <v/>
      </c>
      <c r="D864" s="8" t="str">
        <f>IF(ISNUMBER('Change in Employment'!G871),'Change in Employment'!G871,"")</f>
        <v/>
      </c>
    </row>
    <row r="865" spans="1:4">
      <c r="A865" t="str">
        <f>TEXT(IF('Change in Employment'!B872&lt;&gt;0,DATE(YEAR('Change in Employment'!B872), MONTH('Change in Employment'!B872), 1), ""), "mm/dd/yyyy")</f>
        <v/>
      </c>
      <c r="B865" t="str">
        <f>IF(ISNUMBER('Change in Employment'!L872),'Change in Employment'!L872, "")</f>
        <v/>
      </c>
      <c r="C865" t="str">
        <f>IFERROR(IF(ISNUMBER('Change in Employment'!M872),TEXT('Change in Employment'!M872, "0"), ""), "")</f>
        <v/>
      </c>
      <c r="D865" s="8" t="str">
        <f>IF(ISNUMBER('Change in Employment'!G872),'Change in Employment'!G872,"")</f>
        <v/>
      </c>
    </row>
    <row r="866" spans="1:4">
      <c r="A866" t="str">
        <f>TEXT(IF('Change in Employment'!B873&lt;&gt;0,DATE(YEAR('Change in Employment'!B873), MONTH('Change in Employment'!B873), 1), ""), "mm/dd/yyyy")</f>
        <v/>
      </c>
      <c r="B866" t="str">
        <f>IF(ISNUMBER('Change in Employment'!L873),'Change in Employment'!L873, "")</f>
        <v/>
      </c>
      <c r="C866" t="str">
        <f>IFERROR(IF(ISNUMBER('Change in Employment'!M873),TEXT('Change in Employment'!M873, "0"), ""), "")</f>
        <v/>
      </c>
      <c r="D866" s="8" t="str">
        <f>IF(ISNUMBER('Change in Employment'!G873),'Change in Employment'!G873,"")</f>
        <v/>
      </c>
    </row>
    <row r="867" spans="1:4">
      <c r="A867" t="str">
        <f>TEXT(IF('Change in Employment'!B874&lt;&gt;0,DATE(YEAR('Change in Employment'!B874), MONTH('Change in Employment'!B874), 1), ""), "mm/dd/yyyy")</f>
        <v/>
      </c>
      <c r="B867" t="str">
        <f>IF(ISNUMBER('Change in Employment'!L874),'Change in Employment'!L874, "")</f>
        <v/>
      </c>
      <c r="C867" t="str">
        <f>IFERROR(IF(ISNUMBER('Change in Employment'!M874),TEXT('Change in Employment'!M874, "0"), ""), "")</f>
        <v/>
      </c>
      <c r="D867" s="8" t="str">
        <f>IF(ISNUMBER('Change in Employment'!G874),'Change in Employment'!G874,"")</f>
        <v/>
      </c>
    </row>
    <row r="868" spans="1:4">
      <c r="A868" t="str">
        <f>TEXT(IF('Change in Employment'!B875&lt;&gt;0,DATE(YEAR('Change in Employment'!B875), MONTH('Change in Employment'!B875), 1), ""), "mm/dd/yyyy")</f>
        <v/>
      </c>
      <c r="B868" t="str">
        <f>IF(ISNUMBER('Change in Employment'!L875),'Change in Employment'!L875, "")</f>
        <v/>
      </c>
      <c r="C868" t="str">
        <f>IFERROR(IF(ISNUMBER('Change in Employment'!M875),TEXT('Change in Employment'!M875, "0"), ""), "")</f>
        <v/>
      </c>
      <c r="D868" s="8" t="str">
        <f>IF(ISNUMBER('Change in Employment'!G875),'Change in Employment'!G875,"")</f>
        <v/>
      </c>
    </row>
    <row r="869" spans="1:4">
      <c r="A869" t="str">
        <f>TEXT(IF('Change in Employment'!B876&lt;&gt;0,DATE(YEAR('Change in Employment'!B876), MONTH('Change in Employment'!B876), 1), ""), "mm/dd/yyyy")</f>
        <v/>
      </c>
      <c r="B869" t="str">
        <f>IF(ISNUMBER('Change in Employment'!L876),'Change in Employment'!L876, "")</f>
        <v/>
      </c>
      <c r="C869" t="str">
        <f>IFERROR(IF(ISNUMBER('Change in Employment'!M876),TEXT('Change in Employment'!M876, "0"), ""), "")</f>
        <v/>
      </c>
      <c r="D869" s="8" t="str">
        <f>IF(ISNUMBER('Change in Employment'!G876),'Change in Employment'!G876,"")</f>
        <v/>
      </c>
    </row>
    <row r="870" spans="1:4">
      <c r="A870" t="str">
        <f>TEXT(IF('Change in Employment'!B877&lt;&gt;0,DATE(YEAR('Change in Employment'!B877), MONTH('Change in Employment'!B877), 1), ""), "mm/dd/yyyy")</f>
        <v/>
      </c>
      <c r="B870" t="str">
        <f>IF(ISNUMBER('Change in Employment'!L877),'Change in Employment'!L877, "")</f>
        <v/>
      </c>
      <c r="C870" t="str">
        <f>IFERROR(IF(ISNUMBER('Change in Employment'!M877),TEXT('Change in Employment'!M877, "0"), ""), "")</f>
        <v/>
      </c>
      <c r="D870" s="8" t="str">
        <f>IF(ISNUMBER('Change in Employment'!G877),'Change in Employment'!G877,"")</f>
        <v/>
      </c>
    </row>
    <row r="871" spans="1:4">
      <c r="A871" t="str">
        <f>TEXT(IF('Change in Employment'!B878&lt;&gt;0,DATE(YEAR('Change in Employment'!B878), MONTH('Change in Employment'!B878), 1), ""), "mm/dd/yyyy")</f>
        <v/>
      </c>
      <c r="B871" t="str">
        <f>IF(ISNUMBER('Change in Employment'!L878),'Change in Employment'!L878, "")</f>
        <v/>
      </c>
      <c r="C871" t="str">
        <f>IFERROR(IF(ISNUMBER('Change in Employment'!M878),TEXT('Change in Employment'!M878, "0"), ""), "")</f>
        <v/>
      </c>
      <c r="D871" s="8" t="str">
        <f>IF(ISNUMBER('Change in Employment'!G878),'Change in Employment'!G878,"")</f>
        <v/>
      </c>
    </row>
    <row r="872" spans="1:4">
      <c r="A872" t="str">
        <f>TEXT(IF('Change in Employment'!B879&lt;&gt;0,DATE(YEAR('Change in Employment'!B879), MONTH('Change in Employment'!B879), 1), ""), "mm/dd/yyyy")</f>
        <v/>
      </c>
      <c r="B872" t="str">
        <f>IF(ISNUMBER('Change in Employment'!L879),'Change in Employment'!L879, "")</f>
        <v/>
      </c>
      <c r="C872" t="str">
        <f>IFERROR(IF(ISNUMBER('Change in Employment'!M879),TEXT('Change in Employment'!M879, "0"), ""), "")</f>
        <v/>
      </c>
      <c r="D872" s="8" t="str">
        <f>IF(ISNUMBER('Change in Employment'!G879),'Change in Employment'!G879,"")</f>
        <v/>
      </c>
    </row>
    <row r="873" spans="1:4">
      <c r="A873" t="str">
        <f>TEXT(IF('Change in Employment'!B880&lt;&gt;0,DATE(YEAR('Change in Employment'!B880), MONTH('Change in Employment'!B880), 1), ""), "mm/dd/yyyy")</f>
        <v/>
      </c>
      <c r="B873" t="str">
        <f>IF(ISNUMBER('Change in Employment'!L880),'Change in Employment'!L880, "")</f>
        <v/>
      </c>
      <c r="C873" t="str">
        <f>IFERROR(IF(ISNUMBER('Change in Employment'!M880),TEXT('Change in Employment'!M880, "0"), ""), "")</f>
        <v/>
      </c>
      <c r="D873" s="8" t="str">
        <f>IF(ISNUMBER('Change in Employment'!G880),'Change in Employment'!G880,"")</f>
        <v/>
      </c>
    </row>
    <row r="874" spans="1:4">
      <c r="A874" t="str">
        <f>TEXT(IF('Change in Employment'!B881&lt;&gt;0,DATE(YEAR('Change in Employment'!B881), MONTH('Change in Employment'!B881), 1), ""), "mm/dd/yyyy")</f>
        <v/>
      </c>
      <c r="B874" t="str">
        <f>IF(ISNUMBER('Change in Employment'!L881),'Change in Employment'!L881, "")</f>
        <v/>
      </c>
      <c r="C874" t="str">
        <f>IFERROR(IF(ISNUMBER('Change in Employment'!M881),TEXT('Change in Employment'!M881, "0"), ""), "")</f>
        <v/>
      </c>
      <c r="D874" s="8" t="str">
        <f>IF(ISNUMBER('Change in Employment'!G881),'Change in Employment'!G881,"")</f>
        <v/>
      </c>
    </row>
    <row r="875" spans="1:4">
      <c r="A875" t="str">
        <f>TEXT(IF('Change in Employment'!B882&lt;&gt;0,DATE(YEAR('Change in Employment'!B882), MONTH('Change in Employment'!B882), 1), ""), "mm/dd/yyyy")</f>
        <v/>
      </c>
      <c r="B875" t="str">
        <f>IF(ISNUMBER('Change in Employment'!L882),'Change in Employment'!L882, "")</f>
        <v/>
      </c>
      <c r="C875" t="str">
        <f>IFERROR(IF(ISNUMBER('Change in Employment'!M882),TEXT('Change in Employment'!M882, "0"), ""), "")</f>
        <v/>
      </c>
      <c r="D875" s="8" t="str">
        <f>IF(ISNUMBER('Change in Employment'!G882),'Change in Employment'!G882,"")</f>
        <v/>
      </c>
    </row>
    <row r="876" spans="1:4">
      <c r="A876" t="str">
        <f>TEXT(IF('Change in Employment'!B883&lt;&gt;0,DATE(YEAR('Change in Employment'!B883), MONTH('Change in Employment'!B883), 1), ""), "mm/dd/yyyy")</f>
        <v/>
      </c>
      <c r="B876" t="str">
        <f>IF(ISNUMBER('Change in Employment'!L883),'Change in Employment'!L883, "")</f>
        <v/>
      </c>
      <c r="C876" t="str">
        <f>IFERROR(IF(ISNUMBER('Change in Employment'!M883),TEXT('Change in Employment'!M883, "0"), ""), "")</f>
        <v/>
      </c>
      <c r="D876" s="8" t="str">
        <f>IF(ISNUMBER('Change in Employment'!G883),'Change in Employment'!G883,"")</f>
        <v/>
      </c>
    </row>
    <row r="877" spans="1:4">
      <c r="A877" t="str">
        <f>TEXT(IF('Change in Employment'!B884&lt;&gt;0,DATE(YEAR('Change in Employment'!B884), MONTH('Change in Employment'!B884), 1), ""), "mm/dd/yyyy")</f>
        <v/>
      </c>
      <c r="B877" t="str">
        <f>IF(ISNUMBER('Change in Employment'!L884),'Change in Employment'!L884, "")</f>
        <v/>
      </c>
      <c r="C877" t="str">
        <f>IFERROR(IF(ISNUMBER('Change in Employment'!M884),TEXT('Change in Employment'!M884, "0"), ""), "")</f>
        <v/>
      </c>
      <c r="D877" s="8" t="str">
        <f>IF(ISNUMBER('Change in Employment'!G884),'Change in Employment'!G884,"")</f>
        <v/>
      </c>
    </row>
    <row r="878" spans="1:4">
      <c r="A878" t="str">
        <f>TEXT(IF('Change in Employment'!B885&lt;&gt;0,DATE(YEAR('Change in Employment'!B885), MONTH('Change in Employment'!B885), 1), ""), "mm/dd/yyyy")</f>
        <v/>
      </c>
      <c r="B878" t="str">
        <f>IF(ISNUMBER('Change in Employment'!L885),'Change in Employment'!L885, "")</f>
        <v/>
      </c>
      <c r="C878" t="str">
        <f>IFERROR(IF(ISNUMBER('Change in Employment'!M885),TEXT('Change in Employment'!M885, "0"), ""), "")</f>
        <v/>
      </c>
      <c r="D878" s="8" t="str">
        <f>IF(ISNUMBER('Change in Employment'!G885),'Change in Employment'!G885,"")</f>
        <v/>
      </c>
    </row>
    <row r="879" spans="1:4">
      <c r="A879" t="str">
        <f>TEXT(IF('Change in Employment'!B886&lt;&gt;0,DATE(YEAR('Change in Employment'!B886), MONTH('Change in Employment'!B886), 1), ""), "mm/dd/yyyy")</f>
        <v/>
      </c>
      <c r="B879" t="str">
        <f>IF(ISNUMBER('Change in Employment'!L886),'Change in Employment'!L886, "")</f>
        <v/>
      </c>
      <c r="C879" t="str">
        <f>IFERROR(IF(ISNUMBER('Change in Employment'!M886),TEXT('Change in Employment'!M886, "0"), ""), "")</f>
        <v/>
      </c>
      <c r="D879" s="8" t="str">
        <f>IF(ISNUMBER('Change in Employment'!G886),'Change in Employment'!G886,"")</f>
        <v/>
      </c>
    </row>
    <row r="880" spans="1:4">
      <c r="A880" t="str">
        <f>TEXT(IF('Change in Employment'!B887&lt;&gt;0,DATE(YEAR('Change in Employment'!B887), MONTH('Change in Employment'!B887), 1), ""), "mm/dd/yyyy")</f>
        <v/>
      </c>
      <c r="B880" t="str">
        <f>IF(ISNUMBER('Change in Employment'!L887),'Change in Employment'!L887, "")</f>
        <v/>
      </c>
      <c r="C880" t="str">
        <f>IFERROR(IF(ISNUMBER('Change in Employment'!M887),TEXT('Change in Employment'!M887, "0"), ""), "")</f>
        <v/>
      </c>
      <c r="D880" s="8" t="str">
        <f>IF(ISNUMBER('Change in Employment'!G887),'Change in Employment'!G887,"")</f>
        <v/>
      </c>
    </row>
    <row r="881" spans="1:4">
      <c r="A881" t="str">
        <f>TEXT(IF('Change in Employment'!B888&lt;&gt;0,DATE(YEAR('Change in Employment'!B888), MONTH('Change in Employment'!B888), 1), ""), "mm/dd/yyyy")</f>
        <v/>
      </c>
      <c r="B881" t="str">
        <f>IF(ISNUMBER('Change in Employment'!L888),'Change in Employment'!L888, "")</f>
        <v/>
      </c>
      <c r="C881" t="str">
        <f>IFERROR(IF(ISNUMBER('Change in Employment'!M888),TEXT('Change in Employment'!M888, "0"), ""), "")</f>
        <v/>
      </c>
      <c r="D881" s="8" t="str">
        <f>IF(ISNUMBER('Change in Employment'!G888),'Change in Employment'!G888,"")</f>
        <v/>
      </c>
    </row>
    <row r="882" spans="1:4">
      <c r="A882" t="str">
        <f>TEXT(IF('Change in Employment'!B889&lt;&gt;0,DATE(YEAR('Change in Employment'!B889), MONTH('Change in Employment'!B889), 1), ""), "mm/dd/yyyy")</f>
        <v/>
      </c>
      <c r="B882" t="str">
        <f>IF(ISNUMBER('Change in Employment'!L889),'Change in Employment'!L889, "")</f>
        <v/>
      </c>
      <c r="C882" t="str">
        <f>IFERROR(IF(ISNUMBER('Change in Employment'!M889),TEXT('Change in Employment'!M889, "0"), ""), "")</f>
        <v/>
      </c>
      <c r="D882" s="8" t="str">
        <f>IF(ISNUMBER('Change in Employment'!G889),'Change in Employment'!G889,"")</f>
        <v/>
      </c>
    </row>
    <row r="883" spans="1:4">
      <c r="A883" t="str">
        <f>TEXT(IF('Change in Employment'!B890&lt;&gt;0,DATE(YEAR('Change in Employment'!B890), MONTH('Change in Employment'!B890), 1), ""), "mm/dd/yyyy")</f>
        <v/>
      </c>
      <c r="B883" t="str">
        <f>IF(ISNUMBER('Change in Employment'!L890),'Change in Employment'!L890, "")</f>
        <v/>
      </c>
      <c r="C883" t="str">
        <f>IFERROR(IF(ISNUMBER('Change in Employment'!M890),TEXT('Change in Employment'!M890, "0"), ""), "")</f>
        <v/>
      </c>
      <c r="D883" s="8" t="str">
        <f>IF(ISNUMBER('Change in Employment'!G890),'Change in Employment'!G890,"")</f>
        <v/>
      </c>
    </row>
    <row r="884" spans="1:4">
      <c r="A884" t="str">
        <f>TEXT(IF('Change in Employment'!B891&lt;&gt;0,DATE(YEAR('Change in Employment'!B891), MONTH('Change in Employment'!B891), 1), ""), "mm/dd/yyyy")</f>
        <v/>
      </c>
      <c r="B884" t="str">
        <f>IF(ISNUMBER('Change in Employment'!L891),'Change in Employment'!L891, "")</f>
        <v/>
      </c>
      <c r="C884" t="str">
        <f>IFERROR(IF(ISNUMBER('Change in Employment'!M891),TEXT('Change in Employment'!M891, "0"), ""), "")</f>
        <v/>
      </c>
      <c r="D884" s="8" t="str">
        <f>IF(ISNUMBER('Change in Employment'!G891),'Change in Employment'!G891,"")</f>
        <v/>
      </c>
    </row>
    <row r="885" spans="1:4">
      <c r="A885" t="str">
        <f>TEXT(IF('Change in Employment'!B892&lt;&gt;0,DATE(YEAR('Change in Employment'!B892), MONTH('Change in Employment'!B892), 1), ""), "mm/dd/yyyy")</f>
        <v/>
      </c>
      <c r="B885" t="str">
        <f>IF(ISNUMBER('Change in Employment'!L892),'Change in Employment'!L892, "")</f>
        <v/>
      </c>
      <c r="C885" t="str">
        <f>IFERROR(IF(ISNUMBER('Change in Employment'!M892),TEXT('Change in Employment'!M892, "0"), ""), "")</f>
        <v/>
      </c>
      <c r="D885" s="8" t="str">
        <f>IF(ISNUMBER('Change in Employment'!G892),'Change in Employment'!G892,"")</f>
        <v/>
      </c>
    </row>
    <row r="886" spans="1:4">
      <c r="A886" t="str">
        <f>TEXT(IF('Change in Employment'!B893&lt;&gt;0,DATE(YEAR('Change in Employment'!B893), MONTH('Change in Employment'!B893), 1), ""), "mm/dd/yyyy")</f>
        <v/>
      </c>
      <c r="B886" t="str">
        <f>IF(ISNUMBER('Change in Employment'!L893),'Change in Employment'!L893, "")</f>
        <v/>
      </c>
      <c r="C886" t="str">
        <f>IFERROR(IF(ISNUMBER('Change in Employment'!M893),TEXT('Change in Employment'!M893, "0"), ""), "")</f>
        <v/>
      </c>
      <c r="D886" s="8" t="str">
        <f>IF(ISNUMBER('Change in Employment'!G893),'Change in Employment'!G893,"")</f>
        <v/>
      </c>
    </row>
    <row r="887" spans="1:4">
      <c r="A887" t="str">
        <f>TEXT(IF('Change in Employment'!B894&lt;&gt;0,DATE(YEAR('Change in Employment'!B894), MONTH('Change in Employment'!B894), 1), ""), "mm/dd/yyyy")</f>
        <v/>
      </c>
      <c r="B887" t="str">
        <f>IF(ISNUMBER('Change in Employment'!L894),'Change in Employment'!L894, "")</f>
        <v/>
      </c>
      <c r="C887" t="str">
        <f>IFERROR(IF(ISNUMBER('Change in Employment'!M894),TEXT('Change in Employment'!M894, "0"), ""), "")</f>
        <v/>
      </c>
      <c r="D887" s="8" t="str">
        <f>IF(ISNUMBER('Change in Employment'!G894),'Change in Employment'!G894,"")</f>
        <v/>
      </c>
    </row>
    <row r="888" spans="1:4">
      <c r="A888" t="str">
        <f>TEXT(IF('Change in Employment'!B895&lt;&gt;0,DATE(YEAR('Change in Employment'!B895), MONTH('Change in Employment'!B895), 1), ""), "mm/dd/yyyy")</f>
        <v/>
      </c>
      <c r="B888" t="str">
        <f>IF(ISNUMBER('Change in Employment'!L895),'Change in Employment'!L895, "")</f>
        <v/>
      </c>
      <c r="C888" t="str">
        <f>IFERROR(IF(ISNUMBER('Change in Employment'!M895),TEXT('Change in Employment'!M895, "0"), ""), "")</f>
        <v/>
      </c>
      <c r="D888" s="8" t="str">
        <f>IF(ISNUMBER('Change in Employment'!G895),'Change in Employment'!G895,"")</f>
        <v/>
      </c>
    </row>
    <row r="889" spans="1:4">
      <c r="A889" t="str">
        <f>TEXT(IF('Change in Employment'!B896&lt;&gt;0,DATE(YEAR('Change in Employment'!B896), MONTH('Change in Employment'!B896), 1), ""), "mm/dd/yyyy")</f>
        <v/>
      </c>
      <c r="B889" t="str">
        <f>IF(ISNUMBER('Change in Employment'!L896),'Change in Employment'!L896, "")</f>
        <v/>
      </c>
      <c r="C889" t="str">
        <f>IFERROR(IF(ISNUMBER('Change in Employment'!M896),TEXT('Change in Employment'!M896, "0"), ""), "")</f>
        <v/>
      </c>
      <c r="D889" s="8" t="str">
        <f>IF(ISNUMBER('Change in Employment'!G896),'Change in Employment'!G896,"")</f>
        <v/>
      </c>
    </row>
    <row r="890" spans="1:4">
      <c r="A890" t="str">
        <f>TEXT(IF('Change in Employment'!B897&lt;&gt;0,DATE(YEAR('Change in Employment'!B897), MONTH('Change in Employment'!B897), 1), ""), "mm/dd/yyyy")</f>
        <v/>
      </c>
      <c r="B890" t="str">
        <f>IF(ISNUMBER('Change in Employment'!L897),'Change in Employment'!L897, "")</f>
        <v/>
      </c>
      <c r="C890" t="str">
        <f>IFERROR(IF(ISNUMBER('Change in Employment'!M897),TEXT('Change in Employment'!M897, "0"), ""), "")</f>
        <v/>
      </c>
      <c r="D890" s="8" t="str">
        <f>IF(ISNUMBER('Change in Employment'!G897),'Change in Employment'!G897,"")</f>
        <v/>
      </c>
    </row>
    <row r="891" spans="1:4">
      <c r="A891" t="str">
        <f>TEXT(IF('Change in Employment'!B898&lt;&gt;0,DATE(YEAR('Change in Employment'!B898), MONTH('Change in Employment'!B898), 1), ""), "mm/dd/yyyy")</f>
        <v/>
      </c>
      <c r="B891" t="str">
        <f>IF(ISNUMBER('Change in Employment'!L898),'Change in Employment'!L898, "")</f>
        <v/>
      </c>
      <c r="C891" t="str">
        <f>IFERROR(IF(ISNUMBER('Change in Employment'!M898),TEXT('Change in Employment'!M898, "0"), ""), "")</f>
        <v/>
      </c>
      <c r="D891" s="8" t="str">
        <f>IF(ISNUMBER('Change in Employment'!G898),'Change in Employment'!G898,"")</f>
        <v/>
      </c>
    </row>
    <row r="892" spans="1:4">
      <c r="A892" t="str">
        <f>TEXT(IF('Change in Employment'!B899&lt;&gt;0,DATE(YEAR('Change in Employment'!B899), MONTH('Change in Employment'!B899), 1), ""), "mm/dd/yyyy")</f>
        <v/>
      </c>
      <c r="B892" t="str">
        <f>IF(ISNUMBER('Change in Employment'!L899),'Change in Employment'!L899, "")</f>
        <v/>
      </c>
      <c r="C892" t="str">
        <f>IFERROR(IF(ISNUMBER('Change in Employment'!M899),TEXT('Change in Employment'!M899, "0"), ""), "")</f>
        <v/>
      </c>
      <c r="D892" s="8" t="str">
        <f>IF(ISNUMBER('Change in Employment'!G899),'Change in Employment'!G899,"")</f>
        <v/>
      </c>
    </row>
    <row r="893" spans="1:4">
      <c r="A893" t="str">
        <f>TEXT(IF('Change in Employment'!B900&lt;&gt;0,DATE(YEAR('Change in Employment'!B900), MONTH('Change in Employment'!B900), 1), ""), "mm/dd/yyyy")</f>
        <v/>
      </c>
      <c r="B893" t="str">
        <f>IF(ISNUMBER('Change in Employment'!L900),'Change in Employment'!L900, "")</f>
        <v/>
      </c>
      <c r="C893" t="str">
        <f>IFERROR(IF(ISNUMBER('Change in Employment'!M900),TEXT('Change in Employment'!M900, "0"), ""), "")</f>
        <v/>
      </c>
      <c r="D893" s="8" t="str">
        <f>IF(ISNUMBER('Change in Employment'!G900),'Change in Employment'!G900,"")</f>
        <v/>
      </c>
    </row>
    <row r="894" spans="1:4">
      <c r="A894" t="str">
        <f>TEXT(IF('Change in Employment'!B901&lt;&gt;0,DATE(YEAR('Change in Employment'!B901), MONTH('Change in Employment'!B901), 1), ""), "mm/dd/yyyy")</f>
        <v/>
      </c>
      <c r="B894" t="str">
        <f>IF(ISNUMBER('Change in Employment'!L901),'Change in Employment'!L901, "")</f>
        <v/>
      </c>
      <c r="C894" t="str">
        <f>IFERROR(IF(ISNUMBER('Change in Employment'!M901),TEXT('Change in Employment'!M901, "0"), ""), "")</f>
        <v/>
      </c>
      <c r="D894" s="8" t="str">
        <f>IF(ISNUMBER('Change in Employment'!G901),'Change in Employment'!G901,"")</f>
        <v/>
      </c>
    </row>
    <row r="895" spans="1:4">
      <c r="A895" t="str">
        <f>TEXT(IF('Change in Employment'!B902&lt;&gt;0,DATE(YEAR('Change in Employment'!B902), MONTH('Change in Employment'!B902), 1), ""), "mm/dd/yyyy")</f>
        <v/>
      </c>
      <c r="B895" t="str">
        <f>IF(ISNUMBER('Change in Employment'!L902),'Change in Employment'!L902, "")</f>
        <v/>
      </c>
      <c r="C895" t="str">
        <f>IFERROR(IF(ISNUMBER('Change in Employment'!M902),TEXT('Change in Employment'!M902, "0"), ""), "")</f>
        <v/>
      </c>
      <c r="D895" s="8" t="str">
        <f>IF(ISNUMBER('Change in Employment'!G902),'Change in Employment'!G902,"")</f>
        <v/>
      </c>
    </row>
    <row r="896" spans="1:4">
      <c r="A896" t="str">
        <f>TEXT(IF('Change in Employment'!B903&lt;&gt;0,DATE(YEAR('Change in Employment'!B903), MONTH('Change in Employment'!B903), 1), ""), "mm/dd/yyyy")</f>
        <v/>
      </c>
      <c r="B896" t="str">
        <f>IF(ISNUMBER('Change in Employment'!L903),'Change in Employment'!L903, "")</f>
        <v/>
      </c>
      <c r="C896" t="str">
        <f>IFERROR(IF(ISNUMBER('Change in Employment'!M903),TEXT('Change in Employment'!M903, "0"), ""), "")</f>
        <v/>
      </c>
      <c r="D896" s="8" t="str">
        <f>IF(ISNUMBER('Change in Employment'!G903),'Change in Employment'!G903,"")</f>
        <v/>
      </c>
    </row>
    <row r="897" spans="1:4">
      <c r="A897" t="str">
        <f>TEXT(IF('Change in Employment'!B904&lt;&gt;0,DATE(YEAR('Change in Employment'!B904), MONTH('Change in Employment'!B904), 1), ""), "mm/dd/yyyy")</f>
        <v/>
      </c>
      <c r="B897" t="str">
        <f>IF(ISNUMBER('Change in Employment'!L904),'Change in Employment'!L904, "")</f>
        <v/>
      </c>
      <c r="C897" t="str">
        <f>IFERROR(IF(ISNUMBER('Change in Employment'!M904),TEXT('Change in Employment'!M904, "0"), ""), "")</f>
        <v/>
      </c>
      <c r="D897" s="8" t="str">
        <f>IF(ISNUMBER('Change in Employment'!G904),'Change in Employment'!G904,"")</f>
        <v/>
      </c>
    </row>
    <row r="898" spans="1:4">
      <c r="A898" t="str">
        <f>TEXT(IF('Change in Employment'!B905&lt;&gt;0,DATE(YEAR('Change in Employment'!B905), MONTH('Change in Employment'!B905), 1), ""), "mm/dd/yyyy")</f>
        <v/>
      </c>
      <c r="B898" t="str">
        <f>IF(ISNUMBER('Change in Employment'!L905),'Change in Employment'!L905, "")</f>
        <v/>
      </c>
      <c r="C898" t="str">
        <f>IFERROR(IF(ISNUMBER('Change in Employment'!M905),TEXT('Change in Employment'!M905, "0"), ""), "")</f>
        <v/>
      </c>
      <c r="D898" s="8" t="str">
        <f>IF(ISNUMBER('Change in Employment'!G905),'Change in Employment'!G905,"")</f>
        <v/>
      </c>
    </row>
    <row r="899" spans="1:4">
      <c r="A899" t="str">
        <f>TEXT(IF('Change in Employment'!B906&lt;&gt;0,DATE(YEAR('Change in Employment'!B906), MONTH('Change in Employment'!B906), 1), ""), "mm/dd/yyyy")</f>
        <v/>
      </c>
      <c r="B899" t="str">
        <f>IF(ISNUMBER('Change in Employment'!L906),'Change in Employment'!L906, "")</f>
        <v/>
      </c>
      <c r="C899" t="str">
        <f>IFERROR(IF(ISNUMBER('Change in Employment'!M906),TEXT('Change in Employment'!M906, "0"), ""), "")</f>
        <v/>
      </c>
      <c r="D899" s="8" t="str">
        <f>IF(ISNUMBER('Change in Employment'!G906),'Change in Employment'!G906,"")</f>
        <v/>
      </c>
    </row>
    <row r="900" spans="1:4">
      <c r="A900" t="str">
        <f>TEXT(IF('Change in Employment'!B907&lt;&gt;0,DATE(YEAR('Change in Employment'!B907), MONTH('Change in Employment'!B907), 1), ""), "mm/dd/yyyy")</f>
        <v/>
      </c>
      <c r="B900" t="str">
        <f>IF(ISNUMBER('Change in Employment'!L907),'Change in Employment'!L907, "")</f>
        <v/>
      </c>
      <c r="C900" t="str">
        <f>IFERROR(IF(ISNUMBER('Change in Employment'!M907),TEXT('Change in Employment'!M907, "0"), ""), "")</f>
        <v/>
      </c>
      <c r="D900" s="8" t="str">
        <f>IF(ISNUMBER('Change in Employment'!G907),'Change in Employment'!G907,"")</f>
        <v/>
      </c>
    </row>
    <row r="901" spans="1:4">
      <c r="A901" t="str">
        <f>TEXT(IF('Change in Employment'!B908&lt;&gt;0,DATE(YEAR('Change in Employment'!B908), MONTH('Change in Employment'!B908), 1), ""), "mm/dd/yyyy")</f>
        <v/>
      </c>
      <c r="B901" t="str">
        <f>IF(ISNUMBER('Change in Employment'!L908),'Change in Employment'!L908, "")</f>
        <v/>
      </c>
      <c r="C901" t="str">
        <f>IFERROR(IF(ISNUMBER('Change in Employment'!M908),TEXT('Change in Employment'!M908, "0"), ""), "")</f>
        <v/>
      </c>
      <c r="D901" s="8" t="str">
        <f>IF(ISNUMBER('Change in Employment'!G908),'Change in Employment'!G908,"")</f>
        <v/>
      </c>
    </row>
    <row r="902" spans="1:4">
      <c r="A902" t="str">
        <f>TEXT(IF('Change in Employment'!B909&lt;&gt;0,DATE(YEAR('Change in Employment'!B909), MONTH('Change in Employment'!B909), 1), ""), "mm/dd/yyyy")</f>
        <v/>
      </c>
      <c r="B902" t="str">
        <f>IF(ISNUMBER('Change in Employment'!L909),'Change in Employment'!L909, "")</f>
        <v/>
      </c>
      <c r="C902" t="str">
        <f>IFERROR(IF(ISNUMBER('Change in Employment'!M909),TEXT('Change in Employment'!M909, "0"), ""), "")</f>
        <v/>
      </c>
      <c r="D902" s="8" t="str">
        <f>IF(ISNUMBER('Change in Employment'!G909),'Change in Employment'!G909,"")</f>
        <v/>
      </c>
    </row>
    <row r="903" spans="1:4">
      <c r="A903" t="str">
        <f>TEXT(IF('Change in Employment'!B910&lt;&gt;0,DATE(YEAR('Change in Employment'!B910), MONTH('Change in Employment'!B910), 1), ""), "mm/dd/yyyy")</f>
        <v/>
      </c>
      <c r="B903" t="str">
        <f>IF(ISNUMBER('Change in Employment'!L910),'Change in Employment'!L910, "")</f>
        <v/>
      </c>
      <c r="C903" t="str">
        <f>IFERROR(IF(ISNUMBER('Change in Employment'!M910),TEXT('Change in Employment'!M910, "0"), ""), "")</f>
        <v/>
      </c>
      <c r="D903" s="8" t="str">
        <f>IF(ISNUMBER('Change in Employment'!G910),'Change in Employment'!G910,"")</f>
        <v/>
      </c>
    </row>
    <row r="904" spans="1:4">
      <c r="A904" t="str">
        <f>TEXT(IF('Change in Employment'!B911&lt;&gt;0,DATE(YEAR('Change in Employment'!B911), MONTH('Change in Employment'!B911), 1), ""), "mm/dd/yyyy")</f>
        <v/>
      </c>
      <c r="B904" t="str">
        <f>IF(ISNUMBER('Change in Employment'!L911),'Change in Employment'!L911, "")</f>
        <v/>
      </c>
      <c r="C904" t="str">
        <f>IFERROR(IF(ISNUMBER('Change in Employment'!M911),TEXT('Change in Employment'!M911, "0"), ""), "")</f>
        <v/>
      </c>
      <c r="D904" s="8" t="str">
        <f>IF(ISNUMBER('Change in Employment'!G911),'Change in Employment'!G911,"")</f>
        <v/>
      </c>
    </row>
    <row r="905" spans="1:4">
      <c r="A905" t="str">
        <f>TEXT(IF('Change in Employment'!B912&lt;&gt;0,DATE(YEAR('Change in Employment'!B912), MONTH('Change in Employment'!B912), 1), ""), "mm/dd/yyyy")</f>
        <v/>
      </c>
      <c r="B905" t="str">
        <f>IF(ISNUMBER('Change in Employment'!L912),'Change in Employment'!L912, "")</f>
        <v/>
      </c>
      <c r="C905" t="str">
        <f>IFERROR(IF(ISNUMBER('Change in Employment'!M912),TEXT('Change in Employment'!M912, "0"), ""), "")</f>
        <v/>
      </c>
      <c r="D905" s="8" t="str">
        <f>IF(ISNUMBER('Change in Employment'!G912),'Change in Employment'!G912,"")</f>
        <v/>
      </c>
    </row>
    <row r="906" spans="1:4">
      <c r="A906" t="str">
        <f>TEXT(IF('Change in Employment'!B913&lt;&gt;0,DATE(YEAR('Change in Employment'!B913), MONTH('Change in Employment'!B913), 1), ""), "mm/dd/yyyy")</f>
        <v/>
      </c>
      <c r="B906" t="str">
        <f>IF(ISNUMBER('Change in Employment'!L913),'Change in Employment'!L913, "")</f>
        <v/>
      </c>
      <c r="C906" t="str">
        <f>IFERROR(IF(ISNUMBER('Change in Employment'!M913),TEXT('Change in Employment'!M913, "0"), ""), "")</f>
        <v/>
      </c>
      <c r="D906" s="8" t="str">
        <f>IF(ISNUMBER('Change in Employment'!G913),'Change in Employment'!G913,"")</f>
        <v/>
      </c>
    </row>
    <row r="907" spans="1:4">
      <c r="A907" t="str">
        <f>TEXT(IF('Change in Employment'!B914&lt;&gt;0,DATE(YEAR('Change in Employment'!B914), MONTH('Change in Employment'!B914), 1), ""), "mm/dd/yyyy")</f>
        <v/>
      </c>
      <c r="B907" t="str">
        <f>IF(ISNUMBER('Change in Employment'!L914),'Change in Employment'!L914, "")</f>
        <v/>
      </c>
      <c r="C907" t="str">
        <f>IFERROR(IF(ISNUMBER('Change in Employment'!M914),TEXT('Change in Employment'!M914, "0"), ""), "")</f>
        <v/>
      </c>
      <c r="D907" s="8" t="str">
        <f>IF(ISNUMBER('Change in Employment'!G914),'Change in Employment'!G914,"")</f>
        <v/>
      </c>
    </row>
    <row r="908" spans="1:4">
      <c r="A908" t="str">
        <f>TEXT(IF('Change in Employment'!B915&lt;&gt;0,DATE(YEAR('Change in Employment'!B915), MONTH('Change in Employment'!B915), 1), ""), "mm/dd/yyyy")</f>
        <v/>
      </c>
      <c r="B908" t="str">
        <f>IF(ISNUMBER('Change in Employment'!L915),'Change in Employment'!L915, "")</f>
        <v/>
      </c>
      <c r="C908" t="str">
        <f>IFERROR(IF(ISNUMBER('Change in Employment'!M915),TEXT('Change in Employment'!M915, "0"), ""), "")</f>
        <v/>
      </c>
      <c r="D908" s="8" t="str">
        <f>IF(ISNUMBER('Change in Employment'!G915),'Change in Employment'!G915,"")</f>
        <v/>
      </c>
    </row>
    <row r="909" spans="1:4">
      <c r="A909" t="str">
        <f>TEXT(IF('Change in Employment'!B916&lt;&gt;0,DATE(YEAR('Change in Employment'!B916), MONTH('Change in Employment'!B916), 1), ""), "mm/dd/yyyy")</f>
        <v/>
      </c>
      <c r="B909" t="str">
        <f>IF(ISNUMBER('Change in Employment'!L916),'Change in Employment'!L916, "")</f>
        <v/>
      </c>
      <c r="C909" t="str">
        <f>IFERROR(IF(ISNUMBER('Change in Employment'!M916),TEXT('Change in Employment'!M916, "0"), ""), "")</f>
        <v/>
      </c>
      <c r="D909" s="8" t="str">
        <f>IF(ISNUMBER('Change in Employment'!G916),'Change in Employment'!G916,"")</f>
        <v/>
      </c>
    </row>
    <row r="910" spans="1:4">
      <c r="A910" t="str">
        <f>TEXT(IF('Change in Employment'!B917&lt;&gt;0,DATE(YEAR('Change in Employment'!B917), MONTH('Change in Employment'!B917), 1), ""), "mm/dd/yyyy")</f>
        <v/>
      </c>
      <c r="B910" t="str">
        <f>IF(ISNUMBER('Change in Employment'!L917),'Change in Employment'!L917, "")</f>
        <v/>
      </c>
      <c r="C910" t="str">
        <f>IFERROR(IF(ISNUMBER('Change in Employment'!M917),TEXT('Change in Employment'!M917, "0"), ""), "")</f>
        <v/>
      </c>
      <c r="D910" s="8" t="str">
        <f>IF(ISNUMBER('Change in Employment'!G917),'Change in Employment'!G917,"")</f>
        <v/>
      </c>
    </row>
    <row r="911" spans="1:4">
      <c r="A911" t="str">
        <f>TEXT(IF('Change in Employment'!B918&lt;&gt;0,DATE(YEAR('Change in Employment'!B918), MONTH('Change in Employment'!B918), 1), ""), "mm/dd/yyyy")</f>
        <v/>
      </c>
      <c r="B911" t="str">
        <f>IF(ISNUMBER('Change in Employment'!L918),'Change in Employment'!L918, "")</f>
        <v/>
      </c>
      <c r="C911" t="str">
        <f>IFERROR(IF(ISNUMBER('Change in Employment'!M918),TEXT('Change in Employment'!M918, "0"), ""), "")</f>
        <v/>
      </c>
      <c r="D911" s="8" t="str">
        <f>IF(ISNUMBER('Change in Employment'!G918),'Change in Employment'!G918,"")</f>
        <v/>
      </c>
    </row>
    <row r="912" spans="1:4">
      <c r="A912" t="str">
        <f>TEXT(IF('Change in Employment'!B919&lt;&gt;0,DATE(YEAR('Change in Employment'!B919), MONTH('Change in Employment'!B919), 1), ""), "mm/dd/yyyy")</f>
        <v/>
      </c>
      <c r="B912" t="str">
        <f>IF(ISNUMBER('Change in Employment'!L919),'Change in Employment'!L919, "")</f>
        <v/>
      </c>
      <c r="C912" t="str">
        <f>IFERROR(IF(ISNUMBER('Change in Employment'!M919),TEXT('Change in Employment'!M919, "0"), ""), "")</f>
        <v/>
      </c>
      <c r="D912" s="8" t="str">
        <f>IF(ISNUMBER('Change in Employment'!G919),'Change in Employment'!G919,"")</f>
        <v/>
      </c>
    </row>
    <row r="913" spans="1:4">
      <c r="A913" t="str">
        <f>TEXT(IF('Change in Employment'!B920&lt;&gt;0,DATE(YEAR('Change in Employment'!B920), MONTH('Change in Employment'!B920), 1), ""), "mm/dd/yyyy")</f>
        <v/>
      </c>
      <c r="B913" t="str">
        <f>IF(ISNUMBER('Change in Employment'!L920),'Change in Employment'!L920, "")</f>
        <v/>
      </c>
      <c r="C913" t="str">
        <f>IFERROR(IF(ISNUMBER('Change in Employment'!M920),TEXT('Change in Employment'!M920, "0"), ""), "")</f>
        <v/>
      </c>
      <c r="D913" s="8" t="str">
        <f>IF(ISNUMBER('Change in Employment'!G920),'Change in Employment'!G920,"")</f>
        <v/>
      </c>
    </row>
    <row r="914" spans="1:4">
      <c r="A914" t="str">
        <f>TEXT(IF('Change in Employment'!B921&lt;&gt;0,DATE(YEAR('Change in Employment'!B921), MONTH('Change in Employment'!B921), 1), ""), "mm/dd/yyyy")</f>
        <v/>
      </c>
      <c r="B914" t="str">
        <f>IF(ISNUMBER('Change in Employment'!L921),'Change in Employment'!L921, "")</f>
        <v/>
      </c>
      <c r="C914" t="str">
        <f>IFERROR(IF(ISNUMBER('Change in Employment'!M921),TEXT('Change in Employment'!M921, "0"), ""), "")</f>
        <v/>
      </c>
      <c r="D914" s="8" t="str">
        <f>IF(ISNUMBER('Change in Employment'!G921),'Change in Employment'!G921,"")</f>
        <v/>
      </c>
    </row>
    <row r="915" spans="1:4">
      <c r="A915" t="str">
        <f>TEXT(IF('Change in Employment'!B922&lt;&gt;0,DATE(YEAR('Change in Employment'!B922), MONTH('Change in Employment'!B922), 1), ""), "mm/dd/yyyy")</f>
        <v/>
      </c>
      <c r="B915" t="str">
        <f>IF(ISNUMBER('Change in Employment'!L922),'Change in Employment'!L922, "")</f>
        <v/>
      </c>
      <c r="C915" t="str">
        <f>IFERROR(IF(ISNUMBER('Change in Employment'!M922),TEXT('Change in Employment'!M922, "0"), ""), "")</f>
        <v/>
      </c>
      <c r="D915" s="8" t="str">
        <f>IF(ISNUMBER('Change in Employment'!G922),'Change in Employment'!G922,"")</f>
        <v/>
      </c>
    </row>
    <row r="916" spans="1:4">
      <c r="A916" t="str">
        <f>TEXT(IF('Change in Employment'!B923&lt;&gt;0,DATE(YEAR('Change in Employment'!B923), MONTH('Change in Employment'!B923), 1), ""), "mm/dd/yyyy")</f>
        <v/>
      </c>
      <c r="B916" t="str">
        <f>IF(ISNUMBER('Change in Employment'!L923),'Change in Employment'!L923, "")</f>
        <v/>
      </c>
      <c r="C916" t="str">
        <f>IFERROR(IF(ISNUMBER('Change in Employment'!M923),TEXT('Change in Employment'!M923, "0"), ""), "")</f>
        <v/>
      </c>
      <c r="D916" s="8" t="str">
        <f>IF(ISNUMBER('Change in Employment'!G923),'Change in Employment'!G923,"")</f>
        <v/>
      </c>
    </row>
    <row r="917" spans="1:4">
      <c r="A917" t="str">
        <f>TEXT(IF('Change in Employment'!B924&lt;&gt;0,DATE(YEAR('Change in Employment'!B924), MONTH('Change in Employment'!B924), 1), ""), "mm/dd/yyyy")</f>
        <v/>
      </c>
      <c r="B917" t="str">
        <f>IF(ISNUMBER('Change in Employment'!L924),'Change in Employment'!L924, "")</f>
        <v/>
      </c>
      <c r="C917" t="str">
        <f>IFERROR(IF(ISNUMBER('Change in Employment'!M924),TEXT('Change in Employment'!M924, "0"), ""), "")</f>
        <v/>
      </c>
      <c r="D917" s="8" t="str">
        <f>IF(ISNUMBER('Change in Employment'!G924),'Change in Employment'!G924,"")</f>
        <v/>
      </c>
    </row>
    <row r="918" spans="1:4">
      <c r="A918" t="str">
        <f>TEXT(IF('Change in Employment'!B925&lt;&gt;0,DATE(YEAR('Change in Employment'!B925), MONTH('Change in Employment'!B925), 1), ""), "mm/dd/yyyy")</f>
        <v/>
      </c>
      <c r="B918" t="str">
        <f>IF(ISNUMBER('Change in Employment'!L925),'Change in Employment'!L925, "")</f>
        <v/>
      </c>
      <c r="C918" t="str">
        <f>IFERROR(IF(ISNUMBER('Change in Employment'!M925),TEXT('Change in Employment'!M925, "0"), ""), "")</f>
        <v/>
      </c>
      <c r="D918" s="8" t="str">
        <f>IF(ISNUMBER('Change in Employment'!G925),'Change in Employment'!G925,"")</f>
        <v/>
      </c>
    </row>
    <row r="919" spans="1:4">
      <c r="A919" t="str">
        <f>TEXT(IF('Change in Employment'!B926&lt;&gt;0,DATE(YEAR('Change in Employment'!B926), MONTH('Change in Employment'!B926), 1), ""), "mm/dd/yyyy")</f>
        <v/>
      </c>
      <c r="B919" t="str">
        <f>IF(ISNUMBER('Change in Employment'!L926),'Change in Employment'!L926, "")</f>
        <v/>
      </c>
      <c r="C919" t="str">
        <f>IFERROR(IF(ISNUMBER('Change in Employment'!M926),TEXT('Change in Employment'!M926, "0"), ""), "")</f>
        <v/>
      </c>
      <c r="D919" s="8" t="str">
        <f>IF(ISNUMBER('Change in Employment'!G926),'Change in Employment'!G926,"")</f>
        <v/>
      </c>
    </row>
    <row r="920" spans="1:4">
      <c r="A920" t="str">
        <f>TEXT(IF('Change in Employment'!B927&lt;&gt;0,DATE(YEAR('Change in Employment'!B927), MONTH('Change in Employment'!B927), 1), ""), "mm/dd/yyyy")</f>
        <v/>
      </c>
      <c r="B920" t="str">
        <f>IF(ISNUMBER('Change in Employment'!L927),'Change in Employment'!L927, "")</f>
        <v/>
      </c>
      <c r="C920" t="str">
        <f>IFERROR(IF(ISNUMBER('Change in Employment'!M927),TEXT('Change in Employment'!M927, "0"), ""), "")</f>
        <v/>
      </c>
      <c r="D920" s="8" t="str">
        <f>IF(ISNUMBER('Change in Employment'!G927),'Change in Employment'!G927,"")</f>
        <v/>
      </c>
    </row>
    <row r="921" spans="1:4">
      <c r="A921" t="str">
        <f>TEXT(IF('Change in Employment'!B928&lt;&gt;0,DATE(YEAR('Change in Employment'!B928), MONTH('Change in Employment'!B928), 1), ""), "mm/dd/yyyy")</f>
        <v/>
      </c>
      <c r="B921" t="str">
        <f>IF(ISNUMBER('Change in Employment'!L928),'Change in Employment'!L928, "")</f>
        <v/>
      </c>
      <c r="C921" t="str">
        <f>IFERROR(IF(ISNUMBER('Change in Employment'!M928),TEXT('Change in Employment'!M928, "0"), ""), "")</f>
        <v/>
      </c>
      <c r="D921" s="8" t="str">
        <f>IF(ISNUMBER('Change in Employment'!G928),'Change in Employment'!G928,"")</f>
        <v/>
      </c>
    </row>
    <row r="922" spans="1:4">
      <c r="A922" t="str">
        <f>TEXT(IF('Change in Employment'!B929&lt;&gt;0,DATE(YEAR('Change in Employment'!B929), MONTH('Change in Employment'!B929), 1), ""), "mm/dd/yyyy")</f>
        <v/>
      </c>
      <c r="B922" t="str">
        <f>IF(ISNUMBER('Change in Employment'!L929),'Change in Employment'!L929, "")</f>
        <v/>
      </c>
      <c r="C922" t="str">
        <f>IFERROR(IF(ISNUMBER('Change in Employment'!M929),TEXT('Change in Employment'!M929, "0"), ""), "")</f>
        <v/>
      </c>
      <c r="D922" s="8" t="str">
        <f>IF(ISNUMBER('Change in Employment'!G929),'Change in Employment'!G929,"")</f>
        <v/>
      </c>
    </row>
    <row r="923" spans="1:4">
      <c r="A923" t="str">
        <f>TEXT(IF('Change in Employment'!B930&lt;&gt;0,DATE(YEAR('Change in Employment'!B930), MONTH('Change in Employment'!B930), 1), ""), "mm/dd/yyyy")</f>
        <v/>
      </c>
      <c r="B923" t="str">
        <f>IF(ISNUMBER('Change in Employment'!L930),'Change in Employment'!L930, "")</f>
        <v/>
      </c>
      <c r="C923" t="str">
        <f>IFERROR(IF(ISNUMBER('Change in Employment'!M930),TEXT('Change in Employment'!M930, "0"), ""), "")</f>
        <v/>
      </c>
      <c r="D923" s="8" t="str">
        <f>IF(ISNUMBER('Change in Employment'!G930),'Change in Employment'!G930,"")</f>
        <v/>
      </c>
    </row>
    <row r="924" spans="1:4">
      <c r="A924" t="str">
        <f>TEXT(IF('Change in Employment'!B931&lt;&gt;0,DATE(YEAR('Change in Employment'!B931), MONTH('Change in Employment'!B931), 1), ""), "mm/dd/yyyy")</f>
        <v/>
      </c>
      <c r="B924" t="str">
        <f>IF(ISNUMBER('Change in Employment'!L931),'Change in Employment'!L931, "")</f>
        <v/>
      </c>
      <c r="C924" t="str">
        <f>IFERROR(IF(ISNUMBER('Change in Employment'!M931),TEXT('Change in Employment'!M931, "0"), ""), "")</f>
        <v/>
      </c>
      <c r="D924" s="8" t="str">
        <f>IF(ISNUMBER('Change in Employment'!G931),'Change in Employment'!G931,"")</f>
        <v/>
      </c>
    </row>
    <row r="925" spans="1:4">
      <c r="A925" t="str">
        <f>TEXT(IF('Change in Employment'!B932&lt;&gt;0,DATE(YEAR('Change in Employment'!B932), MONTH('Change in Employment'!B932), 1), ""), "mm/dd/yyyy")</f>
        <v/>
      </c>
      <c r="B925" t="str">
        <f>IF(ISNUMBER('Change in Employment'!L932),'Change in Employment'!L932, "")</f>
        <v/>
      </c>
      <c r="C925" t="str">
        <f>IFERROR(IF(ISNUMBER('Change in Employment'!M932),TEXT('Change in Employment'!M932, "0"), ""), "")</f>
        <v/>
      </c>
      <c r="D925" s="8" t="str">
        <f>IF(ISNUMBER('Change in Employment'!G932),'Change in Employment'!G932,"")</f>
        <v/>
      </c>
    </row>
    <row r="926" spans="1:4">
      <c r="A926" t="str">
        <f>TEXT(IF('Change in Employment'!B933&lt;&gt;0,DATE(YEAR('Change in Employment'!B933), MONTH('Change in Employment'!B933), 1), ""), "mm/dd/yyyy")</f>
        <v/>
      </c>
      <c r="B926" t="str">
        <f>IF(ISNUMBER('Change in Employment'!L933),'Change in Employment'!L933, "")</f>
        <v/>
      </c>
      <c r="C926" t="str">
        <f>IFERROR(IF(ISNUMBER('Change in Employment'!M933),TEXT('Change in Employment'!M933, "0"), ""), "")</f>
        <v/>
      </c>
      <c r="D926" s="8" t="str">
        <f>IF(ISNUMBER('Change in Employment'!G933),'Change in Employment'!G933,"")</f>
        <v/>
      </c>
    </row>
    <row r="927" spans="1:4">
      <c r="A927" t="str">
        <f>TEXT(IF('Change in Employment'!B934&lt;&gt;0,DATE(YEAR('Change in Employment'!B934), MONTH('Change in Employment'!B934), 1), ""), "mm/dd/yyyy")</f>
        <v/>
      </c>
      <c r="B927" t="str">
        <f>IF(ISNUMBER('Change in Employment'!L934),'Change in Employment'!L934, "")</f>
        <v/>
      </c>
      <c r="C927" t="str">
        <f>IFERROR(IF(ISNUMBER('Change in Employment'!M934),TEXT('Change in Employment'!M934, "0"), ""), "")</f>
        <v/>
      </c>
      <c r="D927" s="8" t="str">
        <f>IF(ISNUMBER('Change in Employment'!G934),'Change in Employment'!G934,"")</f>
        <v/>
      </c>
    </row>
    <row r="928" spans="1:4">
      <c r="A928" t="str">
        <f>TEXT(IF('Change in Employment'!B935&lt;&gt;0,DATE(YEAR('Change in Employment'!B935), MONTH('Change in Employment'!B935), 1), ""), "mm/dd/yyyy")</f>
        <v/>
      </c>
      <c r="B928" t="str">
        <f>IF(ISNUMBER('Change in Employment'!L935),'Change in Employment'!L935, "")</f>
        <v/>
      </c>
      <c r="C928" t="str">
        <f>IFERROR(IF(ISNUMBER('Change in Employment'!M935),TEXT('Change in Employment'!M935, "0"), ""), "")</f>
        <v/>
      </c>
      <c r="D928" s="8" t="str">
        <f>IF(ISNUMBER('Change in Employment'!G935),'Change in Employment'!G935,"")</f>
        <v/>
      </c>
    </row>
    <row r="929" spans="1:4">
      <c r="A929" t="str">
        <f>TEXT(IF('Change in Employment'!B936&lt;&gt;0,DATE(YEAR('Change in Employment'!B936), MONTH('Change in Employment'!B936), 1), ""), "mm/dd/yyyy")</f>
        <v/>
      </c>
      <c r="B929" t="str">
        <f>IF(ISNUMBER('Change in Employment'!L936),'Change in Employment'!L936, "")</f>
        <v/>
      </c>
      <c r="C929" t="str">
        <f>IFERROR(IF(ISNUMBER('Change in Employment'!M936),TEXT('Change in Employment'!M936, "0"), ""), "")</f>
        <v/>
      </c>
      <c r="D929" s="8" t="str">
        <f>IF(ISNUMBER('Change in Employment'!G936),'Change in Employment'!G936,"")</f>
        <v/>
      </c>
    </row>
    <row r="930" spans="1:4">
      <c r="A930" t="str">
        <f>TEXT(IF('Change in Employment'!B937&lt;&gt;0,DATE(YEAR('Change in Employment'!B937), MONTH('Change in Employment'!B937), 1), ""), "mm/dd/yyyy")</f>
        <v/>
      </c>
      <c r="B930" t="str">
        <f>IF(ISNUMBER('Change in Employment'!L937),'Change in Employment'!L937, "")</f>
        <v/>
      </c>
      <c r="C930" t="str">
        <f>IFERROR(IF(ISNUMBER('Change in Employment'!M937),TEXT('Change in Employment'!M937, "0"), ""), "")</f>
        <v/>
      </c>
      <c r="D930" s="8" t="str">
        <f>IF(ISNUMBER('Change in Employment'!G937),'Change in Employment'!G937,"")</f>
        <v/>
      </c>
    </row>
    <row r="931" spans="1:4">
      <c r="A931" t="str">
        <f>TEXT(IF('Change in Employment'!B938&lt;&gt;0,DATE(YEAR('Change in Employment'!B938), MONTH('Change in Employment'!B938), 1), ""), "mm/dd/yyyy")</f>
        <v/>
      </c>
      <c r="B931" t="str">
        <f>IF(ISNUMBER('Change in Employment'!L938),'Change in Employment'!L938, "")</f>
        <v/>
      </c>
      <c r="C931" t="str">
        <f>IFERROR(IF(ISNUMBER('Change in Employment'!M938),TEXT('Change in Employment'!M938, "0"), ""), "")</f>
        <v/>
      </c>
      <c r="D931" s="8" t="str">
        <f>IF(ISNUMBER('Change in Employment'!G938),'Change in Employment'!G938,"")</f>
        <v/>
      </c>
    </row>
    <row r="932" spans="1:4">
      <c r="A932" t="str">
        <f>TEXT(IF('Change in Employment'!B939&lt;&gt;0,DATE(YEAR('Change in Employment'!B939), MONTH('Change in Employment'!B939), 1), ""), "mm/dd/yyyy")</f>
        <v/>
      </c>
      <c r="B932" t="str">
        <f>IF(ISNUMBER('Change in Employment'!L939),'Change in Employment'!L939, "")</f>
        <v/>
      </c>
      <c r="C932" t="str">
        <f>IFERROR(IF(ISNUMBER('Change in Employment'!M939),TEXT('Change in Employment'!M939, "0"), ""), "")</f>
        <v/>
      </c>
      <c r="D932" s="8" t="str">
        <f>IF(ISNUMBER('Change in Employment'!G939),'Change in Employment'!G939,"")</f>
        <v/>
      </c>
    </row>
    <row r="933" spans="1:4">
      <c r="A933" t="str">
        <f>TEXT(IF('Change in Employment'!B940&lt;&gt;0,DATE(YEAR('Change in Employment'!B940), MONTH('Change in Employment'!B940), 1), ""), "mm/dd/yyyy")</f>
        <v/>
      </c>
      <c r="B933" t="str">
        <f>IF(ISNUMBER('Change in Employment'!L940),'Change in Employment'!L940, "")</f>
        <v/>
      </c>
      <c r="C933" t="str">
        <f>IFERROR(IF(ISNUMBER('Change in Employment'!M940),TEXT('Change in Employment'!M940, "0"), ""), "")</f>
        <v/>
      </c>
      <c r="D933" s="8" t="str">
        <f>IF(ISNUMBER('Change in Employment'!G940),'Change in Employment'!G940,"")</f>
        <v/>
      </c>
    </row>
    <row r="934" spans="1:4">
      <c r="A934" t="str">
        <f>TEXT(IF('Change in Employment'!B941&lt;&gt;0,DATE(YEAR('Change in Employment'!B941), MONTH('Change in Employment'!B941), 1), ""), "mm/dd/yyyy")</f>
        <v/>
      </c>
      <c r="B934" t="str">
        <f>IF(ISNUMBER('Change in Employment'!L941),'Change in Employment'!L941, "")</f>
        <v/>
      </c>
      <c r="C934" t="str">
        <f>IFERROR(IF(ISNUMBER('Change in Employment'!M941),TEXT('Change in Employment'!M941, "0"), ""), "")</f>
        <v/>
      </c>
      <c r="D934" s="8" t="str">
        <f>IF(ISNUMBER('Change in Employment'!G941),'Change in Employment'!G941,"")</f>
        <v/>
      </c>
    </row>
    <row r="935" spans="1:4">
      <c r="A935" t="str">
        <f>TEXT(IF('Change in Employment'!B942&lt;&gt;0,DATE(YEAR('Change in Employment'!B942), MONTH('Change in Employment'!B942), 1), ""), "mm/dd/yyyy")</f>
        <v/>
      </c>
      <c r="B935" t="str">
        <f>IF(ISNUMBER('Change in Employment'!L942),'Change in Employment'!L942, "")</f>
        <v/>
      </c>
      <c r="C935" t="str">
        <f>IFERROR(IF(ISNUMBER('Change in Employment'!M942),TEXT('Change in Employment'!M942, "0"), ""), "")</f>
        <v/>
      </c>
      <c r="D935" s="8" t="str">
        <f>IF(ISNUMBER('Change in Employment'!G942),'Change in Employment'!G942,"")</f>
        <v/>
      </c>
    </row>
    <row r="936" spans="1:4">
      <c r="A936" t="str">
        <f>TEXT(IF('Change in Employment'!B943&lt;&gt;0,DATE(YEAR('Change in Employment'!B943), MONTH('Change in Employment'!B943), 1), ""), "mm/dd/yyyy")</f>
        <v/>
      </c>
      <c r="B936" t="str">
        <f>IF(ISNUMBER('Change in Employment'!L943),'Change in Employment'!L943, "")</f>
        <v/>
      </c>
      <c r="C936" t="str">
        <f>IFERROR(IF(ISNUMBER('Change in Employment'!M943),TEXT('Change in Employment'!M943, "0"), ""), "")</f>
        <v/>
      </c>
      <c r="D936" s="8" t="str">
        <f>IF(ISNUMBER('Change in Employment'!G943),'Change in Employment'!G943,"")</f>
        <v/>
      </c>
    </row>
    <row r="937" spans="1:4">
      <c r="A937" t="str">
        <f>TEXT(IF('Change in Employment'!B944&lt;&gt;0,DATE(YEAR('Change in Employment'!B944), MONTH('Change in Employment'!B944), 1), ""), "mm/dd/yyyy")</f>
        <v/>
      </c>
      <c r="B937" t="str">
        <f>IF(ISNUMBER('Change in Employment'!L944),'Change in Employment'!L944, "")</f>
        <v/>
      </c>
      <c r="C937" t="str">
        <f>IFERROR(IF(ISNUMBER('Change in Employment'!M944),TEXT('Change in Employment'!M944, "0"), ""), "")</f>
        <v/>
      </c>
      <c r="D937" s="8" t="str">
        <f>IF(ISNUMBER('Change in Employment'!G944),'Change in Employment'!G944,"")</f>
        <v/>
      </c>
    </row>
    <row r="938" spans="1:4">
      <c r="A938" t="str">
        <f>TEXT(IF('Change in Employment'!B945&lt;&gt;0,DATE(YEAR('Change in Employment'!B945), MONTH('Change in Employment'!B945), 1), ""), "mm/dd/yyyy")</f>
        <v/>
      </c>
      <c r="B938" t="str">
        <f>IF(ISNUMBER('Change in Employment'!L945),'Change in Employment'!L945, "")</f>
        <v/>
      </c>
      <c r="C938" t="str">
        <f>IFERROR(IF(ISNUMBER('Change in Employment'!M945),TEXT('Change in Employment'!M945, "0"), ""), "")</f>
        <v/>
      </c>
      <c r="D938" s="8" t="str">
        <f>IF(ISNUMBER('Change in Employment'!G945),'Change in Employment'!G945,"")</f>
        <v/>
      </c>
    </row>
    <row r="939" spans="1:4">
      <c r="A939" t="str">
        <f>TEXT(IF('Change in Employment'!B946&lt;&gt;0,DATE(YEAR('Change in Employment'!B946), MONTH('Change in Employment'!B946), 1), ""), "mm/dd/yyyy")</f>
        <v/>
      </c>
      <c r="B939" t="str">
        <f>IF(ISNUMBER('Change in Employment'!L946),'Change in Employment'!L946, "")</f>
        <v/>
      </c>
      <c r="C939" t="str">
        <f>IFERROR(IF(ISNUMBER('Change in Employment'!M946),TEXT('Change in Employment'!M946, "0"), ""), "")</f>
        <v/>
      </c>
      <c r="D939" s="8" t="str">
        <f>IF(ISNUMBER('Change in Employment'!G946),'Change in Employment'!G946,"")</f>
        <v/>
      </c>
    </row>
    <row r="940" spans="1:4">
      <c r="A940" t="str">
        <f>TEXT(IF('Change in Employment'!B947&lt;&gt;0,DATE(YEAR('Change in Employment'!B947), MONTH('Change in Employment'!B947), 1), ""), "mm/dd/yyyy")</f>
        <v/>
      </c>
      <c r="B940" t="str">
        <f>IF(ISNUMBER('Change in Employment'!L947),'Change in Employment'!L947, "")</f>
        <v/>
      </c>
      <c r="C940" t="str">
        <f>IFERROR(IF(ISNUMBER('Change in Employment'!M947),TEXT('Change in Employment'!M947, "0"), ""), "")</f>
        <v/>
      </c>
      <c r="D940" s="8" t="str">
        <f>IF(ISNUMBER('Change in Employment'!G947),'Change in Employment'!G947,"")</f>
        <v/>
      </c>
    </row>
    <row r="941" spans="1:4">
      <c r="A941" t="str">
        <f>TEXT(IF('Change in Employment'!B948&lt;&gt;0,DATE(YEAR('Change in Employment'!B948), MONTH('Change in Employment'!B948), 1), ""), "mm/dd/yyyy")</f>
        <v/>
      </c>
      <c r="B941" t="str">
        <f>IF(ISNUMBER('Change in Employment'!L948),'Change in Employment'!L948, "")</f>
        <v/>
      </c>
      <c r="C941" t="str">
        <f>IFERROR(IF(ISNUMBER('Change in Employment'!M948),TEXT('Change in Employment'!M948, "0"), ""), "")</f>
        <v/>
      </c>
      <c r="D941" s="8" t="str">
        <f>IF(ISNUMBER('Change in Employment'!G948),'Change in Employment'!G948,"")</f>
        <v/>
      </c>
    </row>
    <row r="942" spans="1:4">
      <c r="A942" t="str">
        <f>TEXT(IF('Change in Employment'!B949&lt;&gt;0,DATE(YEAR('Change in Employment'!B949), MONTH('Change in Employment'!B949), 1), ""), "mm/dd/yyyy")</f>
        <v/>
      </c>
      <c r="B942" t="str">
        <f>IF(ISNUMBER('Change in Employment'!L949),'Change in Employment'!L949, "")</f>
        <v/>
      </c>
      <c r="C942" t="str">
        <f>IFERROR(IF(ISNUMBER('Change in Employment'!M949),TEXT('Change in Employment'!M949, "0"), ""), "")</f>
        <v/>
      </c>
      <c r="D942" s="8" t="str">
        <f>IF(ISNUMBER('Change in Employment'!G949),'Change in Employment'!G949,"")</f>
        <v/>
      </c>
    </row>
    <row r="943" spans="1:4">
      <c r="A943" t="str">
        <f>TEXT(IF('Change in Employment'!B950&lt;&gt;0,DATE(YEAR('Change in Employment'!B950), MONTH('Change in Employment'!B950), 1), ""), "mm/dd/yyyy")</f>
        <v/>
      </c>
      <c r="B943" t="str">
        <f>IF(ISNUMBER('Change in Employment'!L950),'Change in Employment'!L950, "")</f>
        <v/>
      </c>
      <c r="C943" t="str">
        <f>IFERROR(IF(ISNUMBER('Change in Employment'!M950),TEXT('Change in Employment'!M950, "0"), ""), "")</f>
        <v/>
      </c>
      <c r="D943" s="8" t="str">
        <f>IF(ISNUMBER('Change in Employment'!G950),'Change in Employment'!G950,"")</f>
        <v/>
      </c>
    </row>
    <row r="944" spans="1:4">
      <c r="A944" t="str">
        <f>TEXT(IF('Change in Employment'!B951&lt;&gt;0,DATE(YEAR('Change in Employment'!B951), MONTH('Change in Employment'!B951), 1), ""), "mm/dd/yyyy")</f>
        <v/>
      </c>
      <c r="B944" t="str">
        <f>IF(ISNUMBER('Change in Employment'!L951),'Change in Employment'!L951, "")</f>
        <v/>
      </c>
      <c r="C944" t="str">
        <f>IFERROR(IF(ISNUMBER('Change in Employment'!M951),TEXT('Change in Employment'!M951, "0"), ""), "")</f>
        <v/>
      </c>
      <c r="D944" s="8" t="str">
        <f>IF(ISNUMBER('Change in Employment'!G951),'Change in Employment'!G951,"")</f>
        <v/>
      </c>
    </row>
    <row r="945" spans="1:4">
      <c r="A945" t="str">
        <f>TEXT(IF('Change in Employment'!B952&lt;&gt;0,DATE(YEAR('Change in Employment'!B952), MONTH('Change in Employment'!B952), 1), ""), "mm/dd/yyyy")</f>
        <v/>
      </c>
      <c r="B945" t="str">
        <f>IF(ISNUMBER('Change in Employment'!L952),'Change in Employment'!L952, "")</f>
        <v/>
      </c>
      <c r="C945" t="str">
        <f>IFERROR(IF(ISNUMBER('Change in Employment'!M952),TEXT('Change in Employment'!M952, "0"), ""), "")</f>
        <v/>
      </c>
      <c r="D945" s="8" t="str">
        <f>IF(ISNUMBER('Change in Employment'!G952),'Change in Employment'!G952,"")</f>
        <v/>
      </c>
    </row>
    <row r="946" spans="1:4">
      <c r="A946" t="str">
        <f>TEXT(IF('Change in Employment'!B953&lt;&gt;0,DATE(YEAR('Change in Employment'!B953), MONTH('Change in Employment'!B953), 1), ""), "mm/dd/yyyy")</f>
        <v/>
      </c>
      <c r="B946" t="str">
        <f>IF(ISNUMBER('Change in Employment'!L953),'Change in Employment'!L953, "")</f>
        <v/>
      </c>
      <c r="C946" t="str">
        <f>IFERROR(IF(ISNUMBER('Change in Employment'!M953),TEXT('Change in Employment'!M953, "0"), ""), "")</f>
        <v/>
      </c>
      <c r="D946" s="8" t="str">
        <f>IF(ISNUMBER('Change in Employment'!G953),'Change in Employment'!G953,"")</f>
        <v/>
      </c>
    </row>
    <row r="947" spans="1:4">
      <c r="A947" t="str">
        <f>TEXT(IF('Change in Employment'!B954&lt;&gt;0,DATE(YEAR('Change in Employment'!B954), MONTH('Change in Employment'!B954), 1), ""), "mm/dd/yyyy")</f>
        <v/>
      </c>
      <c r="B947" t="str">
        <f>IF(ISNUMBER('Change in Employment'!L954),'Change in Employment'!L954, "")</f>
        <v/>
      </c>
      <c r="C947" t="str">
        <f>IFERROR(IF(ISNUMBER('Change in Employment'!M954),TEXT('Change in Employment'!M954, "0"), ""), "")</f>
        <v/>
      </c>
      <c r="D947" s="8" t="str">
        <f>IF(ISNUMBER('Change in Employment'!G954),'Change in Employment'!G954,"")</f>
        <v/>
      </c>
    </row>
    <row r="948" spans="1:4">
      <c r="A948" t="str">
        <f>TEXT(IF('Change in Employment'!B955&lt;&gt;0,DATE(YEAR('Change in Employment'!B955), MONTH('Change in Employment'!B955), 1), ""), "mm/dd/yyyy")</f>
        <v/>
      </c>
      <c r="B948" t="str">
        <f>IF(ISNUMBER('Change in Employment'!L955),'Change in Employment'!L955, "")</f>
        <v/>
      </c>
      <c r="C948" t="str">
        <f>IFERROR(IF(ISNUMBER('Change in Employment'!M955),TEXT('Change in Employment'!M955, "0"), ""), "")</f>
        <v/>
      </c>
      <c r="D948" s="8" t="str">
        <f>IF(ISNUMBER('Change in Employment'!G955),'Change in Employment'!G955,"")</f>
        <v/>
      </c>
    </row>
    <row r="949" spans="1:4">
      <c r="A949" t="str">
        <f>TEXT(IF('Change in Employment'!B956&lt;&gt;0,DATE(YEAR('Change in Employment'!B956), MONTH('Change in Employment'!B956), 1), ""), "mm/dd/yyyy")</f>
        <v/>
      </c>
      <c r="B949" t="str">
        <f>IF(ISNUMBER('Change in Employment'!L956),'Change in Employment'!L956, "")</f>
        <v/>
      </c>
      <c r="C949" t="str">
        <f>IFERROR(IF(ISNUMBER('Change in Employment'!M956),TEXT('Change in Employment'!M956, "0"), ""), "")</f>
        <v/>
      </c>
      <c r="D949" s="8" t="str">
        <f>IF(ISNUMBER('Change in Employment'!G956),'Change in Employment'!G956,"")</f>
        <v/>
      </c>
    </row>
    <row r="950" spans="1:4">
      <c r="A950" t="str">
        <f>TEXT(IF('Change in Employment'!B957&lt;&gt;0,DATE(YEAR('Change in Employment'!B957), MONTH('Change in Employment'!B957), 1), ""), "mm/dd/yyyy")</f>
        <v/>
      </c>
      <c r="B950" t="str">
        <f>IF(ISNUMBER('Change in Employment'!L957),'Change in Employment'!L957, "")</f>
        <v/>
      </c>
      <c r="C950" t="str">
        <f>IFERROR(IF(ISNUMBER('Change in Employment'!M957),TEXT('Change in Employment'!M957, "0"), ""), "")</f>
        <v/>
      </c>
      <c r="D950" s="8" t="str">
        <f>IF(ISNUMBER('Change in Employment'!G957),'Change in Employment'!G957,"")</f>
        <v/>
      </c>
    </row>
    <row r="951" spans="1:4">
      <c r="A951" t="str">
        <f>TEXT(IF('Change in Employment'!B958&lt;&gt;0,DATE(YEAR('Change in Employment'!B958), MONTH('Change in Employment'!B958), 1), ""), "mm/dd/yyyy")</f>
        <v/>
      </c>
      <c r="B951" t="str">
        <f>IF(ISNUMBER('Change in Employment'!L958),'Change in Employment'!L958, "")</f>
        <v/>
      </c>
      <c r="C951" t="str">
        <f>IFERROR(IF(ISNUMBER('Change in Employment'!M958),TEXT('Change in Employment'!M958, "0"), ""), "")</f>
        <v/>
      </c>
      <c r="D951" s="8" t="str">
        <f>IF(ISNUMBER('Change in Employment'!G958),'Change in Employment'!G958,"")</f>
        <v/>
      </c>
    </row>
    <row r="952" spans="1:4">
      <c r="A952" t="str">
        <f>TEXT(IF('Change in Employment'!B959&lt;&gt;0,DATE(YEAR('Change in Employment'!B959), MONTH('Change in Employment'!B959), 1), ""), "mm/dd/yyyy")</f>
        <v/>
      </c>
      <c r="B952" t="str">
        <f>IF(ISNUMBER('Change in Employment'!L959),'Change in Employment'!L959, "")</f>
        <v/>
      </c>
      <c r="C952" t="str">
        <f>IFERROR(IF(ISNUMBER('Change in Employment'!M959),TEXT('Change in Employment'!M959, "0"), ""), "")</f>
        <v/>
      </c>
      <c r="D952" s="8" t="str">
        <f>IF(ISNUMBER('Change in Employment'!G959),'Change in Employment'!G959,"")</f>
        <v/>
      </c>
    </row>
    <row r="953" spans="1:4">
      <c r="A953" t="str">
        <f>TEXT(IF('Change in Employment'!B960&lt;&gt;0,DATE(YEAR('Change in Employment'!B960), MONTH('Change in Employment'!B960), 1), ""), "mm/dd/yyyy")</f>
        <v/>
      </c>
      <c r="B953" t="str">
        <f>IF(ISNUMBER('Change in Employment'!L960),'Change in Employment'!L960, "")</f>
        <v/>
      </c>
      <c r="C953" t="str">
        <f>IFERROR(IF(ISNUMBER('Change in Employment'!M960),TEXT('Change in Employment'!M960, "0"), ""), "")</f>
        <v/>
      </c>
      <c r="D953" s="8" t="str">
        <f>IF(ISNUMBER('Change in Employment'!G960),'Change in Employment'!G960,"")</f>
        <v/>
      </c>
    </row>
    <row r="954" spans="1:4">
      <c r="A954" t="str">
        <f>TEXT(IF('Change in Employment'!B961&lt;&gt;0,DATE(YEAR('Change in Employment'!B961), MONTH('Change in Employment'!B961), 1), ""), "mm/dd/yyyy")</f>
        <v/>
      </c>
      <c r="B954" t="str">
        <f>IF(ISNUMBER('Change in Employment'!L961),'Change in Employment'!L961, "")</f>
        <v/>
      </c>
      <c r="C954" t="str">
        <f>IFERROR(IF(ISNUMBER('Change in Employment'!M961),TEXT('Change in Employment'!M961, "0"), ""), "")</f>
        <v/>
      </c>
      <c r="D954" s="8" t="str">
        <f>IF(ISNUMBER('Change in Employment'!G961),'Change in Employment'!G961,"")</f>
        <v/>
      </c>
    </row>
    <row r="955" spans="1:4">
      <c r="A955" t="str">
        <f>TEXT(IF('Change in Employment'!B962&lt;&gt;0,DATE(YEAR('Change in Employment'!B962), MONTH('Change in Employment'!B962), 1), ""), "mm/dd/yyyy")</f>
        <v/>
      </c>
      <c r="B955" t="str">
        <f>IF(ISNUMBER('Change in Employment'!L962),'Change in Employment'!L962, "")</f>
        <v/>
      </c>
      <c r="C955" t="str">
        <f>IFERROR(IF(ISNUMBER('Change in Employment'!M962),TEXT('Change in Employment'!M962, "0"), ""), "")</f>
        <v/>
      </c>
      <c r="D955" s="8" t="str">
        <f>IF(ISNUMBER('Change in Employment'!G962),'Change in Employment'!G962,"")</f>
        <v/>
      </c>
    </row>
    <row r="956" spans="1:4">
      <c r="A956" t="str">
        <f>TEXT(IF('Change in Employment'!B963&lt;&gt;0,DATE(YEAR('Change in Employment'!B963), MONTH('Change in Employment'!B963), 1), ""), "mm/dd/yyyy")</f>
        <v/>
      </c>
      <c r="B956" t="str">
        <f>IF(ISNUMBER('Change in Employment'!L963),'Change in Employment'!L963, "")</f>
        <v/>
      </c>
      <c r="C956" t="str">
        <f>IFERROR(IF(ISNUMBER('Change in Employment'!M963),TEXT('Change in Employment'!M963, "0"), ""), "")</f>
        <v/>
      </c>
      <c r="D956" s="8" t="str">
        <f>IF(ISNUMBER('Change in Employment'!G963),'Change in Employment'!G963,"")</f>
        <v/>
      </c>
    </row>
    <row r="957" spans="1:4">
      <c r="A957" t="str">
        <f>TEXT(IF('Change in Employment'!B964&lt;&gt;0,DATE(YEAR('Change in Employment'!B964), MONTH('Change in Employment'!B964), 1), ""), "mm/dd/yyyy")</f>
        <v/>
      </c>
      <c r="B957" t="str">
        <f>IF(ISNUMBER('Change in Employment'!L964),'Change in Employment'!L964, "")</f>
        <v/>
      </c>
      <c r="C957" t="str">
        <f>IFERROR(IF(ISNUMBER('Change in Employment'!M964),TEXT('Change in Employment'!M964, "0"), ""), "")</f>
        <v/>
      </c>
      <c r="D957" s="8" t="str">
        <f>IF(ISNUMBER('Change in Employment'!G964),'Change in Employment'!G964,"")</f>
        <v/>
      </c>
    </row>
    <row r="958" spans="1:4">
      <c r="A958" t="str">
        <f>TEXT(IF('Change in Employment'!B965&lt;&gt;0,DATE(YEAR('Change in Employment'!B965), MONTH('Change in Employment'!B965), 1), ""), "mm/dd/yyyy")</f>
        <v/>
      </c>
      <c r="B958" t="str">
        <f>IF(ISNUMBER('Change in Employment'!L965),'Change in Employment'!L965, "")</f>
        <v/>
      </c>
      <c r="C958" t="str">
        <f>IFERROR(IF(ISNUMBER('Change in Employment'!M965),TEXT('Change in Employment'!M965, "0"), ""), "")</f>
        <v/>
      </c>
      <c r="D958" s="8" t="str">
        <f>IF(ISNUMBER('Change in Employment'!G965),'Change in Employment'!G965,"")</f>
        <v/>
      </c>
    </row>
    <row r="959" spans="1:4">
      <c r="A959" t="str">
        <f>TEXT(IF('Change in Employment'!B966&lt;&gt;0,DATE(YEAR('Change in Employment'!B966), MONTH('Change in Employment'!B966), 1), ""), "mm/dd/yyyy")</f>
        <v/>
      </c>
      <c r="B959" t="str">
        <f>IF(ISNUMBER('Change in Employment'!L966),'Change in Employment'!L966, "")</f>
        <v/>
      </c>
      <c r="C959" t="str">
        <f>IFERROR(IF(ISNUMBER('Change in Employment'!M966),TEXT('Change in Employment'!M966, "0"), ""), "")</f>
        <v/>
      </c>
      <c r="D959" s="8" t="str">
        <f>IF(ISNUMBER('Change in Employment'!G966),'Change in Employment'!G966,"")</f>
        <v/>
      </c>
    </row>
    <row r="960" spans="1:4">
      <c r="A960" t="str">
        <f>TEXT(IF('Change in Employment'!B967&lt;&gt;0,DATE(YEAR('Change in Employment'!B967), MONTH('Change in Employment'!B967), 1), ""), "mm/dd/yyyy")</f>
        <v/>
      </c>
      <c r="B960" t="str">
        <f>IF(ISNUMBER('Change in Employment'!L967),'Change in Employment'!L967, "")</f>
        <v/>
      </c>
      <c r="C960" t="str">
        <f>IFERROR(IF(ISNUMBER('Change in Employment'!M967),TEXT('Change in Employment'!M967, "0"), ""), "")</f>
        <v/>
      </c>
      <c r="D960" s="8" t="str">
        <f>IF(ISNUMBER('Change in Employment'!G967),'Change in Employment'!G967,"")</f>
        <v/>
      </c>
    </row>
    <row r="961" spans="1:4">
      <c r="A961" t="str">
        <f>TEXT(IF('Change in Employment'!B968&lt;&gt;0,DATE(YEAR('Change in Employment'!B968), MONTH('Change in Employment'!B968), 1), ""), "mm/dd/yyyy")</f>
        <v/>
      </c>
      <c r="B961" t="str">
        <f>IF(ISNUMBER('Change in Employment'!L968),'Change in Employment'!L968, "")</f>
        <v/>
      </c>
      <c r="C961" t="str">
        <f>IFERROR(IF(ISNUMBER('Change in Employment'!M968),TEXT('Change in Employment'!M968, "0"), ""), "")</f>
        <v/>
      </c>
      <c r="D961" s="8" t="str">
        <f>IF(ISNUMBER('Change in Employment'!G968),'Change in Employment'!G968,"")</f>
        <v/>
      </c>
    </row>
    <row r="962" spans="1:4">
      <c r="A962" t="str">
        <f>TEXT(IF('Change in Employment'!B969&lt;&gt;0,DATE(YEAR('Change in Employment'!B969), MONTH('Change in Employment'!B969), 1), ""), "mm/dd/yyyy")</f>
        <v/>
      </c>
      <c r="B962" t="str">
        <f>IF(ISNUMBER('Change in Employment'!L969),'Change in Employment'!L969, "")</f>
        <v/>
      </c>
      <c r="C962" t="str">
        <f>IFERROR(IF(ISNUMBER('Change in Employment'!M969),TEXT('Change in Employment'!M969, "0"), ""), "")</f>
        <v/>
      </c>
      <c r="D962" s="8" t="str">
        <f>IF(ISNUMBER('Change in Employment'!G969),'Change in Employment'!G969,"")</f>
        <v/>
      </c>
    </row>
    <row r="963" spans="1:4">
      <c r="A963" t="str">
        <f>TEXT(IF('Change in Employment'!B970&lt;&gt;0,DATE(YEAR('Change in Employment'!B970), MONTH('Change in Employment'!B970), 1), ""), "mm/dd/yyyy")</f>
        <v/>
      </c>
      <c r="B963" t="str">
        <f>IF(ISNUMBER('Change in Employment'!L970),'Change in Employment'!L970, "")</f>
        <v/>
      </c>
      <c r="C963" t="str">
        <f>IFERROR(IF(ISNUMBER('Change in Employment'!M970),TEXT('Change in Employment'!M970, "0"), ""), "")</f>
        <v/>
      </c>
      <c r="D963" s="8" t="str">
        <f>IF(ISNUMBER('Change in Employment'!G970),'Change in Employment'!G970,"")</f>
        <v/>
      </c>
    </row>
    <row r="964" spans="1:4">
      <c r="A964" t="str">
        <f>TEXT(IF('Change in Employment'!B971&lt;&gt;0,DATE(YEAR('Change in Employment'!B971), MONTH('Change in Employment'!B971), 1), ""), "mm/dd/yyyy")</f>
        <v/>
      </c>
      <c r="B964" t="str">
        <f>IF(ISNUMBER('Change in Employment'!L971),'Change in Employment'!L971, "")</f>
        <v/>
      </c>
      <c r="C964" t="str">
        <f>IFERROR(IF(ISNUMBER('Change in Employment'!M971),TEXT('Change in Employment'!M971, "0"), ""), "")</f>
        <v/>
      </c>
      <c r="D964" s="8" t="str">
        <f>IF(ISNUMBER('Change in Employment'!G971),'Change in Employment'!G971,"")</f>
        <v/>
      </c>
    </row>
    <row r="965" spans="1:4">
      <c r="A965" t="str">
        <f>TEXT(IF('Change in Employment'!B972&lt;&gt;0,DATE(YEAR('Change in Employment'!B972), MONTH('Change in Employment'!B972), 1), ""), "mm/dd/yyyy")</f>
        <v/>
      </c>
      <c r="B965" t="str">
        <f>IF(ISNUMBER('Change in Employment'!L972),'Change in Employment'!L972, "")</f>
        <v/>
      </c>
      <c r="C965" t="str">
        <f>IFERROR(IF(ISNUMBER('Change in Employment'!M972),TEXT('Change in Employment'!M972, "0"), ""), "")</f>
        <v/>
      </c>
      <c r="D965" s="8" t="str">
        <f>IF(ISNUMBER('Change in Employment'!G972),'Change in Employment'!G972,"")</f>
        <v/>
      </c>
    </row>
    <row r="966" spans="1:4">
      <c r="A966" t="str">
        <f>TEXT(IF('Change in Employment'!B973&lt;&gt;0,DATE(YEAR('Change in Employment'!B973), MONTH('Change in Employment'!B973), 1), ""), "mm/dd/yyyy")</f>
        <v/>
      </c>
      <c r="B966" t="str">
        <f>IF(ISNUMBER('Change in Employment'!L973),'Change in Employment'!L973, "")</f>
        <v/>
      </c>
      <c r="C966" t="str">
        <f>IFERROR(IF(ISNUMBER('Change in Employment'!M973),TEXT('Change in Employment'!M973, "0"), ""), "")</f>
        <v/>
      </c>
      <c r="D966" s="8" t="str">
        <f>IF(ISNUMBER('Change in Employment'!G973),'Change in Employment'!G973,"")</f>
        <v/>
      </c>
    </row>
    <row r="967" spans="1:4">
      <c r="A967" t="str">
        <f>TEXT(IF('Change in Employment'!B974&lt;&gt;0,DATE(YEAR('Change in Employment'!B974), MONTH('Change in Employment'!B974), 1), ""), "mm/dd/yyyy")</f>
        <v/>
      </c>
      <c r="B967" t="str">
        <f>IF(ISNUMBER('Change in Employment'!L974),'Change in Employment'!L974, "")</f>
        <v/>
      </c>
      <c r="C967" t="str">
        <f>IFERROR(IF(ISNUMBER('Change in Employment'!M974),TEXT('Change in Employment'!M974, "0"), ""), "")</f>
        <v/>
      </c>
      <c r="D967" s="8" t="str">
        <f>IF(ISNUMBER('Change in Employment'!G974),'Change in Employment'!G974,"")</f>
        <v/>
      </c>
    </row>
    <row r="968" spans="1:4">
      <c r="A968" t="str">
        <f>TEXT(IF('Change in Employment'!B975&lt;&gt;0,DATE(YEAR('Change in Employment'!B975), MONTH('Change in Employment'!B975), 1), ""), "mm/dd/yyyy")</f>
        <v/>
      </c>
      <c r="B968" t="str">
        <f>IF(ISNUMBER('Change in Employment'!L975),'Change in Employment'!L975, "")</f>
        <v/>
      </c>
      <c r="C968" t="str">
        <f>IFERROR(IF(ISNUMBER('Change in Employment'!M975),TEXT('Change in Employment'!M975, "0"), ""), "")</f>
        <v/>
      </c>
      <c r="D968" s="8" t="str">
        <f>IF(ISNUMBER('Change in Employment'!G975),'Change in Employment'!G975,"")</f>
        <v/>
      </c>
    </row>
    <row r="969" spans="1:4">
      <c r="A969" t="str">
        <f>TEXT(IF('Change in Employment'!B976&lt;&gt;0,DATE(YEAR('Change in Employment'!B976), MONTH('Change in Employment'!B976), 1), ""), "mm/dd/yyyy")</f>
        <v/>
      </c>
      <c r="B969" t="str">
        <f>IF(ISNUMBER('Change in Employment'!L976),'Change in Employment'!L976, "")</f>
        <v/>
      </c>
      <c r="C969" t="str">
        <f>IFERROR(IF(ISNUMBER('Change in Employment'!M976),TEXT('Change in Employment'!M976, "0"), ""), "")</f>
        <v/>
      </c>
      <c r="D969" s="8" t="str">
        <f>IF(ISNUMBER('Change in Employment'!G976),'Change in Employment'!G976,"")</f>
        <v/>
      </c>
    </row>
    <row r="970" spans="1:4">
      <c r="A970" t="str">
        <f>TEXT(IF('Change in Employment'!B977&lt;&gt;0,DATE(YEAR('Change in Employment'!B977), MONTH('Change in Employment'!B977), 1), ""), "mm/dd/yyyy")</f>
        <v/>
      </c>
      <c r="B970" t="str">
        <f>IF(ISNUMBER('Change in Employment'!L977),'Change in Employment'!L977, "")</f>
        <v/>
      </c>
      <c r="C970" t="str">
        <f>IFERROR(IF(ISNUMBER('Change in Employment'!M977),TEXT('Change in Employment'!M977, "0"), ""), "")</f>
        <v/>
      </c>
      <c r="D970" s="8" t="str">
        <f>IF(ISNUMBER('Change in Employment'!G977),'Change in Employment'!G977,"")</f>
        <v/>
      </c>
    </row>
    <row r="971" spans="1:4">
      <c r="A971" t="str">
        <f>TEXT(IF('Change in Employment'!B978&lt;&gt;0,DATE(YEAR('Change in Employment'!B978), MONTH('Change in Employment'!B978), 1), ""), "mm/dd/yyyy")</f>
        <v/>
      </c>
      <c r="B971" t="str">
        <f>IF(ISNUMBER('Change in Employment'!L978),'Change in Employment'!L978, "")</f>
        <v/>
      </c>
      <c r="C971" t="str">
        <f>IFERROR(IF(ISNUMBER('Change in Employment'!M978),TEXT('Change in Employment'!M978, "0"), ""), "")</f>
        <v/>
      </c>
      <c r="D971" s="8" t="str">
        <f>IF(ISNUMBER('Change in Employment'!G978),'Change in Employment'!G978,"")</f>
        <v/>
      </c>
    </row>
    <row r="972" spans="1:4">
      <c r="A972" t="str">
        <f>TEXT(IF('Change in Employment'!B979&lt;&gt;0,DATE(YEAR('Change in Employment'!B979), MONTH('Change in Employment'!B979), 1), ""), "mm/dd/yyyy")</f>
        <v/>
      </c>
      <c r="B972" t="str">
        <f>IF(ISNUMBER('Change in Employment'!L979),'Change in Employment'!L979, "")</f>
        <v/>
      </c>
      <c r="C972" t="str">
        <f>IFERROR(IF(ISNUMBER('Change in Employment'!M979),TEXT('Change in Employment'!M979, "0"), ""), "")</f>
        <v/>
      </c>
      <c r="D972" s="8" t="str">
        <f>IF(ISNUMBER('Change in Employment'!G979),'Change in Employment'!G979,"")</f>
        <v/>
      </c>
    </row>
    <row r="973" spans="1:4">
      <c r="A973" t="str">
        <f>TEXT(IF('Change in Employment'!B980&lt;&gt;0,DATE(YEAR('Change in Employment'!B980), MONTH('Change in Employment'!B980), 1), ""), "mm/dd/yyyy")</f>
        <v/>
      </c>
      <c r="B973" t="str">
        <f>IF(ISNUMBER('Change in Employment'!L980),'Change in Employment'!L980, "")</f>
        <v/>
      </c>
      <c r="C973" t="str">
        <f>IFERROR(IF(ISNUMBER('Change in Employment'!M980),TEXT('Change in Employment'!M980, "0"), ""), "")</f>
        <v/>
      </c>
      <c r="D973" s="8" t="str">
        <f>IF(ISNUMBER('Change in Employment'!G980),'Change in Employment'!G980,"")</f>
        <v/>
      </c>
    </row>
    <row r="974" spans="1:4">
      <c r="A974" t="str">
        <f>TEXT(IF('Change in Employment'!B981&lt;&gt;0,DATE(YEAR('Change in Employment'!B981), MONTH('Change in Employment'!B981), 1), ""), "mm/dd/yyyy")</f>
        <v/>
      </c>
      <c r="B974" t="str">
        <f>IF(ISNUMBER('Change in Employment'!L981),'Change in Employment'!L981, "")</f>
        <v/>
      </c>
      <c r="C974" t="str">
        <f>IFERROR(IF(ISNUMBER('Change in Employment'!M981),TEXT('Change in Employment'!M981, "0"), ""), "")</f>
        <v/>
      </c>
      <c r="D974" s="8" t="str">
        <f>IF(ISNUMBER('Change in Employment'!G981),'Change in Employment'!G981,"")</f>
        <v/>
      </c>
    </row>
    <row r="975" spans="1:4">
      <c r="A975" t="str">
        <f>TEXT(IF('Change in Employment'!B982&lt;&gt;0,DATE(YEAR('Change in Employment'!B982), MONTH('Change in Employment'!B982), 1), ""), "mm/dd/yyyy")</f>
        <v/>
      </c>
      <c r="B975" t="str">
        <f>IF(ISNUMBER('Change in Employment'!L982),'Change in Employment'!L982, "")</f>
        <v/>
      </c>
      <c r="C975" t="str">
        <f>IFERROR(IF(ISNUMBER('Change in Employment'!M982),TEXT('Change in Employment'!M982, "0"), ""), "")</f>
        <v/>
      </c>
      <c r="D975" s="8" t="str">
        <f>IF(ISNUMBER('Change in Employment'!G982),'Change in Employment'!G982,"")</f>
        <v/>
      </c>
    </row>
    <row r="976" spans="1:4">
      <c r="A976" t="str">
        <f>TEXT(IF('Change in Employment'!B983&lt;&gt;0,DATE(YEAR('Change in Employment'!B983), MONTH('Change in Employment'!B983), 1), ""), "mm/dd/yyyy")</f>
        <v/>
      </c>
      <c r="B976" t="str">
        <f>IF(ISNUMBER('Change in Employment'!L983),'Change in Employment'!L983, "")</f>
        <v/>
      </c>
      <c r="C976" t="str">
        <f>IFERROR(IF(ISNUMBER('Change in Employment'!M983),TEXT('Change in Employment'!M983, "0"), ""), "")</f>
        <v/>
      </c>
      <c r="D976" s="8" t="str">
        <f>IF(ISNUMBER('Change in Employment'!G983),'Change in Employment'!G983,"")</f>
        <v/>
      </c>
    </row>
    <row r="977" spans="1:4">
      <c r="A977" t="str">
        <f>TEXT(IF('Change in Employment'!B984&lt;&gt;0,DATE(YEAR('Change in Employment'!B984), MONTH('Change in Employment'!B984), 1), ""), "mm/dd/yyyy")</f>
        <v/>
      </c>
      <c r="B977" t="str">
        <f>IF(ISNUMBER('Change in Employment'!L984),'Change in Employment'!L984, "")</f>
        <v/>
      </c>
      <c r="C977" t="str">
        <f>IFERROR(IF(ISNUMBER('Change in Employment'!M984),TEXT('Change in Employment'!M984, "0"), ""), "")</f>
        <v/>
      </c>
      <c r="D977" s="8" t="str">
        <f>IF(ISNUMBER('Change in Employment'!G984),'Change in Employment'!G984,"")</f>
        <v/>
      </c>
    </row>
    <row r="978" spans="1:4">
      <c r="A978" t="str">
        <f>TEXT(IF('Change in Employment'!B985&lt;&gt;0,DATE(YEAR('Change in Employment'!B985), MONTH('Change in Employment'!B985), 1), ""), "mm/dd/yyyy")</f>
        <v/>
      </c>
      <c r="B978" t="str">
        <f>IF(ISNUMBER('Change in Employment'!L985),'Change in Employment'!L985, "")</f>
        <v/>
      </c>
      <c r="C978" t="str">
        <f>IFERROR(IF(ISNUMBER('Change in Employment'!M985),TEXT('Change in Employment'!M985, "0"), ""), "")</f>
        <v/>
      </c>
      <c r="D978" s="8" t="str">
        <f>IF(ISNUMBER('Change in Employment'!G985),'Change in Employment'!G985,"")</f>
        <v/>
      </c>
    </row>
    <row r="979" spans="1:4">
      <c r="A979" t="str">
        <f>TEXT(IF('Change in Employment'!B986&lt;&gt;0,DATE(YEAR('Change in Employment'!B986), MONTH('Change in Employment'!B986), 1), ""), "mm/dd/yyyy")</f>
        <v/>
      </c>
      <c r="B979" t="str">
        <f>IF(ISNUMBER('Change in Employment'!L986),'Change in Employment'!L986, "")</f>
        <v/>
      </c>
      <c r="C979" t="str">
        <f>IFERROR(IF(ISNUMBER('Change in Employment'!M986),TEXT('Change in Employment'!M986, "0"), ""), "")</f>
        <v/>
      </c>
      <c r="D979" s="8" t="str">
        <f>IF(ISNUMBER('Change in Employment'!G986),'Change in Employment'!G986,"")</f>
        <v/>
      </c>
    </row>
    <row r="980" spans="1:4">
      <c r="A980" t="str">
        <f>TEXT(IF('Change in Employment'!B987&lt;&gt;0,DATE(YEAR('Change in Employment'!B987), MONTH('Change in Employment'!B987), 1), ""), "mm/dd/yyyy")</f>
        <v/>
      </c>
      <c r="B980" t="str">
        <f>IF(ISNUMBER('Change in Employment'!L987),'Change in Employment'!L987, "")</f>
        <v/>
      </c>
      <c r="C980" t="str">
        <f>IFERROR(IF(ISNUMBER('Change in Employment'!M987),TEXT('Change in Employment'!M987, "0"), ""), "")</f>
        <v/>
      </c>
      <c r="D980" s="8" t="str">
        <f>IF(ISNUMBER('Change in Employment'!G987),'Change in Employment'!G987,"")</f>
        <v/>
      </c>
    </row>
    <row r="981" spans="1:4">
      <c r="A981" t="str">
        <f>TEXT(IF('Change in Employment'!B988&lt;&gt;0,DATE(YEAR('Change in Employment'!B988), MONTH('Change in Employment'!B988), 1), ""), "mm/dd/yyyy")</f>
        <v/>
      </c>
      <c r="B981" t="str">
        <f>IF(ISNUMBER('Change in Employment'!L988),'Change in Employment'!L988, "")</f>
        <v/>
      </c>
      <c r="C981" t="str">
        <f>IFERROR(IF(ISNUMBER('Change in Employment'!M988),TEXT('Change in Employment'!M988, "0"), ""), "")</f>
        <v/>
      </c>
      <c r="D981" s="8" t="str">
        <f>IF(ISNUMBER('Change in Employment'!G988),'Change in Employment'!G988,"")</f>
        <v/>
      </c>
    </row>
    <row r="982" spans="1:4">
      <c r="A982" t="str">
        <f>TEXT(IF('Change in Employment'!B989&lt;&gt;0,DATE(YEAR('Change in Employment'!B989), MONTH('Change in Employment'!B989), 1), ""), "mm/dd/yyyy")</f>
        <v/>
      </c>
      <c r="B982" t="str">
        <f>IF(ISNUMBER('Change in Employment'!L989),'Change in Employment'!L989, "")</f>
        <v/>
      </c>
      <c r="C982" t="str">
        <f>IFERROR(IF(ISNUMBER('Change in Employment'!M989),TEXT('Change in Employment'!M989, "0"), ""), "")</f>
        <v/>
      </c>
      <c r="D982" s="8" t="str">
        <f>IF(ISNUMBER('Change in Employment'!G989),'Change in Employment'!G989,"")</f>
        <v/>
      </c>
    </row>
    <row r="983" spans="1:4">
      <c r="A983" t="str">
        <f>TEXT(IF('Change in Employment'!B990&lt;&gt;0,DATE(YEAR('Change in Employment'!B990), MONTH('Change in Employment'!B990), 1), ""), "mm/dd/yyyy")</f>
        <v/>
      </c>
      <c r="B983" t="str">
        <f>IF(ISNUMBER('Change in Employment'!L990),'Change in Employment'!L990, "")</f>
        <v/>
      </c>
      <c r="C983" t="str">
        <f>IFERROR(IF(ISNUMBER('Change in Employment'!M990),TEXT('Change in Employment'!M990, "0"), ""), "")</f>
        <v/>
      </c>
      <c r="D983" s="8" t="str">
        <f>IF(ISNUMBER('Change in Employment'!G990),'Change in Employment'!G990,"")</f>
        <v/>
      </c>
    </row>
    <row r="984" spans="1:4">
      <c r="A984" t="str">
        <f>TEXT(IF('Change in Employment'!B991&lt;&gt;0,DATE(YEAR('Change in Employment'!B991), MONTH('Change in Employment'!B991), 1), ""), "mm/dd/yyyy")</f>
        <v/>
      </c>
      <c r="B984" t="str">
        <f>IF(ISNUMBER('Change in Employment'!L991),'Change in Employment'!L991, "")</f>
        <v/>
      </c>
      <c r="C984" t="str">
        <f>IFERROR(IF(ISNUMBER('Change in Employment'!M991),TEXT('Change in Employment'!M991, "0"), ""), "")</f>
        <v/>
      </c>
      <c r="D984" s="8" t="str">
        <f>IF(ISNUMBER('Change in Employment'!G991),'Change in Employment'!G991,"")</f>
        <v/>
      </c>
    </row>
    <row r="985" spans="1:4">
      <c r="A985" t="str">
        <f>TEXT(IF('Change in Employment'!B992&lt;&gt;0,DATE(YEAR('Change in Employment'!B992), MONTH('Change in Employment'!B992), 1), ""), "mm/dd/yyyy")</f>
        <v/>
      </c>
      <c r="B985" t="str">
        <f>IF(ISNUMBER('Change in Employment'!L992),'Change in Employment'!L992, "")</f>
        <v/>
      </c>
      <c r="C985" t="str">
        <f>IFERROR(IF(ISNUMBER('Change in Employment'!M992),TEXT('Change in Employment'!M992, "0"), ""), "")</f>
        <v/>
      </c>
      <c r="D985" s="8" t="str">
        <f>IF(ISNUMBER('Change in Employment'!G992),'Change in Employment'!G992,"")</f>
        <v/>
      </c>
    </row>
    <row r="986" spans="1:4">
      <c r="A986" t="str">
        <f>TEXT(IF('Change in Employment'!B993&lt;&gt;0,DATE(YEAR('Change in Employment'!B993), MONTH('Change in Employment'!B993), 1), ""), "mm/dd/yyyy")</f>
        <v/>
      </c>
      <c r="B986" t="str">
        <f>IF(ISNUMBER('Change in Employment'!L993),'Change in Employment'!L993, "")</f>
        <v/>
      </c>
      <c r="C986" t="str">
        <f>IFERROR(IF(ISNUMBER('Change in Employment'!M993),TEXT('Change in Employment'!M993, "0"), ""), "")</f>
        <v/>
      </c>
      <c r="D986" s="8" t="str">
        <f>IF(ISNUMBER('Change in Employment'!G993),'Change in Employment'!G993,"")</f>
        <v/>
      </c>
    </row>
    <row r="987" spans="1:4">
      <c r="A987" t="str">
        <f>TEXT(IF('Change in Employment'!B994&lt;&gt;0,DATE(YEAR('Change in Employment'!B994), MONTH('Change in Employment'!B994), 1), ""), "mm/dd/yyyy")</f>
        <v/>
      </c>
      <c r="B987" t="str">
        <f>IF(ISNUMBER('Change in Employment'!L994),'Change in Employment'!L994, "")</f>
        <v/>
      </c>
      <c r="C987" t="str">
        <f>IFERROR(IF(ISNUMBER('Change in Employment'!M994),TEXT('Change in Employment'!M994, "0"), ""), "")</f>
        <v/>
      </c>
      <c r="D987" s="8" t="str">
        <f>IF(ISNUMBER('Change in Employment'!G994),'Change in Employment'!G994,"")</f>
        <v/>
      </c>
    </row>
    <row r="988" spans="1:4">
      <c r="A988" t="str">
        <f>TEXT(IF('Change in Employment'!B995&lt;&gt;0,DATE(YEAR('Change in Employment'!B995), MONTH('Change in Employment'!B995), 1), ""), "mm/dd/yyyy")</f>
        <v/>
      </c>
      <c r="B988" t="str">
        <f>IF(ISNUMBER('Change in Employment'!L995),'Change in Employment'!L995, "")</f>
        <v/>
      </c>
      <c r="C988" t="str">
        <f>IFERROR(IF(ISNUMBER('Change in Employment'!M995),TEXT('Change in Employment'!M995, "0"), ""), "")</f>
        <v/>
      </c>
      <c r="D988" s="8" t="str">
        <f>IF(ISNUMBER('Change in Employment'!G995),'Change in Employment'!G995,"")</f>
        <v/>
      </c>
    </row>
    <row r="989" spans="1:4">
      <c r="A989" t="str">
        <f>TEXT(IF('Change in Employment'!B996&lt;&gt;0,DATE(YEAR('Change in Employment'!B996), MONTH('Change in Employment'!B996), 1), ""), "mm/dd/yyyy")</f>
        <v/>
      </c>
      <c r="B989" t="str">
        <f>IF(ISNUMBER('Change in Employment'!L996),'Change in Employment'!L996, "")</f>
        <v/>
      </c>
      <c r="C989" t="str">
        <f>IFERROR(IF(ISNUMBER('Change in Employment'!M996),TEXT('Change in Employment'!M996, "0"), ""), "")</f>
        <v/>
      </c>
      <c r="D989" s="8" t="str">
        <f>IF(ISNUMBER('Change in Employment'!G996),'Change in Employment'!G996,"")</f>
        <v/>
      </c>
    </row>
    <row r="990" spans="1:4">
      <c r="A990" t="str">
        <f>TEXT(IF('Change in Employment'!B997&lt;&gt;0,DATE(YEAR('Change in Employment'!B997), MONTH('Change in Employment'!B997), 1), ""), "mm/dd/yyyy")</f>
        <v/>
      </c>
      <c r="B990" t="str">
        <f>IF(ISNUMBER('Change in Employment'!L997),'Change in Employment'!L997, "")</f>
        <v/>
      </c>
      <c r="C990" t="str">
        <f>IFERROR(IF(ISNUMBER('Change in Employment'!M997),TEXT('Change in Employment'!M997, "0"), ""), "")</f>
        <v/>
      </c>
      <c r="D990" s="8" t="str">
        <f>IF(ISNUMBER('Change in Employment'!G997),'Change in Employment'!G997,"")</f>
        <v/>
      </c>
    </row>
    <row r="991" spans="1:4">
      <c r="A991" t="str">
        <f>TEXT(IF('Change in Employment'!B998&lt;&gt;0,DATE(YEAR('Change in Employment'!B998), MONTH('Change in Employment'!B998), 1), ""), "mm/dd/yyyy")</f>
        <v/>
      </c>
      <c r="B991" t="str">
        <f>IF(ISNUMBER('Change in Employment'!L998),'Change in Employment'!L998, "")</f>
        <v/>
      </c>
      <c r="C991" t="str">
        <f>IFERROR(IF(ISNUMBER('Change in Employment'!M998),TEXT('Change in Employment'!M998, "0"), ""), "")</f>
        <v/>
      </c>
      <c r="D991" s="8" t="str">
        <f>IF(ISNUMBER('Change in Employment'!G998),'Change in Employment'!G998,"")</f>
        <v/>
      </c>
    </row>
    <row r="992" spans="1:4">
      <c r="A992" t="str">
        <f>TEXT(IF('Change in Employment'!B999&lt;&gt;0,DATE(YEAR('Change in Employment'!B999), MONTH('Change in Employment'!B999), 1), ""), "mm/dd/yyyy")</f>
        <v/>
      </c>
      <c r="B992" t="str">
        <f>IF(ISNUMBER('Change in Employment'!L999),'Change in Employment'!L999, "")</f>
        <v/>
      </c>
      <c r="C992" t="str">
        <f>IFERROR(IF(ISNUMBER('Change in Employment'!M999),TEXT('Change in Employment'!M999, "0"), ""), "")</f>
        <v/>
      </c>
      <c r="D992" s="8" t="str">
        <f>IF(ISNUMBER('Change in Employment'!G999),'Change in Employment'!G999,"")</f>
        <v/>
      </c>
    </row>
    <row r="993" spans="1:4">
      <c r="A993" t="str">
        <f>TEXT(IF('Change in Employment'!B1000&lt;&gt;0,DATE(YEAR('Change in Employment'!B1000), MONTH('Change in Employment'!B1000), 1), ""), "mm/dd/yyyy")</f>
        <v/>
      </c>
      <c r="B993" t="str">
        <f>IF(ISNUMBER('Change in Employment'!L1000),'Change in Employment'!L1000, "")</f>
        <v/>
      </c>
      <c r="C993" t="str">
        <f>IFERROR(IF(ISNUMBER('Change in Employment'!M1000),TEXT('Change in Employment'!M1000, "0"), ""), "")</f>
        <v/>
      </c>
      <c r="D993" s="8" t="str">
        <f>IF(ISNUMBER('Change in Employment'!G1000),'Change in Employment'!G1000,"")</f>
        <v/>
      </c>
    </row>
    <row r="994" spans="1:4">
      <c r="A994" t="str">
        <f>TEXT(IF('Change in Employment'!B1001&lt;&gt;0,DATE(YEAR('Change in Employment'!B1001), MONTH('Change in Employment'!B1001), 1), ""), "mm/dd/yyyy")</f>
        <v/>
      </c>
      <c r="B994" t="str">
        <f>IF(ISNUMBER('Change in Employment'!L1001),'Change in Employment'!L1001, "")</f>
        <v/>
      </c>
      <c r="C994" t="str">
        <f>IFERROR(IF(ISNUMBER('Change in Employment'!M1001),TEXT('Change in Employment'!M1001, "0"), ""), "")</f>
        <v/>
      </c>
      <c r="D994" s="8" t="str">
        <f>IF(ISNUMBER('Change in Employment'!G1001),'Change in Employment'!G1001,"")</f>
        <v/>
      </c>
    </row>
    <row r="995" spans="1:4">
      <c r="A995" t="str">
        <f>TEXT(IF('Change in Employment'!B1002&lt;&gt;0,DATE(YEAR('Change in Employment'!B1002), MONTH('Change in Employment'!B1002), 1), ""), "mm/dd/yyyy")</f>
        <v/>
      </c>
      <c r="B995" t="str">
        <f>IF(ISNUMBER('Change in Employment'!L1002),'Change in Employment'!L1002, "")</f>
        <v/>
      </c>
      <c r="C995" t="str">
        <f>IFERROR(IF(ISNUMBER('Change in Employment'!M1002),TEXT('Change in Employment'!M1002, "0"), ""), "")</f>
        <v/>
      </c>
      <c r="D995" s="8" t="str">
        <f>IF(ISNUMBER('Change in Employment'!G1002),'Change in Employment'!G1002,"")</f>
        <v/>
      </c>
    </row>
    <row r="996" spans="1:4">
      <c r="A996" t="str">
        <f>TEXT(IF('Change in Employment'!B1003&lt;&gt;0,DATE(YEAR('Change in Employment'!B1003), MONTH('Change in Employment'!B1003), 1), ""), "mm/dd/yyyy")</f>
        <v/>
      </c>
      <c r="B996" t="str">
        <f>IF(ISNUMBER('Change in Employment'!L1003),'Change in Employment'!L1003, "")</f>
        <v/>
      </c>
      <c r="C996" t="str">
        <f>IFERROR(IF(ISNUMBER('Change in Employment'!M1003),TEXT('Change in Employment'!M1003, "0"), ""), "")</f>
        <v/>
      </c>
      <c r="D996" s="8" t="str">
        <f>IF(ISNUMBER('Change in Employment'!G1003),'Change in Employment'!G1003,"")</f>
        <v/>
      </c>
    </row>
    <row r="997" spans="1:4">
      <c r="A997" t="str">
        <f>TEXT(IF('Change in Employment'!B1004&lt;&gt;0,DATE(YEAR('Change in Employment'!B1004), MONTH('Change in Employment'!B1004), 1), ""), "mm/dd/yyyy")</f>
        <v/>
      </c>
      <c r="B997" t="str">
        <f>IF(ISNUMBER('Change in Employment'!L1004),'Change in Employment'!L1004, "")</f>
        <v/>
      </c>
      <c r="C997" t="str">
        <f>IFERROR(IF(ISNUMBER('Change in Employment'!M1004),TEXT('Change in Employment'!M1004, "0"), ""), "")</f>
        <v/>
      </c>
      <c r="D997" s="8" t="str">
        <f>IF(ISNUMBER('Change in Employment'!G1004),'Change in Employment'!G1004,"")</f>
        <v/>
      </c>
    </row>
    <row r="998" spans="1:4">
      <c r="A998" t="str">
        <f>TEXT(IF('Change in Employment'!B1005&lt;&gt;0,DATE(YEAR('Change in Employment'!B1005), MONTH('Change in Employment'!B1005), 1), ""), "mm/dd/yyyy")</f>
        <v/>
      </c>
      <c r="B998" t="str">
        <f>IF(ISNUMBER('Change in Employment'!L1005),'Change in Employment'!L1005, "")</f>
        <v/>
      </c>
      <c r="C998" t="str">
        <f>IFERROR(IF(ISNUMBER('Change in Employment'!M1005),TEXT('Change in Employment'!M1005, "0"), ""), "")</f>
        <v/>
      </c>
      <c r="D998" s="8" t="str">
        <f>IF(ISNUMBER('Change in Employment'!G1005),'Change in Employment'!G1005,"")</f>
        <v/>
      </c>
    </row>
    <row r="999" spans="1:4">
      <c r="A999" t="str">
        <f>TEXT(IF('Change in Employment'!B1006&lt;&gt;0,DATE(YEAR('Change in Employment'!B1006), MONTH('Change in Employment'!B1006), 1), ""), "mm/dd/yyyy")</f>
        <v/>
      </c>
      <c r="B999" t="str">
        <f>IF(ISNUMBER('Change in Employment'!L1006),'Change in Employment'!L1006, "")</f>
        <v/>
      </c>
      <c r="C999" t="str">
        <f>IFERROR(IF(ISNUMBER('Change in Employment'!M1006),TEXT('Change in Employment'!M1006, "0"), ""), "")</f>
        <v/>
      </c>
      <c r="D999" s="8" t="str">
        <f>IF(ISNUMBER('Change in Employment'!G1006),'Change in Employment'!G1006,"")</f>
        <v/>
      </c>
    </row>
    <row r="1000" spans="1:4">
      <c r="A1000" t="str">
        <f>TEXT(IF('Change in Employment'!B1007&lt;&gt;0,DATE(YEAR('Change in Employment'!B1007), MONTH('Change in Employment'!B1007), 1), ""), "mm/dd/yyyy")</f>
        <v/>
      </c>
      <c r="B1000" t="str">
        <f>IF(ISNUMBER('Change in Employment'!L1007),'Change in Employment'!L1007, "")</f>
        <v/>
      </c>
      <c r="C1000" t="str">
        <f>IFERROR(IF(ISNUMBER('Change in Employment'!M1007),TEXT('Change in Employment'!M1007, "0"), ""), "")</f>
        <v/>
      </c>
      <c r="D1000" s="8" t="str">
        <f>IF(ISNUMBER('Change in Employment'!G1007),'Change in Employment'!G1007,"")</f>
        <v/>
      </c>
    </row>
    <row r="1001" spans="1:4">
      <c r="A1001" t="str">
        <f>TEXT(IF('Change in Employment'!B1008&lt;&gt;0,DATE(YEAR('Change in Employment'!B1008), MONTH('Change in Employment'!B1008), 1), ""), "mm/dd/yyyy")</f>
        <v/>
      </c>
      <c r="B1001" t="str">
        <f>IF(ISNUMBER('Change in Employment'!L1008),'Change in Employment'!L1008, "")</f>
        <v/>
      </c>
      <c r="C1001" t="str">
        <f>IFERROR(IF(ISNUMBER('Change in Employment'!M1008),TEXT('Change in Employment'!M1008, "0"), ""), "")</f>
        <v/>
      </c>
      <c r="D1001" s="8" t="str">
        <f>IF(ISNUMBER('Change in Employment'!G1008),'Change in Employment'!G1008,"")</f>
        <v/>
      </c>
    </row>
    <row r="1002" spans="1:4">
      <c r="A1002" t="str">
        <f>TEXT(IF('Change in Employment'!B1009&lt;&gt;0,DATE(YEAR('Change in Employment'!B1009), MONTH('Change in Employment'!B1009), 1), ""), "mm/dd/yyyy")</f>
        <v/>
      </c>
      <c r="B1002" t="str">
        <f>IF(ISNUMBER('Change in Employment'!L1009),'Change in Employment'!L1009, "")</f>
        <v/>
      </c>
      <c r="C1002" t="str">
        <f>IFERROR(IF(ISNUMBER('Change in Employment'!M1009),TEXT('Change in Employment'!M1009, "0"), ""), "")</f>
        <v/>
      </c>
      <c r="D1002" s="8" t="str">
        <f>IF(ISNUMBER('Change in Employment'!G1009),'Change in Employment'!G1009,"")</f>
        <v/>
      </c>
    </row>
    <row r="1003" spans="1:4">
      <c r="A1003" t="str">
        <f>TEXT(IF('Change in Employment'!B1010&lt;&gt;0,DATE(YEAR('Change in Employment'!B1010), MONTH('Change in Employment'!B1010), 1), ""), "mm/dd/yyyy")</f>
        <v/>
      </c>
      <c r="B1003" t="str">
        <f>IF(ISNUMBER('Change in Employment'!L1010),'Change in Employment'!L1010, "")</f>
        <v/>
      </c>
      <c r="C1003" t="str">
        <f>IFERROR(IF(ISNUMBER('Change in Employment'!M1010),TEXT('Change in Employment'!M1010, "0"), ""), "")</f>
        <v/>
      </c>
      <c r="D1003" s="8" t="str">
        <f>IF(ISNUMBER('Change in Employment'!G1010),'Change in Employment'!G1010,"")</f>
        <v/>
      </c>
    </row>
    <row r="1004" spans="1:4">
      <c r="A1004" t="str">
        <f>TEXT(IF('Change in Employment'!B1011&lt;&gt;0,DATE(YEAR('Change in Employment'!B1011), MONTH('Change in Employment'!B1011), 1), ""), "mm/dd/yyyy")</f>
        <v/>
      </c>
      <c r="B1004" t="str">
        <f>IF(ISNUMBER('Change in Employment'!L1011),'Change in Employment'!L1011, "")</f>
        <v/>
      </c>
      <c r="C1004" t="str">
        <f>IFERROR(IF(ISNUMBER('Change in Employment'!M1011),TEXT('Change in Employment'!M1011, "0"), ""), "")</f>
        <v/>
      </c>
      <c r="D1004" s="8" t="str">
        <f>IF(ISNUMBER('Change in Employment'!G1011),'Change in Employment'!G1011,"")</f>
        <v/>
      </c>
    </row>
    <row r="1005" spans="1:4">
      <c r="A1005" t="str">
        <f>TEXT(IF('Change in Employment'!B1012&lt;&gt;0,DATE(YEAR('Change in Employment'!B1012), MONTH('Change in Employment'!B1012), 1), ""), "mm/dd/yyyy")</f>
        <v/>
      </c>
      <c r="B1005" t="str">
        <f>IF(ISNUMBER('Change in Employment'!L1012),'Change in Employment'!L1012, "")</f>
        <v/>
      </c>
      <c r="C1005" t="str">
        <f>IFERROR(IF(ISNUMBER('Change in Employment'!M1012),TEXT('Change in Employment'!M1012, "0"), ""), "")</f>
        <v/>
      </c>
      <c r="D1005" s="8" t="str">
        <f>IF(ISNUMBER('Change in Employment'!G1012),'Change in Employment'!G1012,"")</f>
        <v/>
      </c>
    </row>
    <row r="1006" spans="1:4">
      <c r="A1006" t="str">
        <f>TEXT(IF('Change in Employment'!B1013&lt;&gt;0,DATE(YEAR('Change in Employment'!B1013), MONTH('Change in Employment'!B1013), 1), ""), "mm/dd/yyyy")</f>
        <v/>
      </c>
      <c r="B1006" t="str">
        <f>IF(ISNUMBER('Change in Employment'!L1013),'Change in Employment'!L1013, "")</f>
        <v/>
      </c>
      <c r="C1006" t="str">
        <f>IFERROR(IF(ISNUMBER('Change in Employment'!M1013),TEXT('Change in Employment'!M1013, "0"), ""), "")</f>
        <v/>
      </c>
      <c r="D1006" s="8" t="str">
        <f>IF(ISNUMBER('Change in Employment'!G1013),'Change in Employment'!G1013,"")</f>
        <v/>
      </c>
    </row>
    <row r="1007" spans="1:4">
      <c r="A1007" t="str">
        <f>TEXT(IF('Change in Employment'!B1014&lt;&gt;0,DATE(YEAR('Change in Employment'!B1014), MONTH('Change in Employment'!B1014), 1), ""), "mm/dd/yyyy")</f>
        <v/>
      </c>
      <c r="B1007" t="str">
        <f>IF(ISNUMBER('Change in Employment'!L1014),'Change in Employment'!L1014, "")</f>
        <v/>
      </c>
      <c r="C1007" t="str">
        <f>IFERROR(IF(ISNUMBER('Change in Employment'!M1014),TEXT('Change in Employment'!M1014, "0"), ""), "")</f>
        <v/>
      </c>
      <c r="D1007" s="8" t="str">
        <f>IF(ISNUMBER('Change in Employment'!G1014),'Change in Employment'!G1014,"")</f>
        <v/>
      </c>
    </row>
    <row r="1008" spans="1:4">
      <c r="A1008" t="str">
        <f>TEXT(IF('Change in Employment'!B1015&lt;&gt;0,DATE(YEAR('Change in Employment'!B1015), MONTH('Change in Employment'!B1015), 1), ""), "mm/dd/yyyy")</f>
        <v/>
      </c>
      <c r="B1008" t="str">
        <f>IF(ISNUMBER('Change in Employment'!L1015),'Change in Employment'!L1015, "")</f>
        <v/>
      </c>
      <c r="C1008" t="str">
        <f>IFERROR(IF(ISNUMBER('Change in Employment'!M1015),TEXT('Change in Employment'!M1015, "0"), ""), "")</f>
        <v/>
      </c>
      <c r="D1008" s="8" t="str">
        <f>IF(ISNUMBER('Change in Employment'!G1015),'Change in Employment'!G1015,"")</f>
        <v/>
      </c>
    </row>
    <row r="1009" spans="1:4">
      <c r="A1009" t="str">
        <f>TEXT(IF('Change in Employment'!B1016&lt;&gt;0,DATE(YEAR('Change in Employment'!B1016), MONTH('Change in Employment'!B1016), 1), ""), "mm/dd/yyyy")</f>
        <v/>
      </c>
      <c r="B1009" t="str">
        <f>IF(ISNUMBER('Change in Employment'!L1016),'Change in Employment'!L1016, "")</f>
        <v/>
      </c>
      <c r="C1009" t="str">
        <f>IFERROR(IF(ISNUMBER('Change in Employment'!M1016),TEXT('Change in Employment'!M1016, "0"), ""), "")</f>
        <v/>
      </c>
      <c r="D1009" s="8" t="str">
        <f>IF(ISNUMBER('Change in Employment'!G1016),'Change in Employment'!G1016,"")</f>
        <v/>
      </c>
    </row>
    <row r="1010" spans="1:4">
      <c r="A1010" t="str">
        <f>TEXT(IF('Change in Employment'!B1017&lt;&gt;0,DATE(YEAR('Change in Employment'!B1017), MONTH('Change in Employment'!B1017), 1), ""), "mm/dd/yyyy")</f>
        <v/>
      </c>
      <c r="B1010" t="str">
        <f>IF(ISNUMBER('Change in Employment'!L1017),'Change in Employment'!L1017, "")</f>
        <v/>
      </c>
      <c r="C1010" t="str">
        <f>IFERROR(IF(ISNUMBER('Change in Employment'!M1017),TEXT('Change in Employment'!M1017, "0"), ""), "")</f>
        <v/>
      </c>
      <c r="D1010" s="8" t="str">
        <f>IF(ISNUMBER('Change in Employment'!G1017),'Change in Employment'!G1017,"")</f>
        <v/>
      </c>
    </row>
    <row r="1011" spans="1:4">
      <c r="A1011" t="str">
        <f>TEXT(IF('Change in Employment'!B1018&lt;&gt;0,DATE(YEAR('Change in Employment'!B1018), MONTH('Change in Employment'!B1018), 1), ""), "mm/dd/yyyy")</f>
        <v/>
      </c>
      <c r="B1011" t="str">
        <f>IF(ISNUMBER('Change in Employment'!L1018),'Change in Employment'!L1018, "")</f>
        <v/>
      </c>
      <c r="C1011" t="str">
        <f>IFERROR(IF(ISNUMBER('Change in Employment'!M1018),TEXT('Change in Employment'!M1018, "0"), ""), "")</f>
        <v/>
      </c>
      <c r="D1011" s="8" t="str">
        <f>IF(ISNUMBER('Change in Employment'!G1018),'Change in Employment'!G1018,"")</f>
        <v/>
      </c>
    </row>
    <row r="1012" spans="1:4">
      <c r="A1012" t="str">
        <f>TEXT(IF('Change in Employment'!B1019&lt;&gt;0,DATE(YEAR('Change in Employment'!B1019), MONTH('Change in Employment'!B1019), 1), ""), "mm/dd/yyyy")</f>
        <v/>
      </c>
      <c r="B1012" t="str">
        <f>IF(ISNUMBER('Change in Employment'!L1019),'Change in Employment'!L1019, "")</f>
        <v/>
      </c>
      <c r="C1012" t="str">
        <f>IFERROR(IF(ISNUMBER('Change in Employment'!M1019),TEXT('Change in Employment'!M1019, "0"), ""), "")</f>
        <v/>
      </c>
      <c r="D1012" s="8" t="str">
        <f>IF(ISNUMBER('Change in Employment'!G1019),'Change in Employment'!G1019,"")</f>
        <v/>
      </c>
    </row>
    <row r="1013" spans="1:4">
      <c r="A1013" t="str">
        <f>TEXT(IF('Change in Employment'!B1020&lt;&gt;0,DATE(YEAR('Change in Employment'!B1020), MONTH('Change in Employment'!B1020), 1), ""), "mm/dd/yyyy")</f>
        <v/>
      </c>
      <c r="B1013" t="str">
        <f>IF(ISNUMBER('Change in Employment'!L1020),'Change in Employment'!L1020, "")</f>
        <v/>
      </c>
      <c r="C1013" t="str">
        <f>IFERROR(IF(ISNUMBER('Change in Employment'!M1020),TEXT('Change in Employment'!M1020, "0"), ""), "")</f>
        <v/>
      </c>
      <c r="D1013" s="8" t="str">
        <f>IF(ISNUMBER('Change in Employment'!G1020),'Change in Employment'!G1020,"")</f>
        <v/>
      </c>
    </row>
    <row r="1014" spans="1:4">
      <c r="A1014" t="str">
        <f>TEXT(IF('Change in Employment'!B1021&lt;&gt;0,DATE(YEAR('Change in Employment'!B1021), MONTH('Change in Employment'!B1021), 1), ""), "mm/dd/yyyy")</f>
        <v/>
      </c>
      <c r="B1014" t="str">
        <f>IF(ISNUMBER('Change in Employment'!L1021),'Change in Employment'!L1021, "")</f>
        <v/>
      </c>
      <c r="C1014" t="str">
        <f>IFERROR(IF(ISNUMBER('Change in Employment'!M1021),TEXT('Change in Employment'!M1021, "0"), ""), "")</f>
        <v/>
      </c>
      <c r="D1014" s="8" t="str">
        <f>IF(ISNUMBER('Change in Employment'!G1021),'Change in Employment'!G1021,"")</f>
        <v/>
      </c>
    </row>
    <row r="1015" spans="1:4">
      <c r="A1015" t="str">
        <f>TEXT(IF('Change in Employment'!B1022&lt;&gt;0,DATE(YEAR('Change in Employment'!B1022), MONTH('Change in Employment'!B1022), 1), ""), "mm/dd/yyyy")</f>
        <v/>
      </c>
      <c r="B1015" t="str">
        <f>IF(ISNUMBER('Change in Employment'!L1022),'Change in Employment'!L1022, "")</f>
        <v/>
      </c>
      <c r="C1015" t="str">
        <f>IFERROR(IF(ISNUMBER('Change in Employment'!M1022),TEXT('Change in Employment'!M1022, "0"), ""), "")</f>
        <v/>
      </c>
      <c r="D1015" s="8" t="str">
        <f>IF(ISNUMBER('Change in Employment'!G1022),'Change in Employment'!G1022,"")</f>
        <v/>
      </c>
    </row>
    <row r="1016" spans="1:4">
      <c r="A1016" t="str">
        <f>TEXT(IF('Change in Employment'!B1023&lt;&gt;0,DATE(YEAR('Change in Employment'!B1023), MONTH('Change in Employment'!B1023), 1), ""), "mm/dd/yyyy")</f>
        <v/>
      </c>
      <c r="B1016" t="str">
        <f>IF(ISNUMBER('Change in Employment'!L1023),'Change in Employment'!L1023, "")</f>
        <v/>
      </c>
      <c r="C1016" t="str">
        <f>IFERROR(IF(ISNUMBER('Change in Employment'!M1023),TEXT('Change in Employment'!M1023, "0"), ""), "")</f>
        <v/>
      </c>
      <c r="D1016" s="8" t="str">
        <f>IF(ISNUMBER('Change in Employment'!G1023),'Change in Employment'!G1023,"")</f>
        <v/>
      </c>
    </row>
    <row r="1017" spans="1:4">
      <c r="A1017" t="str">
        <f>TEXT(IF('Change in Employment'!B1024&lt;&gt;0,DATE(YEAR('Change in Employment'!B1024), MONTH('Change in Employment'!B1024), 1), ""), "mm/dd/yyyy")</f>
        <v/>
      </c>
      <c r="B1017" t="str">
        <f>IF(ISNUMBER('Change in Employment'!L1024),'Change in Employment'!L1024, "")</f>
        <v/>
      </c>
      <c r="C1017" t="str">
        <f>IFERROR(IF(ISNUMBER('Change in Employment'!M1024),TEXT('Change in Employment'!M1024, "0"), ""), "")</f>
        <v/>
      </c>
      <c r="D1017" s="8" t="str">
        <f>IF(ISNUMBER('Change in Employment'!G1024),'Change in Employment'!G1024,"")</f>
        <v/>
      </c>
    </row>
    <row r="1018" spans="1:4">
      <c r="A1018" t="str">
        <f>TEXT(IF('Change in Employment'!B1025&lt;&gt;0,DATE(YEAR('Change in Employment'!B1025), MONTH('Change in Employment'!B1025), 1), ""), "mm/dd/yyyy")</f>
        <v/>
      </c>
      <c r="B1018" t="str">
        <f>IF(ISNUMBER('Change in Employment'!L1025),'Change in Employment'!L1025, "")</f>
        <v/>
      </c>
      <c r="C1018" t="str">
        <f>IFERROR(IF(ISNUMBER('Change in Employment'!M1025),TEXT('Change in Employment'!M1025, "0"), ""), "")</f>
        <v/>
      </c>
      <c r="D1018" s="8" t="str">
        <f>IF(ISNUMBER('Change in Employment'!G1025),'Change in Employment'!G1025,"")</f>
        <v/>
      </c>
    </row>
    <row r="1019" spans="1:4">
      <c r="A1019" t="str">
        <f>TEXT(IF('Change in Employment'!B1026&lt;&gt;0,DATE(YEAR('Change in Employment'!B1026), MONTH('Change in Employment'!B1026), 1), ""), "mm/dd/yyyy")</f>
        <v/>
      </c>
      <c r="B1019" t="str">
        <f>IF(ISNUMBER('Change in Employment'!L1026),'Change in Employment'!L1026, "")</f>
        <v/>
      </c>
      <c r="C1019" t="str">
        <f>IFERROR(IF(ISNUMBER('Change in Employment'!M1026),TEXT('Change in Employment'!M1026, "0"), ""), "")</f>
        <v/>
      </c>
      <c r="D1019" s="8" t="str">
        <f>IF(ISNUMBER('Change in Employment'!G1026),'Change in Employment'!G1026,"")</f>
        <v/>
      </c>
    </row>
    <row r="1020" spans="1:4">
      <c r="A1020" t="str">
        <f>TEXT(IF('Change in Employment'!B1027&lt;&gt;0,DATE(YEAR('Change in Employment'!B1027), MONTH('Change in Employment'!B1027), 1), ""), "mm/dd/yyyy")</f>
        <v/>
      </c>
      <c r="B1020" t="str">
        <f>IF(ISNUMBER('Change in Employment'!L1027),'Change in Employment'!L1027, "")</f>
        <v/>
      </c>
      <c r="C1020" t="str">
        <f>IFERROR(IF(ISNUMBER('Change in Employment'!M1027),TEXT('Change in Employment'!M1027, "0"), ""), "")</f>
        <v/>
      </c>
      <c r="D1020" s="8" t="str">
        <f>IF(ISNUMBER('Change in Employment'!G1027),'Change in Employment'!G1027,"")</f>
        <v/>
      </c>
    </row>
    <row r="1021" spans="1:4">
      <c r="A1021" t="str">
        <f>TEXT(IF('Change in Employment'!B1028&lt;&gt;0,DATE(YEAR('Change in Employment'!B1028), MONTH('Change in Employment'!B1028), 1), ""), "mm/dd/yyyy")</f>
        <v/>
      </c>
      <c r="B1021" t="str">
        <f>IF(ISNUMBER('Change in Employment'!L1028),'Change in Employment'!L1028, "")</f>
        <v/>
      </c>
      <c r="C1021" t="str">
        <f>IFERROR(IF(ISNUMBER('Change in Employment'!M1028),TEXT('Change in Employment'!M1028, "0"), ""), "")</f>
        <v/>
      </c>
      <c r="D1021" s="8" t="str">
        <f>IF(ISNUMBER('Change in Employment'!G1028),'Change in Employment'!G1028,"")</f>
        <v/>
      </c>
    </row>
    <row r="1022" spans="1:4">
      <c r="A1022" t="str">
        <f>TEXT(IF('Change in Employment'!B1029&lt;&gt;0,DATE(YEAR('Change in Employment'!B1029), MONTH('Change in Employment'!B1029), 1), ""), "mm/dd/yyyy")</f>
        <v/>
      </c>
      <c r="B1022" t="str">
        <f>IF(ISNUMBER('Change in Employment'!L1029),'Change in Employment'!L1029, "")</f>
        <v/>
      </c>
      <c r="C1022" t="str">
        <f>IFERROR(IF(ISNUMBER('Change in Employment'!M1029),TEXT('Change in Employment'!M1029, "0"), ""), "")</f>
        <v/>
      </c>
      <c r="D1022" s="8" t="str">
        <f>IF(ISNUMBER('Change in Employment'!G1029),'Change in Employment'!G1029,"")</f>
        <v/>
      </c>
    </row>
    <row r="1023" spans="1:4">
      <c r="A1023" t="str">
        <f>TEXT(IF('Change in Employment'!B1030&lt;&gt;0,DATE(YEAR('Change in Employment'!B1030), MONTH('Change in Employment'!B1030), 1), ""), "mm/dd/yyyy")</f>
        <v/>
      </c>
      <c r="B1023" t="str">
        <f>IF(ISNUMBER('Change in Employment'!L1030),'Change in Employment'!L1030, "")</f>
        <v/>
      </c>
      <c r="C1023" t="str">
        <f>IFERROR(IF(ISNUMBER('Change in Employment'!M1030),TEXT('Change in Employment'!M1030, "0"), ""), "")</f>
        <v/>
      </c>
      <c r="D1023" s="8" t="str">
        <f>IF(ISNUMBER('Change in Employment'!G1030),'Change in Employment'!G1030,"")</f>
        <v/>
      </c>
    </row>
    <row r="1024" spans="1:4">
      <c r="A1024" t="str">
        <f>TEXT(IF('Change in Employment'!B1031&lt;&gt;0,DATE(YEAR('Change in Employment'!B1031), MONTH('Change in Employment'!B1031), 1), ""), "mm/dd/yyyy")</f>
        <v/>
      </c>
      <c r="B1024" t="str">
        <f>IF(ISNUMBER('Change in Employment'!L1031),'Change in Employment'!L1031, "")</f>
        <v/>
      </c>
      <c r="C1024" t="str">
        <f>IFERROR(IF(ISNUMBER('Change in Employment'!M1031),TEXT('Change in Employment'!M1031, "0"), ""), "")</f>
        <v/>
      </c>
      <c r="D1024" s="8" t="str">
        <f>IF(ISNUMBER('Change in Employment'!G1031),'Change in Employment'!G1031,"")</f>
        <v/>
      </c>
    </row>
    <row r="1025" spans="1:4">
      <c r="A1025" t="str">
        <f>TEXT(IF('Change in Employment'!B1032&lt;&gt;0,DATE(YEAR('Change in Employment'!B1032), MONTH('Change in Employment'!B1032), 1), ""), "mm/dd/yyyy")</f>
        <v/>
      </c>
      <c r="B1025" t="str">
        <f>IF(ISNUMBER('Change in Employment'!L1032),'Change in Employment'!L1032, "")</f>
        <v/>
      </c>
      <c r="C1025" t="str">
        <f>IFERROR(IF(ISNUMBER('Change in Employment'!M1032),TEXT('Change in Employment'!M1032, "0"), ""), "")</f>
        <v/>
      </c>
      <c r="D1025" s="8" t="str">
        <f>IF(ISNUMBER('Change in Employment'!G1032),'Change in Employment'!G1032,"")</f>
        <v/>
      </c>
    </row>
    <row r="1026" spans="1:4">
      <c r="A1026" t="str">
        <f>TEXT(IF('Change in Employment'!B1033&lt;&gt;0,DATE(YEAR('Change in Employment'!B1033), MONTH('Change in Employment'!B1033), 1), ""), "mm/dd/yyyy")</f>
        <v/>
      </c>
      <c r="B1026" t="str">
        <f>IF(ISNUMBER('Change in Employment'!L1033),'Change in Employment'!L1033, "")</f>
        <v/>
      </c>
      <c r="C1026" t="str">
        <f>IFERROR(IF(ISNUMBER('Change in Employment'!M1033),TEXT('Change in Employment'!M1033, "0"), ""), "")</f>
        <v/>
      </c>
      <c r="D1026" s="8" t="str">
        <f>IF(ISNUMBER('Change in Employment'!G1033),'Change in Employment'!G1033,"")</f>
        <v/>
      </c>
    </row>
    <row r="1027" spans="1:4">
      <c r="A1027" t="str">
        <f>TEXT(IF('Change in Employment'!B1034&lt;&gt;0,DATE(YEAR('Change in Employment'!B1034), MONTH('Change in Employment'!B1034), 1), ""), "mm/dd/yyyy")</f>
        <v/>
      </c>
      <c r="B1027" t="str">
        <f>IF(ISNUMBER('Change in Employment'!L1034),'Change in Employment'!L1034, "")</f>
        <v/>
      </c>
      <c r="C1027" t="str">
        <f>IFERROR(IF(ISNUMBER('Change in Employment'!M1034),TEXT('Change in Employment'!M1034, "0"), ""), "")</f>
        <v/>
      </c>
      <c r="D1027" s="8" t="str">
        <f>IF(ISNUMBER('Change in Employment'!G1034),'Change in Employment'!G1034,"")</f>
        <v/>
      </c>
    </row>
    <row r="1028" spans="1:4">
      <c r="A1028" t="str">
        <f>TEXT(IF('Change in Employment'!B1035&lt;&gt;0,DATE(YEAR('Change in Employment'!B1035), MONTH('Change in Employment'!B1035), 1), ""), "mm/dd/yyyy")</f>
        <v/>
      </c>
      <c r="B1028" t="str">
        <f>IF(ISNUMBER('Change in Employment'!L1035),'Change in Employment'!L1035, "")</f>
        <v/>
      </c>
      <c r="C1028" t="str">
        <f>IFERROR(IF(ISNUMBER('Change in Employment'!M1035),TEXT('Change in Employment'!M1035, "0"), ""), "")</f>
        <v/>
      </c>
      <c r="D1028" s="8" t="str">
        <f>IF(ISNUMBER('Change in Employment'!G1035),'Change in Employment'!G1035,"")</f>
        <v/>
      </c>
    </row>
    <row r="1029" spans="1:4">
      <c r="A1029" t="str">
        <f>TEXT(IF('Change in Employment'!B1036&lt;&gt;0,DATE(YEAR('Change in Employment'!B1036), MONTH('Change in Employment'!B1036), 1), ""), "mm/dd/yyyy")</f>
        <v/>
      </c>
      <c r="B1029" t="str">
        <f>IF(ISNUMBER('Change in Employment'!L1036),'Change in Employment'!L1036, "")</f>
        <v/>
      </c>
      <c r="C1029" t="str">
        <f>IFERROR(IF(ISNUMBER('Change in Employment'!M1036),TEXT('Change in Employment'!M1036, "0"), ""), "")</f>
        <v/>
      </c>
      <c r="D1029" s="8" t="str">
        <f>IF(ISNUMBER('Change in Employment'!G1036),'Change in Employment'!G1036,"")</f>
        <v/>
      </c>
    </row>
    <row r="1030" spans="1:4">
      <c r="A1030" t="str">
        <f>TEXT(IF('Change in Employment'!B1037&lt;&gt;0,DATE(YEAR('Change in Employment'!B1037), MONTH('Change in Employment'!B1037), 1), ""), "mm/dd/yyyy")</f>
        <v/>
      </c>
      <c r="B1030" t="str">
        <f>IF(ISNUMBER('Change in Employment'!L1037),'Change in Employment'!L1037, "")</f>
        <v/>
      </c>
      <c r="C1030" t="str">
        <f>IFERROR(IF(ISNUMBER('Change in Employment'!M1037),TEXT('Change in Employment'!M1037, "0"), ""), "")</f>
        <v/>
      </c>
      <c r="D1030" s="8" t="str">
        <f>IF(ISNUMBER('Change in Employment'!G1037),'Change in Employment'!G1037,"")</f>
        <v/>
      </c>
    </row>
    <row r="1031" spans="1:4">
      <c r="A1031" t="str">
        <f>TEXT(IF('Change in Employment'!B1038&lt;&gt;0,DATE(YEAR('Change in Employment'!B1038), MONTH('Change in Employment'!B1038), 1), ""), "mm/dd/yyyy")</f>
        <v/>
      </c>
      <c r="B1031" t="str">
        <f>IF(ISNUMBER('Change in Employment'!L1038),'Change in Employment'!L1038, "")</f>
        <v/>
      </c>
      <c r="C1031" t="str">
        <f>IFERROR(IF(ISNUMBER('Change in Employment'!M1038),TEXT('Change in Employment'!M1038, "0"), ""), "")</f>
        <v/>
      </c>
      <c r="D1031" s="8" t="str">
        <f>IF(ISNUMBER('Change in Employment'!G1038),'Change in Employment'!G1038,"")</f>
        <v/>
      </c>
    </row>
    <row r="1032" spans="1:4">
      <c r="A1032" t="str">
        <f>TEXT(IF('Change in Employment'!B1039&lt;&gt;0,DATE(YEAR('Change in Employment'!B1039), MONTH('Change in Employment'!B1039), 1), ""), "mm/dd/yyyy")</f>
        <v/>
      </c>
      <c r="B1032" t="str">
        <f>IF(ISNUMBER('Change in Employment'!L1039),'Change in Employment'!L1039, "")</f>
        <v/>
      </c>
      <c r="C1032" t="str">
        <f>IFERROR(IF(ISNUMBER('Change in Employment'!M1039),TEXT('Change in Employment'!M1039, "0"), ""), "")</f>
        <v/>
      </c>
      <c r="D1032" s="8" t="str">
        <f>IF(ISNUMBER('Change in Employment'!G1039),'Change in Employment'!G1039,"")</f>
        <v/>
      </c>
    </row>
    <row r="1033" spans="1:4">
      <c r="A1033" t="str">
        <f>TEXT(IF('Change in Employment'!B1040&lt;&gt;0,DATE(YEAR('Change in Employment'!B1040), MONTH('Change in Employment'!B1040), 1), ""), "mm/dd/yyyy")</f>
        <v/>
      </c>
      <c r="B1033" t="str">
        <f>IF(ISNUMBER('Change in Employment'!L1040),'Change in Employment'!L1040, "")</f>
        <v/>
      </c>
      <c r="C1033" t="str">
        <f>IFERROR(IF(ISNUMBER('Change in Employment'!M1040),TEXT('Change in Employment'!M1040, "0"), ""), "")</f>
        <v/>
      </c>
      <c r="D1033" s="8" t="str">
        <f>IF(ISNUMBER('Change in Employment'!G1040),'Change in Employment'!G1040,"")</f>
        <v/>
      </c>
    </row>
    <row r="1034" spans="1:4">
      <c r="A1034" t="str">
        <f>TEXT(IF('Change in Employment'!B1041&lt;&gt;0,DATE(YEAR('Change in Employment'!B1041), MONTH('Change in Employment'!B1041), 1), ""), "mm/dd/yyyy")</f>
        <v/>
      </c>
      <c r="B1034" t="str">
        <f>IF(ISNUMBER('Change in Employment'!L1041),'Change in Employment'!L1041, "")</f>
        <v/>
      </c>
      <c r="C1034" t="str">
        <f>IFERROR(IF(ISNUMBER('Change in Employment'!M1041),TEXT('Change in Employment'!M1041, "0"), ""), "")</f>
        <v/>
      </c>
      <c r="D1034" s="8" t="str">
        <f>IF(ISNUMBER('Change in Employment'!G1041),'Change in Employment'!G1041,"")</f>
        <v/>
      </c>
    </row>
    <row r="1035" spans="1:4">
      <c r="A1035" t="str">
        <f>TEXT(IF('Change in Employment'!B1042&lt;&gt;0,DATE(YEAR('Change in Employment'!B1042), MONTH('Change in Employment'!B1042), 1), ""), "mm/dd/yyyy")</f>
        <v/>
      </c>
      <c r="B1035" t="str">
        <f>IF(ISNUMBER('Change in Employment'!L1042),'Change in Employment'!L1042, "")</f>
        <v/>
      </c>
      <c r="C1035" t="str">
        <f>IFERROR(IF(ISNUMBER('Change in Employment'!M1042),TEXT('Change in Employment'!M1042, "0"), ""), "")</f>
        <v/>
      </c>
      <c r="D1035" s="8" t="str">
        <f>IF(ISNUMBER('Change in Employment'!G1042),'Change in Employment'!G1042,"")</f>
        <v/>
      </c>
    </row>
    <row r="1036" spans="1:4">
      <c r="A1036" t="str">
        <f>TEXT(IF('Change in Employment'!B1043&lt;&gt;0,DATE(YEAR('Change in Employment'!B1043), MONTH('Change in Employment'!B1043), 1), ""), "mm/dd/yyyy")</f>
        <v/>
      </c>
      <c r="B1036" t="str">
        <f>IF(ISNUMBER('Change in Employment'!L1043),'Change in Employment'!L1043, "")</f>
        <v/>
      </c>
      <c r="C1036" t="str">
        <f>IFERROR(IF(ISNUMBER('Change in Employment'!M1043),TEXT('Change in Employment'!M1043, "0"), ""), "")</f>
        <v/>
      </c>
      <c r="D1036" s="8" t="str">
        <f>IF(ISNUMBER('Change in Employment'!G1043),'Change in Employment'!G1043,"")</f>
        <v/>
      </c>
    </row>
    <row r="1037" spans="1:4">
      <c r="A1037" t="str">
        <f>TEXT(IF('Change in Employment'!B1044&lt;&gt;0,DATE(YEAR('Change in Employment'!B1044), MONTH('Change in Employment'!B1044), 1), ""), "mm/dd/yyyy")</f>
        <v/>
      </c>
      <c r="B1037" t="str">
        <f>IF(ISNUMBER('Change in Employment'!L1044),'Change in Employment'!L1044, "")</f>
        <v/>
      </c>
      <c r="C1037" t="str">
        <f>IFERROR(IF(ISNUMBER('Change in Employment'!M1044),TEXT('Change in Employment'!M1044, "0"), ""), "")</f>
        <v/>
      </c>
      <c r="D1037" s="8" t="str">
        <f>IF(ISNUMBER('Change in Employment'!G1044),'Change in Employment'!G1044,"")</f>
        <v/>
      </c>
    </row>
    <row r="1038" spans="1:4">
      <c r="A1038" t="str">
        <f>TEXT(IF('Change in Employment'!B1045&lt;&gt;0,DATE(YEAR('Change in Employment'!B1045), MONTH('Change in Employment'!B1045), 1), ""), "mm/dd/yyyy")</f>
        <v/>
      </c>
      <c r="B1038" t="str">
        <f>IF(ISNUMBER('Change in Employment'!L1045),'Change in Employment'!L1045, "")</f>
        <v/>
      </c>
      <c r="C1038" t="str">
        <f>IFERROR(IF(ISNUMBER('Change in Employment'!M1045),TEXT('Change in Employment'!M1045, "0"), ""), "")</f>
        <v/>
      </c>
      <c r="D1038" s="8" t="str">
        <f>IF(ISNUMBER('Change in Employment'!G1045),'Change in Employment'!G1045,"")</f>
        <v/>
      </c>
    </row>
    <row r="1039" spans="1:4">
      <c r="A1039" t="str">
        <f>TEXT(IF('Change in Employment'!B1046&lt;&gt;0,DATE(YEAR('Change in Employment'!B1046), MONTH('Change in Employment'!B1046), 1), ""), "mm/dd/yyyy")</f>
        <v/>
      </c>
      <c r="B1039" t="str">
        <f>IF(ISNUMBER('Change in Employment'!L1046),'Change in Employment'!L1046, "")</f>
        <v/>
      </c>
      <c r="C1039" t="str">
        <f>IFERROR(IF(ISNUMBER('Change in Employment'!M1046),TEXT('Change in Employment'!M1046, "0"), ""), "")</f>
        <v/>
      </c>
      <c r="D1039" s="8" t="str">
        <f>IF(ISNUMBER('Change in Employment'!G1046),'Change in Employment'!G1046,"")</f>
        <v/>
      </c>
    </row>
    <row r="1040" spans="1:4">
      <c r="A1040" t="str">
        <f>TEXT(IF('Change in Employment'!B1047&lt;&gt;0,DATE(YEAR('Change in Employment'!B1047), MONTH('Change in Employment'!B1047), 1), ""), "mm/dd/yyyy")</f>
        <v/>
      </c>
      <c r="B1040" t="str">
        <f>IF(ISNUMBER('Change in Employment'!L1047),'Change in Employment'!L1047, "")</f>
        <v/>
      </c>
      <c r="C1040" t="str">
        <f>IFERROR(IF(ISNUMBER('Change in Employment'!M1047),TEXT('Change in Employment'!M1047, "0"), ""), "")</f>
        <v/>
      </c>
      <c r="D1040" s="8" t="str">
        <f>IF(ISNUMBER('Change in Employment'!G1047),'Change in Employment'!G1047,"")</f>
        <v/>
      </c>
    </row>
    <row r="1041" spans="1:4">
      <c r="A1041" t="str">
        <f>TEXT(IF('Change in Employment'!B1048&lt;&gt;0,DATE(YEAR('Change in Employment'!B1048), MONTH('Change in Employment'!B1048), 1), ""), "mm/dd/yyyy")</f>
        <v/>
      </c>
      <c r="B1041" t="str">
        <f>IF(ISNUMBER('Change in Employment'!L1048),'Change in Employment'!L1048, "")</f>
        <v/>
      </c>
      <c r="C1041" t="str">
        <f>IFERROR(IF(ISNUMBER('Change in Employment'!M1048),TEXT('Change in Employment'!M1048, "0"), ""), "")</f>
        <v/>
      </c>
      <c r="D1041" s="8" t="str">
        <f>IF(ISNUMBER('Change in Employment'!G1048),'Change in Employment'!G1048,"")</f>
        <v/>
      </c>
    </row>
    <row r="1042" spans="1:4">
      <c r="A1042" t="str">
        <f>TEXT(IF('Change in Employment'!B1049&lt;&gt;0,DATE(YEAR('Change in Employment'!B1049), MONTH('Change in Employment'!B1049), 1), ""), "mm/dd/yyyy")</f>
        <v/>
      </c>
      <c r="B1042" t="str">
        <f>IF(ISNUMBER('Change in Employment'!L1049),'Change in Employment'!L1049, "")</f>
        <v/>
      </c>
      <c r="C1042" t="str">
        <f>IFERROR(IF(ISNUMBER('Change in Employment'!M1049),TEXT('Change in Employment'!M1049, "0"), ""), "")</f>
        <v/>
      </c>
      <c r="D1042" s="8" t="str">
        <f>IF(ISNUMBER('Change in Employment'!G1049),'Change in Employment'!G1049,"")</f>
        <v/>
      </c>
    </row>
    <row r="1043" spans="1:4">
      <c r="A1043" t="str">
        <f>TEXT(IF('Change in Employment'!B1050&lt;&gt;0,DATE(YEAR('Change in Employment'!B1050), MONTH('Change in Employment'!B1050), 1), ""), "mm/dd/yyyy")</f>
        <v/>
      </c>
      <c r="B1043" t="str">
        <f>IF(ISNUMBER('Change in Employment'!L1050),'Change in Employment'!L1050, "")</f>
        <v/>
      </c>
      <c r="C1043" t="str">
        <f>IFERROR(IF(ISNUMBER('Change in Employment'!M1050),TEXT('Change in Employment'!M1050, "0"), ""), "")</f>
        <v/>
      </c>
      <c r="D1043" s="8" t="str">
        <f>IF(ISNUMBER('Change in Employment'!G1050),'Change in Employment'!G1050,"")</f>
        <v/>
      </c>
    </row>
    <row r="1044" spans="1:4">
      <c r="A1044" t="str">
        <f>TEXT(IF('Change in Employment'!B1051&lt;&gt;0,DATE(YEAR('Change in Employment'!B1051), MONTH('Change in Employment'!B1051), 1), ""), "mm/dd/yyyy")</f>
        <v/>
      </c>
      <c r="B1044" t="str">
        <f>IF(ISNUMBER('Change in Employment'!L1051),'Change in Employment'!L1051, "")</f>
        <v/>
      </c>
      <c r="C1044" t="str">
        <f>IFERROR(IF(ISNUMBER('Change in Employment'!M1051),TEXT('Change in Employment'!M1051, "0"), ""), "")</f>
        <v/>
      </c>
      <c r="D1044" s="8" t="str">
        <f>IF(ISNUMBER('Change in Employment'!G1051),'Change in Employment'!G1051,"")</f>
        <v/>
      </c>
    </row>
    <row r="1045" spans="1:4">
      <c r="A1045" t="str">
        <f>TEXT(IF('Change in Employment'!B1052&lt;&gt;0,DATE(YEAR('Change in Employment'!B1052), MONTH('Change in Employment'!B1052), 1), ""), "mm/dd/yyyy")</f>
        <v/>
      </c>
      <c r="B1045" t="str">
        <f>IF(ISNUMBER('Change in Employment'!L1052),'Change in Employment'!L1052, "")</f>
        <v/>
      </c>
      <c r="C1045" t="str">
        <f>IFERROR(IF(ISNUMBER('Change in Employment'!M1052),TEXT('Change in Employment'!M1052, "0"), ""), "")</f>
        <v/>
      </c>
      <c r="D1045" s="8" t="str">
        <f>IF(ISNUMBER('Change in Employment'!G1052),'Change in Employment'!G1052,"")</f>
        <v/>
      </c>
    </row>
    <row r="1046" spans="1:4">
      <c r="A1046" t="str">
        <f>TEXT(IF('Change in Employment'!B1053&lt;&gt;0,DATE(YEAR('Change in Employment'!B1053), MONTH('Change in Employment'!B1053), 1), ""), "mm/dd/yyyy")</f>
        <v/>
      </c>
      <c r="B1046" t="str">
        <f>IF(ISNUMBER('Change in Employment'!L1053),'Change in Employment'!L1053, "")</f>
        <v/>
      </c>
      <c r="C1046" t="str">
        <f>IFERROR(IF(ISNUMBER('Change in Employment'!M1053),TEXT('Change in Employment'!M1053, "0"), ""), "")</f>
        <v/>
      </c>
      <c r="D1046" s="8" t="str">
        <f>IF(ISNUMBER('Change in Employment'!G1053),'Change in Employment'!G1053,"")</f>
        <v/>
      </c>
    </row>
    <row r="1047" spans="1:4">
      <c r="A1047" t="str">
        <f>TEXT(IF('Change in Employment'!B1054&lt;&gt;0,DATE(YEAR('Change in Employment'!B1054), MONTH('Change in Employment'!B1054), 1), ""), "mm/dd/yyyy")</f>
        <v/>
      </c>
      <c r="B1047" t="str">
        <f>IF(ISNUMBER('Change in Employment'!L1054),'Change in Employment'!L1054, "")</f>
        <v/>
      </c>
      <c r="C1047" t="str">
        <f>IFERROR(IF(ISNUMBER('Change in Employment'!M1054),TEXT('Change in Employment'!M1054, "0"), ""), "")</f>
        <v/>
      </c>
      <c r="D1047" s="8" t="str">
        <f>IF(ISNUMBER('Change in Employment'!G1054),'Change in Employment'!G1054,"")</f>
        <v/>
      </c>
    </row>
    <row r="1048" spans="1:4">
      <c r="A1048" t="str">
        <f>TEXT(IF('Change in Employment'!B1055&lt;&gt;0,DATE(YEAR('Change in Employment'!B1055), MONTH('Change in Employment'!B1055), 1), ""), "mm/dd/yyyy")</f>
        <v/>
      </c>
      <c r="B1048" t="str">
        <f>IF(ISNUMBER('Change in Employment'!L1055),'Change in Employment'!L1055, "")</f>
        <v/>
      </c>
      <c r="C1048" t="str">
        <f>IFERROR(IF(ISNUMBER('Change in Employment'!M1055),TEXT('Change in Employment'!M1055, "0"), ""), "")</f>
        <v/>
      </c>
      <c r="D1048" s="8" t="str">
        <f>IF(ISNUMBER('Change in Employment'!G1055),'Change in Employment'!G1055,"")</f>
        <v/>
      </c>
    </row>
    <row r="1049" spans="1:4">
      <c r="A1049" t="str">
        <f>TEXT(IF('Change in Employment'!B1056&lt;&gt;0,DATE(YEAR('Change in Employment'!B1056), MONTH('Change in Employment'!B1056), 1), ""), "mm/dd/yyyy")</f>
        <v/>
      </c>
      <c r="B1049" t="str">
        <f>IF(ISNUMBER('Change in Employment'!L1056),'Change in Employment'!L1056, "")</f>
        <v/>
      </c>
      <c r="C1049" t="str">
        <f>IFERROR(IF(ISNUMBER('Change in Employment'!M1056),TEXT('Change in Employment'!M1056, "0"), ""), "")</f>
        <v/>
      </c>
      <c r="D1049" s="8" t="str">
        <f>IF(ISNUMBER('Change in Employment'!G1056),'Change in Employment'!G1056,"")</f>
        <v/>
      </c>
    </row>
    <row r="1050" spans="1:4">
      <c r="A1050" t="str">
        <f>TEXT(IF('Change in Employment'!B1057&lt;&gt;0,DATE(YEAR('Change in Employment'!B1057), MONTH('Change in Employment'!B1057), 1), ""), "mm/dd/yyyy")</f>
        <v/>
      </c>
      <c r="B1050" t="str">
        <f>IF(ISNUMBER('Change in Employment'!L1057),'Change in Employment'!L1057, "")</f>
        <v/>
      </c>
      <c r="C1050" t="str">
        <f>IFERROR(IF(ISNUMBER('Change in Employment'!M1057),TEXT('Change in Employment'!M1057, "0"), ""), "")</f>
        <v/>
      </c>
      <c r="D1050" s="8" t="str">
        <f>IF(ISNUMBER('Change in Employment'!G1057),'Change in Employment'!G1057,"")</f>
        <v/>
      </c>
    </row>
    <row r="1051" spans="1:4">
      <c r="A1051" t="str">
        <f>TEXT(IF('Change in Employment'!B1058&lt;&gt;0,DATE(YEAR('Change in Employment'!B1058), MONTH('Change in Employment'!B1058), 1), ""), "mm/dd/yyyy")</f>
        <v/>
      </c>
      <c r="B1051" t="str">
        <f>IF(ISNUMBER('Change in Employment'!L1058),'Change in Employment'!L1058, "")</f>
        <v/>
      </c>
      <c r="C1051" t="str">
        <f>IFERROR(IF(ISNUMBER('Change in Employment'!M1058),TEXT('Change in Employment'!M1058, "0"), ""), "")</f>
        <v/>
      </c>
      <c r="D1051" s="8" t="str">
        <f>IF(ISNUMBER('Change in Employment'!G1058),'Change in Employment'!G1058,"")</f>
        <v/>
      </c>
    </row>
    <row r="1052" spans="1:4">
      <c r="A1052" t="str">
        <f>TEXT(IF('Change in Employment'!B1059&lt;&gt;0,DATE(YEAR('Change in Employment'!B1059), MONTH('Change in Employment'!B1059), 1), ""), "mm/dd/yyyy")</f>
        <v/>
      </c>
      <c r="B1052" t="str">
        <f>IF(ISNUMBER('Change in Employment'!L1059),'Change in Employment'!L1059, "")</f>
        <v/>
      </c>
      <c r="C1052" t="str">
        <f>IFERROR(IF(ISNUMBER('Change in Employment'!M1059),TEXT('Change in Employment'!M1059, "0"), ""), "")</f>
        <v/>
      </c>
      <c r="D1052" s="8" t="str">
        <f>IF(ISNUMBER('Change in Employment'!G1059),'Change in Employment'!G1059,"")</f>
        <v/>
      </c>
    </row>
    <row r="1053" spans="1:4">
      <c r="A1053" t="str">
        <f>TEXT(IF('Change in Employment'!B1060&lt;&gt;0,DATE(YEAR('Change in Employment'!B1060), MONTH('Change in Employment'!B1060), 1), ""), "mm/dd/yyyy")</f>
        <v/>
      </c>
      <c r="B1053" t="str">
        <f>IF(ISNUMBER('Change in Employment'!L1060),'Change in Employment'!L1060, "")</f>
        <v/>
      </c>
      <c r="C1053" t="str">
        <f>IFERROR(IF(ISNUMBER('Change in Employment'!M1060),TEXT('Change in Employment'!M1060, "0"), ""), "")</f>
        <v/>
      </c>
      <c r="D1053" s="8" t="str">
        <f>IF(ISNUMBER('Change in Employment'!G1060),'Change in Employment'!G1060,"")</f>
        <v/>
      </c>
    </row>
    <row r="1054" spans="1:4">
      <c r="A1054" t="str">
        <f>TEXT(IF('Change in Employment'!B1061&lt;&gt;0,DATE(YEAR('Change in Employment'!B1061), MONTH('Change in Employment'!B1061), 1), ""), "mm/dd/yyyy")</f>
        <v/>
      </c>
      <c r="B1054" t="str">
        <f>IF(ISNUMBER('Change in Employment'!L1061),'Change in Employment'!L1061, "")</f>
        <v/>
      </c>
      <c r="C1054" t="str">
        <f>IFERROR(IF(ISNUMBER('Change in Employment'!M1061),TEXT('Change in Employment'!M1061, "0"), ""), "")</f>
        <v/>
      </c>
      <c r="D1054" s="8" t="str">
        <f>IF(ISNUMBER('Change in Employment'!G1061),'Change in Employment'!G1061,"")</f>
        <v/>
      </c>
    </row>
    <row r="1055" spans="1:4">
      <c r="A1055" t="str">
        <f>TEXT(IF('Change in Employment'!B1062&lt;&gt;0,DATE(YEAR('Change in Employment'!B1062), MONTH('Change in Employment'!B1062), 1), ""), "mm/dd/yyyy")</f>
        <v/>
      </c>
      <c r="B1055" t="str">
        <f>IF(ISNUMBER('Change in Employment'!L1062),'Change in Employment'!L1062, "")</f>
        <v/>
      </c>
      <c r="C1055" t="str">
        <f>IFERROR(IF(ISNUMBER('Change in Employment'!M1062),TEXT('Change in Employment'!M1062, "0"), ""), "")</f>
        <v/>
      </c>
      <c r="D1055" s="8" t="str">
        <f>IF(ISNUMBER('Change in Employment'!G1062),'Change in Employment'!G1062,"")</f>
        <v/>
      </c>
    </row>
    <row r="1056" spans="1:4">
      <c r="A1056" t="str">
        <f>TEXT(IF('Change in Employment'!B1063&lt;&gt;0,DATE(YEAR('Change in Employment'!B1063), MONTH('Change in Employment'!B1063), 1), ""), "mm/dd/yyyy")</f>
        <v/>
      </c>
      <c r="B1056" t="str">
        <f>IF(ISNUMBER('Change in Employment'!L1063),'Change in Employment'!L1063, "")</f>
        <v/>
      </c>
      <c r="C1056" t="str">
        <f>IFERROR(IF(ISNUMBER('Change in Employment'!M1063),TEXT('Change in Employment'!M1063, "0"), ""), "")</f>
        <v/>
      </c>
      <c r="D1056" s="8" t="str">
        <f>IF(ISNUMBER('Change in Employment'!G1063),'Change in Employment'!G1063,"")</f>
        <v/>
      </c>
    </row>
    <row r="1057" spans="1:4">
      <c r="A1057" t="str">
        <f>TEXT(IF('Change in Employment'!B1064&lt;&gt;0,DATE(YEAR('Change in Employment'!B1064), MONTH('Change in Employment'!B1064), 1), ""), "mm/dd/yyyy")</f>
        <v/>
      </c>
      <c r="B1057" t="str">
        <f>IF(ISNUMBER('Change in Employment'!L1064),'Change in Employment'!L1064, "")</f>
        <v/>
      </c>
      <c r="C1057" t="str">
        <f>IFERROR(IF(ISNUMBER('Change in Employment'!M1064),TEXT('Change in Employment'!M1064, "0"), ""), "")</f>
        <v/>
      </c>
      <c r="D1057" s="8" t="str">
        <f>IF(ISNUMBER('Change in Employment'!G1064),'Change in Employment'!G1064,"")</f>
        <v/>
      </c>
    </row>
    <row r="1058" spans="1:4">
      <c r="A1058" t="str">
        <f>TEXT(IF('Change in Employment'!B1065&lt;&gt;0,DATE(YEAR('Change in Employment'!B1065), MONTH('Change in Employment'!B1065), 1), ""), "mm/dd/yyyy")</f>
        <v/>
      </c>
      <c r="B1058" t="str">
        <f>IF(ISNUMBER('Change in Employment'!L1065),'Change in Employment'!L1065, "")</f>
        <v/>
      </c>
      <c r="C1058" t="str">
        <f>IFERROR(IF(ISNUMBER('Change in Employment'!M1065),TEXT('Change in Employment'!M1065, "0"), ""), "")</f>
        <v/>
      </c>
      <c r="D1058" s="8" t="str">
        <f>IF(ISNUMBER('Change in Employment'!G1065),'Change in Employment'!G1065,"")</f>
        <v/>
      </c>
    </row>
    <row r="1059" spans="1:4">
      <c r="A1059" t="str">
        <f>TEXT(IF('Change in Employment'!B1066&lt;&gt;0,DATE(YEAR('Change in Employment'!B1066), MONTH('Change in Employment'!B1066), 1), ""), "mm/dd/yyyy")</f>
        <v/>
      </c>
      <c r="B1059" t="str">
        <f>IF(ISNUMBER('Change in Employment'!L1066),'Change in Employment'!L1066, "")</f>
        <v/>
      </c>
      <c r="C1059" t="str">
        <f>IFERROR(IF(ISNUMBER('Change in Employment'!M1066),TEXT('Change in Employment'!M1066, "0"), ""), "")</f>
        <v/>
      </c>
      <c r="D1059" s="8" t="str">
        <f>IF(ISNUMBER('Change in Employment'!G1066),'Change in Employment'!G1066,"")</f>
        <v/>
      </c>
    </row>
    <row r="1060" spans="1:4">
      <c r="A1060" t="str">
        <f>TEXT(IF('Change in Employment'!B1067&lt;&gt;0,DATE(YEAR('Change in Employment'!B1067), MONTH('Change in Employment'!B1067), 1), ""), "mm/dd/yyyy")</f>
        <v/>
      </c>
      <c r="B1060" t="str">
        <f>IF(ISNUMBER('Change in Employment'!L1067),'Change in Employment'!L1067, "")</f>
        <v/>
      </c>
      <c r="C1060" t="str">
        <f>IFERROR(IF(ISNUMBER('Change in Employment'!M1067),TEXT('Change in Employment'!M1067, "0"), ""), "")</f>
        <v/>
      </c>
      <c r="D1060" s="8" t="str">
        <f>IF(ISNUMBER('Change in Employment'!G1067),'Change in Employment'!G1067,"")</f>
        <v/>
      </c>
    </row>
    <row r="1061" spans="1:4">
      <c r="A1061" t="str">
        <f>TEXT(IF('Change in Employment'!B1068&lt;&gt;0,DATE(YEAR('Change in Employment'!B1068), MONTH('Change in Employment'!B1068), 1), ""), "mm/dd/yyyy")</f>
        <v/>
      </c>
      <c r="B1061" t="str">
        <f>IF(ISNUMBER('Change in Employment'!L1068),'Change in Employment'!L1068, "")</f>
        <v/>
      </c>
      <c r="C1061" t="str">
        <f>IFERROR(IF(ISNUMBER('Change in Employment'!M1068),TEXT('Change in Employment'!M1068, "0"), ""), "")</f>
        <v/>
      </c>
      <c r="D1061" s="8" t="str">
        <f>IF(ISNUMBER('Change in Employment'!G1068),'Change in Employment'!G1068,"")</f>
        <v/>
      </c>
    </row>
    <row r="1062" spans="1:4">
      <c r="A1062" t="str">
        <f>TEXT(IF('Change in Employment'!B1069&lt;&gt;0,DATE(YEAR('Change in Employment'!B1069), MONTH('Change in Employment'!B1069), 1), ""), "mm/dd/yyyy")</f>
        <v/>
      </c>
      <c r="B1062" t="str">
        <f>IF(ISNUMBER('Change in Employment'!L1069),'Change in Employment'!L1069, "")</f>
        <v/>
      </c>
      <c r="C1062" t="str">
        <f>IFERROR(IF(ISNUMBER('Change in Employment'!M1069),TEXT('Change in Employment'!M1069, "0"), ""), "")</f>
        <v/>
      </c>
      <c r="D1062" s="8" t="str">
        <f>IF(ISNUMBER('Change in Employment'!G1069),'Change in Employment'!G1069,"")</f>
        <v/>
      </c>
    </row>
    <row r="1063" spans="1:4">
      <c r="A1063" t="str">
        <f>TEXT(IF('Change in Employment'!B1070&lt;&gt;0,DATE(YEAR('Change in Employment'!B1070), MONTH('Change in Employment'!B1070), 1), ""), "mm/dd/yyyy")</f>
        <v/>
      </c>
      <c r="B1063" t="str">
        <f>IF(ISNUMBER('Change in Employment'!L1070),'Change in Employment'!L1070, "")</f>
        <v/>
      </c>
      <c r="C1063" t="str">
        <f>IFERROR(IF(ISNUMBER('Change in Employment'!M1070),TEXT('Change in Employment'!M1070, "0"), ""), "")</f>
        <v/>
      </c>
      <c r="D1063" s="8" t="str">
        <f>IF(ISNUMBER('Change in Employment'!G1070),'Change in Employment'!G1070,"")</f>
        <v/>
      </c>
    </row>
    <row r="1064" spans="1:4">
      <c r="A1064" t="str">
        <f>TEXT(IF('Change in Employment'!B1071&lt;&gt;0,DATE(YEAR('Change in Employment'!B1071), MONTH('Change in Employment'!B1071), 1), ""), "mm/dd/yyyy")</f>
        <v/>
      </c>
      <c r="B1064" t="str">
        <f>IF(ISNUMBER('Change in Employment'!L1071),'Change in Employment'!L1071, "")</f>
        <v/>
      </c>
      <c r="C1064" t="str">
        <f>IFERROR(IF(ISNUMBER('Change in Employment'!M1071),TEXT('Change in Employment'!M1071, "0"), ""), "")</f>
        <v/>
      </c>
      <c r="D1064" s="8" t="str">
        <f>IF(ISNUMBER('Change in Employment'!G1071),'Change in Employment'!G1071,"")</f>
        <v/>
      </c>
    </row>
    <row r="1065" spans="1:4">
      <c r="A1065" t="str">
        <f>TEXT(IF('Change in Employment'!B1072&lt;&gt;0,DATE(YEAR('Change in Employment'!B1072), MONTH('Change in Employment'!B1072), 1), ""), "mm/dd/yyyy")</f>
        <v/>
      </c>
      <c r="B1065" t="str">
        <f>IF(ISNUMBER('Change in Employment'!L1072),'Change in Employment'!L1072, "")</f>
        <v/>
      </c>
      <c r="C1065" t="str">
        <f>IFERROR(IF(ISNUMBER('Change in Employment'!M1072),TEXT('Change in Employment'!M1072, "0"), ""), "")</f>
        <v/>
      </c>
      <c r="D1065" s="8" t="str">
        <f>IF(ISNUMBER('Change in Employment'!G1072),'Change in Employment'!G1072,"")</f>
        <v/>
      </c>
    </row>
    <row r="1066" spans="1:4">
      <c r="A1066" t="str">
        <f>TEXT(IF('Change in Employment'!B1073&lt;&gt;0,DATE(YEAR('Change in Employment'!B1073), MONTH('Change in Employment'!B1073), 1), ""), "mm/dd/yyyy")</f>
        <v/>
      </c>
      <c r="B1066" t="str">
        <f>IF(ISNUMBER('Change in Employment'!L1073),'Change in Employment'!L1073, "")</f>
        <v/>
      </c>
      <c r="C1066" t="str">
        <f>IFERROR(IF(ISNUMBER('Change in Employment'!M1073),TEXT('Change in Employment'!M1073, "0"), ""), "")</f>
        <v/>
      </c>
      <c r="D1066" s="8" t="str">
        <f>IF(ISNUMBER('Change in Employment'!G1073),'Change in Employment'!G1073,"")</f>
        <v/>
      </c>
    </row>
    <row r="1067" spans="1:4">
      <c r="A1067" t="str">
        <f>TEXT(IF('Change in Employment'!B1074&lt;&gt;0,DATE(YEAR('Change in Employment'!B1074), MONTH('Change in Employment'!B1074), 1), ""), "mm/dd/yyyy")</f>
        <v/>
      </c>
      <c r="B1067" t="str">
        <f>IF(ISNUMBER('Change in Employment'!L1074),'Change in Employment'!L1074, "")</f>
        <v/>
      </c>
      <c r="C1067" t="str">
        <f>IFERROR(IF(ISNUMBER('Change in Employment'!M1074),TEXT('Change in Employment'!M1074, "0"), ""), "")</f>
        <v/>
      </c>
      <c r="D1067" s="8" t="str">
        <f>IF(ISNUMBER('Change in Employment'!G1074),'Change in Employment'!G1074,"")</f>
        <v/>
      </c>
    </row>
    <row r="1068" spans="1:4">
      <c r="A1068" t="str">
        <f>TEXT(IF('Change in Employment'!B1075&lt;&gt;0,DATE(YEAR('Change in Employment'!B1075), MONTH('Change in Employment'!B1075), 1), ""), "mm/dd/yyyy")</f>
        <v/>
      </c>
      <c r="B1068" t="str">
        <f>IF(ISNUMBER('Change in Employment'!L1075),'Change in Employment'!L1075, "")</f>
        <v/>
      </c>
      <c r="C1068" t="str">
        <f>IFERROR(IF(ISNUMBER('Change in Employment'!M1075),TEXT('Change in Employment'!M1075, "0"), ""), "")</f>
        <v/>
      </c>
      <c r="D1068" s="8" t="str">
        <f>IF(ISNUMBER('Change in Employment'!G1075),'Change in Employment'!G1075,"")</f>
        <v/>
      </c>
    </row>
    <row r="1069" spans="1:4">
      <c r="A1069" t="str">
        <f>TEXT(IF('Change in Employment'!B1076&lt;&gt;0,DATE(YEAR('Change in Employment'!B1076), MONTH('Change in Employment'!B1076), 1), ""), "mm/dd/yyyy")</f>
        <v/>
      </c>
      <c r="B1069" t="str">
        <f>IF(ISNUMBER('Change in Employment'!L1076),'Change in Employment'!L1076, "")</f>
        <v/>
      </c>
      <c r="C1069" t="str">
        <f>IFERROR(IF(ISNUMBER('Change in Employment'!M1076),TEXT('Change in Employment'!M1076, "0"), ""), "")</f>
        <v/>
      </c>
      <c r="D1069" s="8" t="str">
        <f>IF(ISNUMBER('Change in Employment'!G1076),'Change in Employment'!G1076,"")</f>
        <v/>
      </c>
    </row>
    <row r="1070" spans="1:4">
      <c r="A1070" t="str">
        <f>TEXT(IF('Change in Employment'!B1077&lt;&gt;0,DATE(YEAR('Change in Employment'!B1077), MONTH('Change in Employment'!B1077), 1), ""), "mm/dd/yyyy")</f>
        <v/>
      </c>
      <c r="B1070" t="str">
        <f>IF(ISNUMBER('Change in Employment'!L1077),'Change in Employment'!L1077, "")</f>
        <v/>
      </c>
      <c r="C1070" t="str">
        <f>IFERROR(IF(ISNUMBER('Change in Employment'!M1077),TEXT('Change in Employment'!M1077, "0"), ""), "")</f>
        <v/>
      </c>
      <c r="D1070" s="8" t="str">
        <f>IF(ISNUMBER('Change in Employment'!G1077),'Change in Employment'!G1077,"")</f>
        <v/>
      </c>
    </row>
    <row r="1071" spans="1:4">
      <c r="A1071" t="str">
        <f>TEXT(IF('Change in Employment'!B1078&lt;&gt;0,DATE(YEAR('Change in Employment'!B1078), MONTH('Change in Employment'!B1078), 1), ""), "mm/dd/yyyy")</f>
        <v/>
      </c>
      <c r="B1071" t="str">
        <f>IF(ISNUMBER('Change in Employment'!L1078),'Change in Employment'!L1078, "")</f>
        <v/>
      </c>
      <c r="C1071" t="str">
        <f>IFERROR(IF(ISNUMBER('Change in Employment'!M1078),TEXT('Change in Employment'!M1078, "0"), ""), "")</f>
        <v/>
      </c>
      <c r="D1071" s="8" t="str">
        <f>IF(ISNUMBER('Change in Employment'!G1078),'Change in Employment'!G1078,"")</f>
        <v/>
      </c>
    </row>
    <row r="1072" spans="1:4">
      <c r="A1072" t="str">
        <f>TEXT(IF('Change in Employment'!B1079&lt;&gt;0,DATE(YEAR('Change in Employment'!B1079), MONTH('Change in Employment'!B1079), 1), ""), "mm/dd/yyyy")</f>
        <v/>
      </c>
      <c r="B1072" t="str">
        <f>IF(ISNUMBER('Change in Employment'!L1079),'Change in Employment'!L1079, "")</f>
        <v/>
      </c>
      <c r="C1072" t="str">
        <f>IFERROR(IF(ISNUMBER('Change in Employment'!M1079),TEXT('Change in Employment'!M1079, "0"), ""), "")</f>
        <v/>
      </c>
      <c r="D1072" s="8" t="str">
        <f>IF(ISNUMBER('Change in Employment'!G1079),'Change in Employment'!G1079,"")</f>
        <v/>
      </c>
    </row>
    <row r="1073" spans="1:4">
      <c r="A1073" t="str">
        <f>TEXT(IF('Change in Employment'!B1080&lt;&gt;0,DATE(YEAR('Change in Employment'!B1080), MONTH('Change in Employment'!B1080), 1), ""), "mm/dd/yyyy")</f>
        <v/>
      </c>
      <c r="B1073" t="str">
        <f>IF(ISNUMBER('Change in Employment'!L1080),'Change in Employment'!L1080, "")</f>
        <v/>
      </c>
      <c r="C1073" t="str">
        <f>IFERROR(IF(ISNUMBER('Change in Employment'!M1080),TEXT('Change in Employment'!M1080, "0"), ""), "")</f>
        <v/>
      </c>
      <c r="D1073" s="8" t="str">
        <f>IF(ISNUMBER('Change in Employment'!G1080),'Change in Employment'!G1080,"")</f>
        <v/>
      </c>
    </row>
    <row r="1074" spans="1:4">
      <c r="A1074" t="str">
        <f>TEXT(IF('Change in Employment'!B1081&lt;&gt;0,DATE(YEAR('Change in Employment'!B1081), MONTH('Change in Employment'!B1081), 1), ""), "mm/dd/yyyy")</f>
        <v/>
      </c>
      <c r="B1074" t="str">
        <f>IF(ISNUMBER('Change in Employment'!L1081),'Change in Employment'!L1081, "")</f>
        <v/>
      </c>
      <c r="C1074" t="str">
        <f>IFERROR(IF(ISNUMBER('Change in Employment'!M1081),TEXT('Change in Employment'!M1081, "0"), ""), "")</f>
        <v/>
      </c>
      <c r="D1074" s="8" t="str">
        <f>IF(ISNUMBER('Change in Employment'!G1081),'Change in Employment'!G1081,"")</f>
        <v/>
      </c>
    </row>
    <row r="1075" spans="1:4">
      <c r="A1075" t="str">
        <f>TEXT(IF('Change in Employment'!B1082&lt;&gt;0,DATE(YEAR('Change in Employment'!B1082), MONTH('Change in Employment'!B1082), 1), ""), "mm/dd/yyyy")</f>
        <v/>
      </c>
      <c r="B1075" t="str">
        <f>IF(ISNUMBER('Change in Employment'!L1082),'Change in Employment'!L1082, "")</f>
        <v/>
      </c>
      <c r="C1075" t="str">
        <f>IFERROR(IF(ISNUMBER('Change in Employment'!M1082),TEXT('Change in Employment'!M1082, "0"), ""), "")</f>
        <v/>
      </c>
      <c r="D1075" s="8" t="str">
        <f>IF(ISNUMBER('Change in Employment'!G1082),'Change in Employment'!G1082,"")</f>
        <v/>
      </c>
    </row>
    <row r="1076" spans="1:4">
      <c r="A1076" t="str">
        <f>TEXT(IF('Change in Employment'!B1083&lt;&gt;0,DATE(YEAR('Change in Employment'!B1083), MONTH('Change in Employment'!B1083), 1), ""), "mm/dd/yyyy")</f>
        <v/>
      </c>
      <c r="B1076" t="str">
        <f>IF(ISNUMBER('Change in Employment'!L1083),'Change in Employment'!L1083, "")</f>
        <v/>
      </c>
      <c r="C1076" t="str">
        <f>IFERROR(IF(ISNUMBER('Change in Employment'!M1083),TEXT('Change in Employment'!M1083, "0"), ""), "")</f>
        <v/>
      </c>
      <c r="D1076" s="8" t="str">
        <f>IF(ISNUMBER('Change in Employment'!G1083),'Change in Employment'!G1083,"")</f>
        <v/>
      </c>
    </row>
    <row r="1077" spans="1:4">
      <c r="A1077" t="str">
        <f>TEXT(IF('Change in Employment'!B1084&lt;&gt;0,DATE(YEAR('Change in Employment'!B1084), MONTH('Change in Employment'!B1084), 1), ""), "mm/dd/yyyy")</f>
        <v/>
      </c>
      <c r="B1077" t="str">
        <f>IF(ISNUMBER('Change in Employment'!L1084),'Change in Employment'!L1084, "")</f>
        <v/>
      </c>
      <c r="C1077" t="str">
        <f>IFERROR(IF(ISNUMBER('Change in Employment'!M1084),TEXT('Change in Employment'!M1084, "0"), ""), "")</f>
        <v/>
      </c>
      <c r="D1077" s="8" t="str">
        <f>IF(ISNUMBER('Change in Employment'!G1084),'Change in Employment'!G1084,"")</f>
        <v/>
      </c>
    </row>
    <row r="1078" spans="1:4">
      <c r="A1078" t="str">
        <f>TEXT(IF('Change in Employment'!B1085&lt;&gt;0,DATE(YEAR('Change in Employment'!B1085), MONTH('Change in Employment'!B1085), 1), ""), "mm/dd/yyyy")</f>
        <v/>
      </c>
      <c r="B1078" t="str">
        <f>IF(ISNUMBER('Change in Employment'!L1085),'Change in Employment'!L1085, "")</f>
        <v/>
      </c>
      <c r="C1078" t="str">
        <f>IFERROR(IF(ISNUMBER('Change in Employment'!M1085),TEXT('Change in Employment'!M1085, "0"), ""), "")</f>
        <v/>
      </c>
      <c r="D1078" s="8" t="str">
        <f>IF(ISNUMBER('Change in Employment'!G1085),'Change in Employment'!G1085,"")</f>
        <v/>
      </c>
    </row>
    <row r="1079" spans="1:4">
      <c r="A1079" t="str">
        <f>TEXT(IF('Change in Employment'!B1086&lt;&gt;0,DATE(YEAR('Change in Employment'!B1086), MONTH('Change in Employment'!B1086), 1), ""), "mm/dd/yyyy")</f>
        <v/>
      </c>
      <c r="B1079" t="str">
        <f>IF(ISNUMBER('Change in Employment'!L1086),'Change in Employment'!L1086, "")</f>
        <v/>
      </c>
      <c r="C1079" t="str">
        <f>IFERROR(IF(ISNUMBER('Change in Employment'!M1086),TEXT('Change in Employment'!M1086, "0"), ""), "")</f>
        <v/>
      </c>
      <c r="D1079" s="8" t="str">
        <f>IF(ISNUMBER('Change in Employment'!G1086),'Change in Employment'!G1086,"")</f>
        <v/>
      </c>
    </row>
    <row r="1080" spans="1:4">
      <c r="A1080" t="str">
        <f>TEXT(IF('Change in Employment'!B1087&lt;&gt;0,DATE(YEAR('Change in Employment'!B1087), MONTH('Change in Employment'!B1087), 1), ""), "mm/dd/yyyy")</f>
        <v/>
      </c>
      <c r="B1080" t="str">
        <f>IF(ISNUMBER('Change in Employment'!L1087),'Change in Employment'!L1087, "")</f>
        <v/>
      </c>
      <c r="C1080" t="str">
        <f>IFERROR(IF(ISNUMBER('Change in Employment'!M1087),TEXT('Change in Employment'!M1087, "0"), ""), "")</f>
        <v/>
      </c>
      <c r="D1080" s="8" t="str">
        <f>IF(ISNUMBER('Change in Employment'!G1087),'Change in Employment'!G1087,"")</f>
        <v/>
      </c>
    </row>
    <row r="1081" spans="1:4">
      <c r="A1081" t="str">
        <f>TEXT(IF('Change in Employment'!B1088&lt;&gt;0,DATE(YEAR('Change in Employment'!B1088), MONTH('Change in Employment'!B1088), 1), ""), "mm/dd/yyyy")</f>
        <v/>
      </c>
      <c r="B1081" t="str">
        <f>IF(ISNUMBER('Change in Employment'!L1088),'Change in Employment'!L1088, "")</f>
        <v/>
      </c>
      <c r="C1081" t="str">
        <f>IFERROR(IF(ISNUMBER('Change in Employment'!M1088),TEXT('Change in Employment'!M1088, "0"), ""), "")</f>
        <v/>
      </c>
      <c r="D1081" s="8" t="str">
        <f>IF(ISNUMBER('Change in Employment'!G1088),'Change in Employment'!G1088,"")</f>
        <v/>
      </c>
    </row>
    <row r="1082" spans="1:4">
      <c r="A1082" t="str">
        <f>TEXT(IF('Change in Employment'!B1089&lt;&gt;0,DATE(YEAR('Change in Employment'!B1089), MONTH('Change in Employment'!B1089), 1), ""), "mm/dd/yyyy")</f>
        <v/>
      </c>
      <c r="B1082" t="str">
        <f>IF(ISNUMBER('Change in Employment'!L1089),'Change in Employment'!L1089, "")</f>
        <v/>
      </c>
      <c r="C1082" t="str">
        <f>IFERROR(IF(ISNUMBER('Change in Employment'!M1089),TEXT('Change in Employment'!M1089, "0"), ""), "")</f>
        <v/>
      </c>
      <c r="D1082" s="8" t="str">
        <f>IF(ISNUMBER('Change in Employment'!G1089),'Change in Employment'!G1089,"")</f>
        <v/>
      </c>
    </row>
    <row r="1083" spans="1:4">
      <c r="A1083" t="str">
        <f>TEXT(IF('Change in Employment'!B1090&lt;&gt;0,DATE(YEAR('Change in Employment'!B1090), MONTH('Change in Employment'!B1090), 1), ""), "mm/dd/yyyy")</f>
        <v/>
      </c>
      <c r="B1083" t="str">
        <f>IF(ISNUMBER('Change in Employment'!L1090),'Change in Employment'!L1090, "")</f>
        <v/>
      </c>
      <c r="C1083" t="str">
        <f>IFERROR(IF(ISNUMBER('Change in Employment'!M1090),TEXT('Change in Employment'!M1090, "0"), ""), "")</f>
        <v/>
      </c>
      <c r="D1083" s="8" t="str">
        <f>IF(ISNUMBER('Change in Employment'!G1090),'Change in Employment'!G1090,"")</f>
        <v/>
      </c>
    </row>
    <row r="1084" spans="1:4">
      <c r="A1084" t="str">
        <f>TEXT(IF('Change in Employment'!B1091&lt;&gt;0,DATE(YEAR('Change in Employment'!B1091), MONTH('Change in Employment'!B1091), 1), ""), "mm/dd/yyyy")</f>
        <v/>
      </c>
      <c r="B1084" t="str">
        <f>IF(ISNUMBER('Change in Employment'!L1091),'Change in Employment'!L1091, "")</f>
        <v/>
      </c>
      <c r="C1084" t="str">
        <f>IFERROR(IF(ISNUMBER('Change in Employment'!M1091),TEXT('Change in Employment'!M1091, "0"), ""), "")</f>
        <v/>
      </c>
      <c r="D1084" s="8" t="str">
        <f>IF(ISNUMBER('Change in Employment'!G1091),'Change in Employment'!G1091,"")</f>
        <v/>
      </c>
    </row>
    <row r="1085" spans="1:4">
      <c r="A1085" t="str">
        <f>TEXT(IF('Change in Employment'!B1092&lt;&gt;0,DATE(YEAR('Change in Employment'!B1092), MONTH('Change in Employment'!B1092), 1), ""), "mm/dd/yyyy")</f>
        <v/>
      </c>
      <c r="B1085" t="str">
        <f>IF(ISNUMBER('Change in Employment'!L1092),'Change in Employment'!L1092, "")</f>
        <v/>
      </c>
      <c r="C1085" t="str">
        <f>IFERROR(IF(ISNUMBER('Change in Employment'!M1092),TEXT('Change in Employment'!M1092, "0"), ""), "")</f>
        <v/>
      </c>
      <c r="D1085" s="8" t="str">
        <f>IF(ISNUMBER('Change in Employment'!G1092),'Change in Employment'!G1092,"")</f>
        <v/>
      </c>
    </row>
    <row r="1086" spans="1:4">
      <c r="A1086" t="str">
        <f>TEXT(IF('Change in Employment'!B1093&lt;&gt;0,DATE(YEAR('Change in Employment'!B1093), MONTH('Change in Employment'!B1093), 1), ""), "mm/dd/yyyy")</f>
        <v/>
      </c>
      <c r="B1086" t="str">
        <f>IF(ISNUMBER('Change in Employment'!L1093),'Change in Employment'!L1093, "")</f>
        <v/>
      </c>
      <c r="C1086" t="str">
        <f>IFERROR(IF(ISNUMBER('Change in Employment'!M1093),TEXT('Change in Employment'!M1093, "0"), ""), "")</f>
        <v/>
      </c>
      <c r="D1086" s="8" t="str">
        <f>IF(ISNUMBER('Change in Employment'!G1093),'Change in Employment'!G1093,"")</f>
        <v/>
      </c>
    </row>
    <row r="1087" spans="1:4">
      <c r="A1087" t="str">
        <f>TEXT(IF('Change in Employment'!B1094&lt;&gt;0,DATE(YEAR('Change in Employment'!B1094), MONTH('Change in Employment'!B1094), 1), ""), "mm/dd/yyyy")</f>
        <v/>
      </c>
      <c r="B1087" t="str">
        <f>IF(ISNUMBER('Change in Employment'!L1094),'Change in Employment'!L1094, "")</f>
        <v/>
      </c>
      <c r="C1087" t="str">
        <f>IFERROR(IF(ISNUMBER('Change in Employment'!M1094),TEXT('Change in Employment'!M1094, "0"), ""), "")</f>
        <v/>
      </c>
      <c r="D1087" s="8" t="str">
        <f>IF(ISNUMBER('Change in Employment'!G1094),'Change in Employment'!G1094,"")</f>
        <v/>
      </c>
    </row>
    <row r="1088" spans="1:4">
      <c r="A1088" t="str">
        <f>TEXT(IF('Change in Employment'!B1095&lt;&gt;0,DATE(YEAR('Change in Employment'!B1095), MONTH('Change in Employment'!B1095), 1), ""), "mm/dd/yyyy")</f>
        <v/>
      </c>
      <c r="B1088" t="str">
        <f>IF(ISNUMBER('Change in Employment'!L1095),'Change in Employment'!L1095, "")</f>
        <v/>
      </c>
      <c r="C1088" t="str">
        <f>IFERROR(IF(ISNUMBER('Change in Employment'!M1095),TEXT('Change in Employment'!M1095, "0"), ""), "")</f>
        <v/>
      </c>
      <c r="D1088" s="8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rgb="FFFFFF00"/>
  </sheetPr>
  <dimension ref="A1:C372"/>
  <sheetViews>
    <sheetView topLeftCell="A20" workbookViewId="0">
      <selection activeCell="B38" sqref="B38"/>
    </sheetView>
  </sheetViews>
  <sheetFormatPr defaultRowHeight="15"/>
  <cols>
    <col min="1" max="1" width="10.42578125" bestFit="1" customWidth="1"/>
    <col min="2" max="2" width="13.5703125" bestFit="1" customWidth="1"/>
    <col min="3" max="3" width="13.7109375" bestFit="1" customWidth="1"/>
  </cols>
  <sheetData>
    <row r="1" spans="1:3">
      <c r="A1" t="s">
        <v>103</v>
      </c>
      <c r="B1" t="s">
        <v>299</v>
      </c>
      <c r="C1" t="s">
        <v>312</v>
      </c>
    </row>
    <row r="2" spans="1:3">
      <c r="A2" t="str">
        <f>TEXT(IF('Real Structures'!B8&lt;&gt;0,'Real Structures'!B8, ""), "d-mmm-yy")</f>
        <v>1-Jan-09</v>
      </c>
      <c r="B2">
        <f>IF(ISNUMBER('Real Structures'!C8),'Real Structures'!C8, "")</f>
        <v>310.5</v>
      </c>
      <c r="C2">
        <f>IF(ISNUMBER('Real Structures'!D8),'Real Structures'!D8, "")</f>
        <v>1</v>
      </c>
    </row>
    <row r="3" spans="1:3">
      <c r="A3" t="str">
        <f>TEXT(IF('Real Structures'!B9&lt;&gt;0,'Real Structures'!B9, ""), "d-mmm-yy")</f>
        <v>1-Apr-09</v>
      </c>
      <c r="B3">
        <f>IF(ISNUMBER('Real Structures'!C9),'Real Structures'!C9, "")</f>
        <v>315.8</v>
      </c>
      <c r="C3">
        <f>IF(ISNUMBER('Real Structures'!D9),'Real Structures'!D9, "")</f>
        <v>1</v>
      </c>
    </row>
    <row r="4" spans="1:3">
      <c r="A4" t="str">
        <f>TEXT(IF('Real Structures'!B10&lt;&gt;0,'Real Structures'!B10, ""), "d-mmm-yy")</f>
        <v>1-Jul-09</v>
      </c>
      <c r="B4">
        <f>IF(ISNUMBER('Real Structures'!C10),'Real Structures'!C10, "")</f>
        <v>314.2</v>
      </c>
      <c r="C4">
        <f>IF(ISNUMBER('Real Structures'!D10),'Real Structures'!D10, "")</f>
        <v>0</v>
      </c>
    </row>
    <row r="5" spans="1:3">
      <c r="A5" t="str">
        <f>TEXT(IF('Real Structures'!B11&lt;&gt;0,'Real Structures'!B11, ""), "d-mmm-yy")</f>
        <v>1-Oct-09</v>
      </c>
      <c r="B5">
        <f>IF(ISNUMBER('Real Structures'!C11),'Real Structures'!C11, "")</f>
        <v>304.60000000000002</v>
      </c>
      <c r="C5">
        <f>IF(ISNUMBER('Real Structures'!D11),'Real Structures'!D11, "")</f>
        <v>0</v>
      </c>
    </row>
    <row r="6" spans="1:3">
      <c r="A6" t="str">
        <f>TEXT(IF('Real Structures'!B12&lt;&gt;0,'Real Structures'!B12, ""), "d-mmm-yy")</f>
        <v>1-Jan-10</v>
      </c>
      <c r="B6">
        <f>IF(ISNUMBER('Real Structures'!C12),'Real Structures'!C12, "")</f>
        <v>293.8</v>
      </c>
      <c r="C6">
        <f>IF(ISNUMBER('Real Structures'!D12),'Real Structures'!D12, "")</f>
        <v>0</v>
      </c>
    </row>
    <row r="7" spans="1:3">
      <c r="A7" t="str">
        <f>TEXT(IF('Real Structures'!B13&lt;&gt;0,'Real Structures'!B13, ""), "d-mmm-yy")</f>
        <v>1-Apr-10</v>
      </c>
      <c r="B7">
        <f>IF(ISNUMBER('Real Structures'!C13),'Real Structures'!C13, "")</f>
        <v>303.5</v>
      </c>
      <c r="C7">
        <f>IF(ISNUMBER('Real Structures'!D13),'Real Structures'!D13, "")</f>
        <v>0</v>
      </c>
    </row>
    <row r="8" spans="1:3">
      <c r="A8" t="str">
        <f>TEXT(IF('Real Structures'!B14&lt;&gt;0,'Real Structures'!B14, ""), "d-mmm-yy")</f>
        <v>1-Jul-10</v>
      </c>
      <c r="B8">
        <f>IF(ISNUMBER('Real Structures'!C14),'Real Structures'!C14, "")</f>
        <v>305.89999999999998</v>
      </c>
      <c r="C8">
        <f>IF(ISNUMBER('Real Structures'!D14),'Real Structures'!D14, "")</f>
        <v>0</v>
      </c>
    </row>
    <row r="9" spans="1:3">
      <c r="A9" t="str">
        <f>TEXT(IF('Real Structures'!B15&lt;&gt;0,'Real Structures'!B15, ""), "d-mmm-yy")</f>
        <v>1-Oct-10</v>
      </c>
      <c r="B9">
        <f>IF(ISNUMBER('Real Structures'!C15),'Real Structures'!C15, "")</f>
        <v>299</v>
      </c>
      <c r="C9">
        <f>IF(ISNUMBER('Real Structures'!D15),'Real Structures'!D15, "")</f>
        <v>0</v>
      </c>
    </row>
    <row r="10" spans="1:3">
      <c r="A10" t="str">
        <f>TEXT(IF('Real Structures'!B16&lt;&gt;0,'Real Structures'!B16, ""), "d-mmm-yy")</f>
        <v>1-Jan-11</v>
      </c>
      <c r="B10">
        <f>IF(ISNUMBER('Real Structures'!C16),'Real Structures'!C16, "")</f>
        <v>290.39999999999998</v>
      </c>
      <c r="C10">
        <f>IF(ISNUMBER('Real Structures'!D16),'Real Structures'!D16, "")</f>
        <v>0</v>
      </c>
    </row>
    <row r="11" spans="1:3">
      <c r="A11" t="str">
        <f>TEXT(IF('Real Structures'!B17&lt;&gt;0,'Real Structures'!B17, ""), "d-mmm-yy")</f>
        <v>1-Apr-11</v>
      </c>
      <c r="B11">
        <f>IF(ISNUMBER('Real Structures'!C17),'Real Structures'!C17, "")</f>
        <v>283.39999999999998</v>
      </c>
      <c r="C11">
        <f>IF(ISNUMBER('Real Structures'!D17),'Real Structures'!D17, "")</f>
        <v>0</v>
      </c>
    </row>
    <row r="12" spans="1:3">
      <c r="A12" t="str">
        <f>TEXT(IF('Real Structures'!B18&lt;&gt;0,'Real Structures'!B18, ""), "d-mmm-yy")</f>
        <v>1-Jul-11</v>
      </c>
      <c r="B12">
        <f>IF(ISNUMBER('Real Structures'!C18),'Real Structures'!C18, "")</f>
        <v>279.8</v>
      </c>
      <c r="C12">
        <f>IF(ISNUMBER('Real Structures'!D18),'Real Structures'!D18, "")</f>
        <v>0</v>
      </c>
    </row>
    <row r="13" spans="1:3">
      <c r="A13" t="str">
        <f>TEXT(IF('Real Structures'!B19&lt;&gt;0,'Real Structures'!B19, ""), "d-mmm-yy")</f>
        <v>1-Oct-11</v>
      </c>
      <c r="B13">
        <f>IF(ISNUMBER('Real Structures'!C19),'Real Structures'!C19, "")</f>
        <v>281.60000000000002</v>
      </c>
      <c r="C13">
        <f>IF(ISNUMBER('Real Structures'!D19),'Real Structures'!D19, "")</f>
        <v>0</v>
      </c>
    </row>
    <row r="14" spans="1:3">
      <c r="A14" t="str">
        <f>TEXT(IF('Real Structures'!B20&lt;&gt;0,'Real Structures'!B20, ""), "d-mmm-yy")</f>
        <v>1-Jan-12</v>
      </c>
      <c r="B14">
        <f>IF(ISNUMBER('Real Structures'!C20),'Real Structures'!C20, "")</f>
        <v>273.3</v>
      </c>
      <c r="C14">
        <f>IF(ISNUMBER('Real Structures'!D20),'Real Structures'!D20, "")</f>
        <v>0</v>
      </c>
    </row>
    <row r="15" spans="1:3">
      <c r="A15" t="str">
        <f>TEXT(IF('Real Structures'!B21&lt;&gt;0,'Real Structures'!B21, ""), "d-mmm-yy")</f>
        <v>1-Apr-12</v>
      </c>
      <c r="B15">
        <f>IF(ISNUMBER('Real Structures'!C21),'Real Structures'!C21, "")</f>
        <v>268.8</v>
      </c>
      <c r="C15">
        <f>IF(ISNUMBER('Real Structures'!D21),'Real Structures'!D21, "")</f>
        <v>0</v>
      </c>
    </row>
    <row r="16" spans="1:3">
      <c r="A16" t="str">
        <f>TEXT(IF('Real Structures'!B22&lt;&gt;0,'Real Structures'!B22, ""), "d-mmm-yy")</f>
        <v>1-Jul-12</v>
      </c>
      <c r="B16">
        <f>IF(ISNUMBER('Real Structures'!C22),'Real Structures'!C22, "")</f>
        <v>261.8</v>
      </c>
      <c r="C16">
        <f>IF(ISNUMBER('Real Structures'!D22),'Real Structures'!D22, "")</f>
        <v>0</v>
      </c>
    </row>
    <row r="17" spans="1:3">
      <c r="A17" t="str">
        <f>TEXT(IF('Real Structures'!B23&lt;&gt;0,'Real Structures'!B23, ""), "d-mmm-yy")</f>
        <v>1-Oct-12</v>
      </c>
      <c r="B17">
        <f>IF(ISNUMBER('Real Structures'!C23),'Real Structures'!C23, "")</f>
        <v>255.9</v>
      </c>
      <c r="C17">
        <f>IF(ISNUMBER('Real Structures'!D23),'Real Structures'!D23, "")</f>
        <v>0</v>
      </c>
    </row>
    <row r="18" spans="1:3">
      <c r="A18" t="str">
        <f>TEXT(IF('Real Structures'!B24&lt;&gt;0,'Real Structures'!B24, ""), "d-mmm-yy")</f>
        <v>1-Jan-13</v>
      </c>
      <c r="B18">
        <f>IF(ISNUMBER('Real Structures'!C24),'Real Structures'!C24, "")</f>
        <v>252.1</v>
      </c>
      <c r="C18">
        <f>IF(ISNUMBER('Real Structures'!D24),'Real Structures'!D24, "")</f>
        <v>0</v>
      </c>
    </row>
    <row r="19" spans="1:3">
      <c r="A19" t="str">
        <f>TEXT(IF('Real Structures'!B25&lt;&gt;0,'Real Structures'!B25, ""), "d-mmm-yy")</f>
        <v>1-Apr-13</v>
      </c>
      <c r="B19">
        <f>IF(ISNUMBER('Real Structures'!C25),'Real Structures'!C25, "")</f>
        <v>254.3</v>
      </c>
      <c r="C19">
        <f>IF(ISNUMBER('Real Structures'!D25),'Real Structures'!D25, "")</f>
        <v>0</v>
      </c>
    </row>
    <row r="20" spans="1:3">
      <c r="A20" t="str">
        <f>TEXT(IF('Real Structures'!B26&lt;&gt;0,'Real Structures'!B26, ""), "d-mmm-yy")</f>
        <v>1-Jul-13</v>
      </c>
      <c r="B20">
        <f>IF(ISNUMBER('Real Structures'!C26),'Real Structures'!C26, "")</f>
        <v>255.3</v>
      </c>
      <c r="C20">
        <f>IF(ISNUMBER('Real Structures'!D26),'Real Structures'!D26, "")</f>
        <v>0</v>
      </c>
    </row>
    <row r="21" spans="1:3">
      <c r="A21" t="str">
        <f>TEXT(IF('Real Structures'!B27&lt;&gt;0,'Real Structures'!B27, ""), "d-mmm-yy")</f>
        <v>1-Oct-13</v>
      </c>
      <c r="B21">
        <f>IF(ISNUMBER('Real Structures'!C27),'Real Structures'!C27, "")</f>
        <v>252.6</v>
      </c>
      <c r="C21">
        <f>IF(ISNUMBER('Real Structures'!D27),'Real Structures'!D27, "")</f>
        <v>0</v>
      </c>
    </row>
    <row r="22" spans="1:3">
      <c r="A22" t="str">
        <f>TEXT(IF('Real Structures'!B28&lt;&gt;0,'Real Structures'!B28, ""), "d-mmm-yy")</f>
        <v>1-Jan-14</v>
      </c>
      <c r="B22">
        <f>IF(ISNUMBER('Real Structures'!C28),'Real Structures'!C28, "")</f>
        <v>246.3</v>
      </c>
      <c r="C22">
        <f>IF(ISNUMBER('Real Structures'!D28),'Real Structures'!D28, "")</f>
        <v>0</v>
      </c>
    </row>
    <row r="23" spans="1:3">
      <c r="A23" t="str">
        <f>TEXT(IF('Real Structures'!B29&lt;&gt;0,'Real Structures'!B29, ""), "d-mmm-yy")</f>
        <v>1-Apr-14</v>
      </c>
      <c r="B23">
        <f>IF(ISNUMBER('Real Structures'!C29),'Real Structures'!C29, "")</f>
        <v>252.8</v>
      </c>
      <c r="C23">
        <f>IF(ISNUMBER('Real Structures'!D29),'Real Structures'!D29, "")</f>
        <v>0</v>
      </c>
    </row>
    <row r="24" spans="1:3">
      <c r="A24" t="str">
        <f>TEXT(IF('Real Structures'!B30&lt;&gt;0,'Real Structures'!B30, ""), "d-mmm-yy")</f>
        <v>1-Jul-14</v>
      </c>
      <c r="B24">
        <f>IF(ISNUMBER('Real Structures'!C30),'Real Structures'!C30, "")</f>
        <v>255.6</v>
      </c>
      <c r="C24">
        <f>IF(ISNUMBER('Real Structures'!D30),'Real Structures'!D30, "")</f>
        <v>0</v>
      </c>
    </row>
    <row r="25" spans="1:3">
      <c r="A25" t="str">
        <f>TEXT(IF('Real Structures'!B31&lt;&gt;0,'Real Structures'!B31, ""), "d-mmm-yy")</f>
        <v>1-Oct-14</v>
      </c>
      <c r="B25">
        <f>IF(ISNUMBER('Real Structures'!C31),'Real Structures'!C31, "")</f>
        <v>258.10000000000002</v>
      </c>
      <c r="C25">
        <f>IF(ISNUMBER('Real Structures'!D31),'Real Structures'!D31, "")</f>
        <v>0</v>
      </c>
    </row>
    <row r="26" spans="1:3">
      <c r="A26" t="str">
        <f>TEXT(IF('Real Structures'!B32&lt;&gt;0,'Real Structures'!B32, ""), "d-mmm-yy")</f>
        <v>1-Jan-15</v>
      </c>
      <c r="B26">
        <f>IF(ISNUMBER('Real Structures'!C32),'Real Structures'!C32, "")</f>
        <v>256.3</v>
      </c>
      <c r="C26">
        <f>IF(ISNUMBER('Real Structures'!D32),'Real Structures'!D32, "")</f>
        <v>0</v>
      </c>
    </row>
    <row r="27" spans="1:3">
      <c r="A27" t="str">
        <f>TEXT(IF('Real Structures'!B33&lt;&gt;0,'Real Structures'!B33, ""), "d-mmm-yy")</f>
        <v>1-Apr-15</v>
      </c>
      <c r="B27">
        <f>IF(ISNUMBER('Real Structures'!C33),'Real Structures'!C33, "")</f>
        <v>270.2</v>
      </c>
      <c r="C27">
        <f>IF(ISNUMBER('Real Structures'!D33),'Real Structures'!D33, "")</f>
        <v>0</v>
      </c>
    </row>
    <row r="28" spans="1:3">
      <c r="A28" t="str">
        <f>TEXT(IF('Real Structures'!B34&lt;&gt;0,'Real Structures'!B34, ""), "d-mmm-yy")</f>
        <v>1-Jul-15</v>
      </c>
      <c r="B28">
        <f>IF(ISNUMBER('Real Structures'!C34),'Real Structures'!C34, "")</f>
        <v>272.7</v>
      </c>
      <c r="C28">
        <f>IF(ISNUMBER('Real Structures'!D34),'Real Structures'!D34, "")</f>
        <v>0</v>
      </c>
    </row>
    <row r="29" spans="1:3">
      <c r="A29" t="str">
        <f>TEXT(IF('Real Structures'!B35&lt;&gt;0,'Real Structures'!B35, ""), "d-mmm-yy")</f>
        <v>1-Oct-15</v>
      </c>
      <c r="B29">
        <f>IF(ISNUMBER('Real Structures'!C35),'Real Structures'!C35, "")</f>
        <v>262.2</v>
      </c>
      <c r="C29">
        <f>IF(ISNUMBER('Real Structures'!D35),'Real Structures'!D35, "")</f>
        <v>0</v>
      </c>
    </row>
    <row r="30" spans="1:3">
      <c r="A30" t="str">
        <f>TEXT(IF('Real Structures'!B36&lt;&gt;0,'Real Structures'!B36, ""), "d-mmm-yy")</f>
        <v>1-Jan-16</v>
      </c>
      <c r="B30">
        <f>IF(ISNUMBER('Real Structures'!C36),'Real Structures'!C36, "")</f>
        <v>277.2</v>
      </c>
      <c r="C30">
        <f>IF(ISNUMBER('Real Structures'!D36),'Real Structures'!D36, "")</f>
        <v>0</v>
      </c>
    </row>
    <row r="31" spans="1:3">
      <c r="A31" t="str">
        <f>TEXT(IF('Real Structures'!B37&lt;&gt;0,'Real Structures'!B37, ""), "d-mmm-yy")</f>
        <v>1-Apr-16</v>
      </c>
      <c r="B31">
        <f>IF(ISNUMBER('Real Structures'!C37),'Real Structures'!C37, "")</f>
        <v>269</v>
      </c>
      <c r="C31">
        <f>IF(ISNUMBER('Real Structures'!D37),'Real Structures'!D37, "")</f>
        <v>0</v>
      </c>
    </row>
    <row r="32" spans="1:3">
      <c r="A32" t="str">
        <f>TEXT(IF('Real Structures'!B38&lt;&gt;0,'Real Structures'!B38, ""), "d-mmm-yy")</f>
        <v>1-Jul-16</v>
      </c>
      <c r="B32">
        <f>IF(ISNUMBER('Real Structures'!C38),'Real Structures'!C38, "")</f>
        <v>265.39999999999998</v>
      </c>
      <c r="C32">
        <f>IF(ISNUMBER('Real Structures'!D38),'Real Structures'!D38, "")</f>
        <v>0</v>
      </c>
    </row>
    <row r="33" spans="1:3">
      <c r="A33" t="str">
        <f>TEXT(IF('Real Structures'!B39&lt;&gt;0,'Real Structures'!B39, ""), "d-mmm-yy")</f>
        <v>1-Oct-16</v>
      </c>
      <c r="B33">
        <f>IF(ISNUMBER('Real Structures'!C39),'Real Structures'!C39, "")</f>
        <v>267</v>
      </c>
      <c r="C33">
        <f>IF(ISNUMBER('Real Structures'!D39),'Real Structures'!D39, "")</f>
        <v>0</v>
      </c>
    </row>
    <row r="34" spans="1:3">
      <c r="A34" t="str">
        <f>TEXT(IF('Real Structures'!B40&lt;&gt;0,'Real Structures'!B40, ""), "d-mmm-yy")</f>
        <v>1-Jan-17</v>
      </c>
      <c r="B34">
        <f>IF(ISNUMBER('Real Structures'!C40),'Real Structures'!C40, "")</f>
        <v>261.2</v>
      </c>
      <c r="C34">
        <f>IF(ISNUMBER('Real Structures'!D40),'Real Structures'!D40, "")</f>
        <v>0</v>
      </c>
    </row>
    <row r="35" spans="1:3">
      <c r="A35" t="str">
        <f>TEXT(IF('Real Structures'!B41&lt;&gt;0,'Real Structures'!B41, ""), "d-mmm-yy")</f>
        <v>1-Apr-17</v>
      </c>
      <c r="B35">
        <f>IF(ISNUMBER('Real Structures'!C41),'Real Structures'!C41, "")</f>
        <v>256.39999999999998</v>
      </c>
      <c r="C35">
        <f>IF(ISNUMBER('Real Structures'!D41),'Real Structures'!D41, "")</f>
        <v>0</v>
      </c>
    </row>
    <row r="36" spans="1:3">
      <c r="A36" t="str">
        <f>TEXT(IF('Real Structures'!B42&lt;&gt;0,'Real Structures'!B42, ""), "d-mmm-yy")</f>
        <v>1-Jul-17</v>
      </c>
      <c r="B36">
        <f>IF(ISNUMBER('Real Structures'!C42),'Real Structures'!C42, "")</f>
        <v>252.1</v>
      </c>
      <c r="C36">
        <f>IF(ISNUMBER('Real Structures'!D42),'Real Structures'!D42, "")</f>
        <v>0</v>
      </c>
    </row>
    <row r="37" spans="1:3">
      <c r="A37" t="str">
        <f>TEXT(IF('Real Structures'!B43&lt;&gt;0,'Real Structures'!B43, ""), "d-mmm-yy")</f>
        <v>1-Oct-17</v>
      </c>
      <c r="B37">
        <f>IF(ISNUMBER('Real Structures'!C43),'Real Structures'!C43, "")</f>
        <v>259.3</v>
      </c>
      <c r="C37">
        <f>IF(ISNUMBER('Real Structures'!D43),'Real Structures'!D43, "")</f>
        <v>0</v>
      </c>
    </row>
    <row r="38" spans="1:3">
      <c r="A38" t="str">
        <f>TEXT(IF('Real Structures'!B44&lt;&gt;0,'Real Structures'!B44, ""), "d-mmm-yy")</f>
        <v>1-Jan-18</v>
      </c>
      <c r="C38">
        <f>IF(ISNUMBER('Real Structures'!D44),'Real Structures'!D44, "")</f>
        <v>0</v>
      </c>
    </row>
    <row r="39" spans="1:3">
      <c r="A39" t="str">
        <f>TEXT(IF('Real Structures'!B45&lt;&gt;0,'Real Structures'!B45, ""), "d-mmm-yy")</f>
        <v>1-Apr-18</v>
      </c>
      <c r="B39">
        <f>IF(ISNUMBER('Real Structures'!C45),'Real Structures'!C45, "")</f>
        <v>265.3</v>
      </c>
      <c r="C39">
        <f>IF(ISNUMBER('Real Structures'!D45),'Real Structures'!D45, "")</f>
        <v>0</v>
      </c>
    </row>
    <row r="40" spans="1:3">
      <c r="A40" t="str">
        <f>TEXT(IF('Real Structures'!B46&lt;&gt;0,'Real Structures'!B46, ""), "d-mmm-yy")</f>
        <v>1-Jul-18</v>
      </c>
      <c r="B40">
        <f>IF(ISNUMBER('Real Structures'!C46),'Real Structures'!C46, "")</f>
        <v>268.3</v>
      </c>
      <c r="C40">
        <f>IF(ISNUMBER('Real Structures'!D46),'Real Structures'!D46, "")</f>
        <v>0</v>
      </c>
    </row>
    <row r="41" spans="1:3">
      <c r="A41" t="str">
        <f>TEXT(IF('Real Structures'!B47&lt;&gt;0,'Real Structures'!B47, ""), "d-mmm-yy")</f>
        <v>1-Oct-18</v>
      </c>
      <c r="B41">
        <f>IF(ISNUMBER('Real Structures'!C47),'Real Structures'!C47, "")</f>
        <v>260.3</v>
      </c>
      <c r="C41">
        <f>IF(ISNUMBER('Real Structures'!D47),'Real Structures'!D47, "")</f>
        <v>0</v>
      </c>
    </row>
    <row r="42" spans="1:3">
      <c r="A42" t="str">
        <f>TEXT(IF('Real Structures'!B48&lt;&gt;0,'Real Structures'!B48, ""), "d-mmm-yy")</f>
        <v>1-Jan-19</v>
      </c>
      <c r="B42" t="str">
        <f>IF(ISNUMBER('Real Structures'!C48),'Real Structures'!C48, "")</f>
        <v/>
      </c>
      <c r="C42">
        <f>IF(ISNUMBER('Real Structures'!D48),'Real Structures'!D48, "")</f>
        <v>0</v>
      </c>
    </row>
    <row r="43" spans="1:3">
      <c r="A43" t="str">
        <f>TEXT(IF('Real Structures'!B49&lt;&gt;0,'Real Structures'!B49, ""), "d-mmm-yy")</f>
        <v/>
      </c>
      <c r="B43" t="str">
        <f>IF(ISNUMBER('Real Structures'!C49),'Real Structures'!C49, "")</f>
        <v/>
      </c>
      <c r="C43" t="str">
        <f>IF(ISNUMBER('Real Structures'!D49),'Real Structures'!D49, "")</f>
        <v/>
      </c>
    </row>
    <row r="44" spans="1:3">
      <c r="A44" t="str">
        <f>TEXT(IF('Real Structures'!B50&lt;&gt;0,'Real Structures'!B50, ""), "d-mmm-yy")</f>
        <v/>
      </c>
      <c r="B44" t="str">
        <f>IF(ISNUMBER('Real Structures'!C50),'Real Structures'!C50, "")</f>
        <v/>
      </c>
      <c r="C44" t="str">
        <f>IF(ISNUMBER('Real Structures'!D50),'Real Structures'!D50, "")</f>
        <v/>
      </c>
    </row>
    <row r="45" spans="1:3">
      <c r="A45" t="str">
        <f>TEXT(IF('Real Structures'!B51&lt;&gt;0,'Real Structures'!B51, ""), "d-mmm-yy")</f>
        <v/>
      </c>
      <c r="B45" t="str">
        <f>IF(ISNUMBER('Real Structures'!C51),'Real Structures'!C51, "")</f>
        <v/>
      </c>
      <c r="C45" t="str">
        <f>IF(ISNUMBER('Real Structures'!D51),'Real Structures'!D51, "")</f>
        <v/>
      </c>
    </row>
    <row r="46" spans="1:3">
      <c r="A46" t="str">
        <f>TEXT(IF('Real Structures'!B52&lt;&gt;0,'Real Structures'!B52, ""), "d-mmm-yy")</f>
        <v/>
      </c>
      <c r="B46" t="str">
        <f>IF(ISNUMBER('Real Structures'!C52),'Real Structures'!C52, "")</f>
        <v/>
      </c>
      <c r="C46" t="str">
        <f>IF(ISNUMBER('Real Structures'!D52),'Real Structures'!D52, "")</f>
        <v/>
      </c>
    </row>
    <row r="47" spans="1:3">
      <c r="A47" t="str">
        <f>TEXT(IF('Real Structures'!B53&lt;&gt;0,'Real Structures'!B53, ""), "d-mmm-yy")</f>
        <v/>
      </c>
      <c r="B47" t="str">
        <f>IF(ISNUMBER('Real Structures'!C53),'Real Structures'!C53, "")</f>
        <v/>
      </c>
      <c r="C47" t="str">
        <f>IF(ISNUMBER('Real Structures'!D53),'Real Structures'!D53, "")</f>
        <v/>
      </c>
    </row>
    <row r="48" spans="1:3">
      <c r="A48" t="str">
        <f>TEXT(IF('Real Structures'!B54&lt;&gt;0,'Real Structures'!B54, ""), "d-mmm-yy")</f>
        <v/>
      </c>
      <c r="B48" t="str">
        <f>IF(ISNUMBER('Real Structures'!C54),'Real Structures'!C54, "")</f>
        <v/>
      </c>
      <c r="C48" t="str">
        <f>IF(ISNUMBER('Real Structures'!D54),'Real Structures'!D54, "")</f>
        <v/>
      </c>
    </row>
    <row r="49" spans="1:3">
      <c r="A49" t="str">
        <f>TEXT(IF('Real Structures'!B55&lt;&gt;0,'Real Structures'!B55, ""), "d-mmm-yy")</f>
        <v/>
      </c>
      <c r="B49" t="str">
        <f>IF(ISNUMBER('Real Structures'!C55),'Real Structures'!C55, "")</f>
        <v/>
      </c>
      <c r="C49" t="str">
        <f>IF(ISNUMBER('Real Structures'!D55),'Real Structures'!D55, "")</f>
        <v/>
      </c>
    </row>
    <row r="50" spans="1:3">
      <c r="A50" t="str">
        <f>TEXT(IF('Real Structures'!B56&lt;&gt;0,'Real Structures'!B56, ""), "d-mmm-yy")</f>
        <v/>
      </c>
      <c r="B50" t="str">
        <f>IF(ISNUMBER('Real Structures'!C56),'Real Structures'!C56, "")</f>
        <v/>
      </c>
      <c r="C50" t="str">
        <f>IF(ISNUMBER('Real Structures'!D56),'Real Structures'!D56, "")</f>
        <v/>
      </c>
    </row>
    <row r="51" spans="1:3">
      <c r="A51" t="str">
        <f>TEXT(IF('Real Structures'!B57&lt;&gt;0,'Real Structures'!B57, ""), "d-mmm-yy")</f>
        <v/>
      </c>
      <c r="B51" t="str">
        <f>IF(ISNUMBER('Real Structures'!C57),'Real Structures'!C57, "")</f>
        <v/>
      </c>
      <c r="C51" t="str">
        <f>IF(ISNUMBER('Real Structures'!D57),'Real Structures'!D57, "")</f>
        <v/>
      </c>
    </row>
    <row r="52" spans="1:3">
      <c r="A52" t="str">
        <f>TEXT(IF('Real Structures'!B58&lt;&gt;0,'Real Structures'!B58, ""), "d-mmm-yy")</f>
        <v/>
      </c>
      <c r="B52" t="str">
        <f>IF(ISNUMBER('Real Structures'!C58),'Real Structures'!C58, "")</f>
        <v/>
      </c>
      <c r="C52" t="str">
        <f>IF(ISNUMBER('Real Structures'!D58),'Real Structures'!D58, "")</f>
        <v/>
      </c>
    </row>
    <row r="53" spans="1:3">
      <c r="A53" t="str">
        <f>TEXT(IF('Real Structures'!B59&lt;&gt;0,'Real Structures'!B59, ""), "d-mmm-yy")</f>
        <v/>
      </c>
      <c r="B53" t="str">
        <f>IF(ISNUMBER('Real Structures'!C59),'Real Structures'!C59, "")</f>
        <v/>
      </c>
      <c r="C53" t="str">
        <f>IF(ISNUMBER('Real Structures'!D59),'Real Structures'!D59, "")</f>
        <v/>
      </c>
    </row>
    <row r="54" spans="1:3">
      <c r="A54" t="str">
        <f>TEXT(IF('Real Structures'!B60&lt;&gt;0,'Real Structures'!B60, ""), "d-mmm-yy")</f>
        <v/>
      </c>
      <c r="B54" t="str">
        <f>IF(ISNUMBER('Real Structures'!C60),'Real Structures'!C60, "")</f>
        <v/>
      </c>
      <c r="C54" t="str">
        <f>IF(ISNUMBER('Real Structures'!D60),'Real Structures'!D60, "")</f>
        <v/>
      </c>
    </row>
    <row r="55" spans="1:3">
      <c r="A55" t="str">
        <f>TEXT(IF('Real Structures'!B61&lt;&gt;0,'Real Structures'!B61, ""), "d-mmm-yy")</f>
        <v/>
      </c>
      <c r="B55" t="str">
        <f>IF(ISNUMBER('Real Structures'!C61),'Real Structures'!C61, "")</f>
        <v/>
      </c>
      <c r="C55" t="str">
        <f>IF(ISNUMBER('Real Structures'!D61),'Real Structures'!D61, "")</f>
        <v/>
      </c>
    </row>
    <row r="56" spans="1:3">
      <c r="A56" t="str">
        <f>TEXT(IF('Real Structures'!B62&lt;&gt;0,'Real Structures'!B62, ""), "d-mmm-yy")</f>
        <v/>
      </c>
      <c r="B56" t="str">
        <f>IF(ISNUMBER('Real Structures'!C62),'Real Structures'!C62, "")</f>
        <v/>
      </c>
      <c r="C56" t="str">
        <f>IF(ISNUMBER('Real Structures'!D62),'Real Structures'!D62, "")</f>
        <v/>
      </c>
    </row>
    <row r="57" spans="1:3">
      <c r="A57" t="str">
        <f>TEXT(IF('Real Structures'!B63&lt;&gt;0,'Real Structures'!B63, ""), "d-mmm-yy")</f>
        <v/>
      </c>
      <c r="B57" t="str">
        <f>IF(ISNUMBER('Real Structures'!C63),'Real Structures'!C63, "")</f>
        <v/>
      </c>
      <c r="C57" t="str">
        <f>IF(ISNUMBER('Real Structures'!D63),'Real Structures'!D63, "")</f>
        <v/>
      </c>
    </row>
    <row r="58" spans="1:3">
      <c r="A58" t="str">
        <f>TEXT(IF('Real Structures'!B64&lt;&gt;0,'Real Structures'!B64, ""), "d-mmm-yy")</f>
        <v/>
      </c>
      <c r="B58" t="str">
        <f>IF(ISNUMBER('Real Structures'!C64),'Real Structures'!C64, "")</f>
        <v/>
      </c>
      <c r="C58" t="str">
        <f>IF(ISNUMBER('Real Structures'!D64),'Real Structures'!D64, "")</f>
        <v/>
      </c>
    </row>
    <row r="59" spans="1:3">
      <c r="A59" t="str">
        <f>TEXT(IF('Real Structures'!B65&lt;&gt;0,'Real Structures'!B65, ""), "d-mmm-yy")</f>
        <v/>
      </c>
      <c r="B59" t="str">
        <f>IF(ISNUMBER('Real Structures'!C65),'Real Structures'!C65, "")</f>
        <v/>
      </c>
      <c r="C59" t="str">
        <f>IF(ISNUMBER('Real Structures'!D65),'Real Structures'!D65, "")</f>
        <v/>
      </c>
    </row>
    <row r="60" spans="1:3">
      <c r="A60" t="str">
        <f>TEXT(IF('Real Structures'!B66&lt;&gt;0,'Real Structures'!B66, ""), "d-mmm-yy")</f>
        <v/>
      </c>
      <c r="B60" t="str">
        <f>IF(ISNUMBER('Real Structures'!C66),'Real Structures'!C66, "")</f>
        <v/>
      </c>
      <c r="C60" t="str">
        <f>IF(ISNUMBER('Real Structures'!D66),'Real Structures'!D66, "")</f>
        <v/>
      </c>
    </row>
    <row r="61" spans="1:3">
      <c r="A61" t="str">
        <f>TEXT(IF('Real Structures'!B67&lt;&gt;0,'Real Structures'!B67, ""), "d-mmm-yy")</f>
        <v/>
      </c>
      <c r="B61" t="str">
        <f>IF(ISNUMBER('Real Structures'!C67),'Real Structures'!C67, "")</f>
        <v/>
      </c>
      <c r="C61" t="str">
        <f>IF(ISNUMBER('Real Structures'!D67),'Real Structures'!D67, "")</f>
        <v/>
      </c>
    </row>
    <row r="62" spans="1:3">
      <c r="A62" t="str">
        <f>TEXT(IF('Real Structures'!B68&lt;&gt;0,'Real Structures'!B68, ""), "d-mmm-yy")</f>
        <v/>
      </c>
      <c r="B62" t="str">
        <f>IF(ISNUMBER('Real Structures'!C68),'Real Structures'!C68, "")</f>
        <v/>
      </c>
      <c r="C62" t="str">
        <f>IF(ISNUMBER('Real Structures'!D68),'Real Structures'!D68, "")</f>
        <v/>
      </c>
    </row>
    <row r="63" spans="1:3">
      <c r="A63" t="str">
        <f>TEXT(IF('Real Structures'!B69&lt;&gt;0,'Real Structures'!B69, ""), "d-mmm-yy")</f>
        <v/>
      </c>
      <c r="B63" t="str">
        <f>IF(ISNUMBER('Real Structures'!C69),'Real Structures'!C69, "")</f>
        <v/>
      </c>
      <c r="C63" t="str">
        <f>IF(ISNUMBER('Real Structures'!D69),'Real Structures'!D69, "")</f>
        <v/>
      </c>
    </row>
    <row r="64" spans="1:3">
      <c r="A64" t="str">
        <f>TEXT(IF('Real Structures'!B70&lt;&gt;0,'Real Structures'!B70, ""), "d-mmm-yy")</f>
        <v/>
      </c>
      <c r="B64" t="str">
        <f>IF(ISNUMBER('Real Structures'!C70),'Real Structures'!C70, "")</f>
        <v/>
      </c>
      <c r="C64" t="str">
        <f>IF(ISNUMBER('Real Structures'!D70),'Real Structures'!D70, "")</f>
        <v/>
      </c>
    </row>
    <row r="65" spans="1:3">
      <c r="A65" t="str">
        <f>TEXT(IF('Real Structures'!B71&lt;&gt;0,'Real Structures'!B71, ""), "d-mmm-yy")</f>
        <v/>
      </c>
      <c r="B65" t="str">
        <f>IF(ISNUMBER('Real Structures'!C71),'Real Structures'!C71, "")</f>
        <v/>
      </c>
      <c r="C65" t="str">
        <f>IF(ISNUMBER('Real Structures'!D71),'Real Structures'!D71, "")</f>
        <v/>
      </c>
    </row>
    <row r="66" spans="1:3">
      <c r="A66" t="str">
        <f>TEXT(IF('Real Structures'!B72&lt;&gt;0,'Real Structures'!B72, ""), "d-mmm-yy")</f>
        <v/>
      </c>
      <c r="B66" t="str">
        <f>IF(ISNUMBER('Real Structures'!C72),'Real Structures'!C72, "")</f>
        <v/>
      </c>
      <c r="C66" t="str">
        <f>IF(ISNUMBER('Real Structures'!D72),'Real Structures'!D72, "")</f>
        <v/>
      </c>
    </row>
    <row r="67" spans="1:3">
      <c r="A67" t="str">
        <f>TEXT(IF('Real Structures'!B73&lt;&gt;0,'Real Structures'!B73, ""), "d-mmm-yy")</f>
        <v/>
      </c>
      <c r="B67" t="str">
        <f>IF(ISNUMBER('Real Structures'!C73),'Real Structures'!C73, "")</f>
        <v/>
      </c>
      <c r="C67" t="str">
        <f>IF(ISNUMBER('Real Structures'!D73),'Real Structures'!D73, "")</f>
        <v/>
      </c>
    </row>
    <row r="68" spans="1:3">
      <c r="A68" t="str">
        <f>TEXT(IF('Real Structures'!B74&lt;&gt;0,'Real Structures'!B74, ""), "d-mmm-yy")</f>
        <v/>
      </c>
      <c r="B68" t="str">
        <f>IF(ISNUMBER('Real Structures'!C74),'Real Structures'!C74, "")</f>
        <v/>
      </c>
      <c r="C68" t="str">
        <f>IF(ISNUMBER('Real Structures'!D74),'Real Structures'!D74, "")</f>
        <v/>
      </c>
    </row>
    <row r="69" spans="1:3">
      <c r="A69" t="str">
        <f>TEXT(IF('Real Structures'!B75&lt;&gt;0,'Real Structures'!B75, ""), "d-mmm-yy")</f>
        <v/>
      </c>
      <c r="B69" t="str">
        <f>IF(ISNUMBER('Real Structures'!C75),'Real Structures'!C75, "")</f>
        <v/>
      </c>
      <c r="C69" t="str">
        <f>IF(ISNUMBER('Real Structures'!D75),'Real Structures'!D75, "")</f>
        <v/>
      </c>
    </row>
    <row r="70" spans="1:3">
      <c r="A70" t="str">
        <f>TEXT(IF('Real Structures'!B76&lt;&gt;0,'Real Structures'!B76, ""), "d-mmm-yy")</f>
        <v/>
      </c>
      <c r="B70" t="str">
        <f>IF(ISNUMBER('Real Structures'!C76),'Real Structures'!C76, "")</f>
        <v/>
      </c>
      <c r="C70" t="str">
        <f>IF(ISNUMBER('Real Structures'!D76),'Real Structures'!D76, "")</f>
        <v/>
      </c>
    </row>
    <row r="71" spans="1:3">
      <c r="A71" t="str">
        <f>TEXT(IF('Real Structures'!B77&lt;&gt;0,'Real Structures'!B77, ""), "d-mmm-yy")</f>
        <v/>
      </c>
      <c r="B71" t="str">
        <f>IF(ISNUMBER('Real Structures'!C77),'Real Structures'!C77, "")</f>
        <v/>
      </c>
      <c r="C71" t="str">
        <f>IF(ISNUMBER('Real Structures'!D77),'Real Structures'!D77, "")</f>
        <v/>
      </c>
    </row>
    <row r="72" spans="1:3">
      <c r="A72" t="str">
        <f>TEXT(IF('Real Structures'!B78&lt;&gt;0,'Real Structures'!B78, ""), "d-mmm-yy")</f>
        <v/>
      </c>
      <c r="B72" t="str">
        <f>IF(ISNUMBER('Real Structures'!C78),'Real Structures'!C78, "")</f>
        <v/>
      </c>
      <c r="C72" t="str">
        <f>IF(ISNUMBER('Real Structures'!D78),'Real Structures'!D78, "")</f>
        <v/>
      </c>
    </row>
    <row r="73" spans="1:3">
      <c r="A73" t="str">
        <f>TEXT(IF('Real Structures'!B79&lt;&gt;0,'Real Structures'!B79, ""), "d-mmm-yy")</f>
        <v/>
      </c>
      <c r="B73" t="str">
        <f>IF(ISNUMBER('Real Structures'!C79),'Real Structures'!C79, "")</f>
        <v/>
      </c>
      <c r="C73" t="str">
        <f>IF(ISNUMBER('Real Structures'!D79),'Real Structures'!D79, "")</f>
        <v/>
      </c>
    </row>
    <row r="74" spans="1:3">
      <c r="A74" t="str">
        <f>TEXT(IF('Real Structures'!B80&lt;&gt;0,'Real Structures'!B80, ""), "d-mmm-yy")</f>
        <v/>
      </c>
      <c r="B74" t="str">
        <f>IF(ISNUMBER('Real Structures'!C80),'Real Structures'!C80, "")</f>
        <v/>
      </c>
      <c r="C74" t="str">
        <f>IF(ISNUMBER('Real Structures'!D80),'Real Structures'!D80, "")</f>
        <v/>
      </c>
    </row>
    <row r="75" spans="1:3">
      <c r="A75" t="str">
        <f>TEXT(IF('Real Structures'!B81&lt;&gt;0,'Real Structures'!B81, ""), "d-mmm-yy")</f>
        <v/>
      </c>
      <c r="B75" t="str">
        <f>IF(ISNUMBER('Real Structures'!C81),'Real Structures'!C81, "")</f>
        <v/>
      </c>
      <c r="C75" t="str">
        <f>IF(ISNUMBER('Real Structures'!D81),'Real Structures'!D81, "")</f>
        <v/>
      </c>
    </row>
    <row r="76" spans="1:3">
      <c r="A76" t="str">
        <f>TEXT(IF('Real Structures'!B82&lt;&gt;0,'Real Structures'!B82, ""), "d-mmm-yy")</f>
        <v/>
      </c>
      <c r="B76" t="str">
        <f>IF(ISNUMBER('Real Structures'!C82),'Real Structures'!C82, "")</f>
        <v/>
      </c>
      <c r="C76" t="str">
        <f>IF(ISNUMBER('Real Structures'!D82),'Real Structures'!D82, "")</f>
        <v/>
      </c>
    </row>
    <row r="77" spans="1:3">
      <c r="A77" t="str">
        <f>TEXT(IF('Real Structures'!B83&lt;&gt;0,'Real Structures'!B83, ""), "d-mmm-yy")</f>
        <v/>
      </c>
      <c r="B77" t="str">
        <f>IF(ISNUMBER('Real Structures'!C83),'Real Structures'!C83, "")</f>
        <v/>
      </c>
      <c r="C77" t="str">
        <f>IF(ISNUMBER('Real Structures'!D83),'Real Structures'!D83, "")</f>
        <v/>
      </c>
    </row>
    <row r="78" spans="1:3">
      <c r="A78" t="str">
        <f>TEXT(IF('Real Structures'!B84&lt;&gt;0,'Real Structures'!B84, ""), "d-mmm-yy")</f>
        <v/>
      </c>
      <c r="B78" t="str">
        <f>IF(ISNUMBER('Real Structures'!C84),'Real Structures'!C84, "")</f>
        <v/>
      </c>
      <c r="C78" t="str">
        <f>IF(ISNUMBER('Real Structures'!D84),'Real Structures'!D84, "")</f>
        <v/>
      </c>
    </row>
    <row r="79" spans="1:3">
      <c r="A79" t="str">
        <f>TEXT(IF('Real Structures'!B85&lt;&gt;0,'Real Structures'!B85, ""), "d-mmm-yy")</f>
        <v/>
      </c>
      <c r="B79" t="str">
        <f>IF(ISNUMBER('Real Structures'!C85),'Real Structures'!C85, "")</f>
        <v/>
      </c>
      <c r="C79" t="str">
        <f>IF(ISNUMBER('Real Structures'!D85),'Real Structures'!D85, "")</f>
        <v/>
      </c>
    </row>
    <row r="80" spans="1:3">
      <c r="A80" t="str">
        <f>TEXT(IF('Real Structures'!B86&lt;&gt;0,'Real Structures'!B86, ""), "d-mmm-yy")</f>
        <v/>
      </c>
      <c r="B80" t="str">
        <f>IF(ISNUMBER('Real Structures'!C86),'Real Structures'!C86, "")</f>
        <v/>
      </c>
      <c r="C80" t="str">
        <f>IF(ISNUMBER('Real Structures'!D86),'Real Structures'!D86, "")</f>
        <v/>
      </c>
    </row>
    <row r="81" spans="1:3">
      <c r="A81" t="str">
        <f>TEXT(IF('Real Structures'!B87&lt;&gt;0,'Real Structures'!B87, ""), "d-mmm-yy")</f>
        <v/>
      </c>
      <c r="B81" t="str">
        <f>IF(ISNUMBER('Real Structures'!C87),'Real Structures'!C87, "")</f>
        <v/>
      </c>
      <c r="C81" t="str">
        <f>IF(ISNUMBER('Real Structures'!D87),'Real Structures'!D87, "")</f>
        <v/>
      </c>
    </row>
    <row r="82" spans="1:3">
      <c r="A82" t="str">
        <f>TEXT(IF('Real Structures'!B88&lt;&gt;0,'Real Structures'!B88, ""), "d-mmm-yy")</f>
        <v/>
      </c>
      <c r="B82" t="str">
        <f>IF(ISNUMBER('Real Structures'!C88),'Real Structures'!C88, "")</f>
        <v/>
      </c>
      <c r="C82" t="str">
        <f>IF(ISNUMBER('Real Structures'!D88),'Real Structures'!D88, "")</f>
        <v/>
      </c>
    </row>
    <row r="83" spans="1:3">
      <c r="A83" t="str">
        <f>TEXT(IF('Real Structures'!B89&lt;&gt;0,'Real Structures'!B89, ""), "d-mmm-yy")</f>
        <v/>
      </c>
      <c r="B83" t="str">
        <f>IF(ISNUMBER('Real Structures'!C89),'Real Structures'!C89, "")</f>
        <v/>
      </c>
      <c r="C83" t="str">
        <f>IF(ISNUMBER('Real Structures'!D89),'Real Structures'!D89, "")</f>
        <v/>
      </c>
    </row>
    <row r="84" spans="1:3">
      <c r="A84" t="str">
        <f>TEXT(IF('Real Structures'!B90&lt;&gt;0,'Real Structures'!B90, ""), "d-mmm-yy")</f>
        <v/>
      </c>
      <c r="B84" t="str">
        <f>IF(ISNUMBER('Real Structures'!C90),'Real Structures'!C90, "")</f>
        <v/>
      </c>
      <c r="C84" t="str">
        <f>IF(ISNUMBER('Real Structures'!D90),'Real Structures'!D90, "")</f>
        <v/>
      </c>
    </row>
    <row r="85" spans="1:3">
      <c r="A85" t="str">
        <f>TEXT(IF('Real Structures'!B91&lt;&gt;0,'Real Structures'!B91, ""), "d-mmm-yy")</f>
        <v/>
      </c>
      <c r="B85" t="str">
        <f>IF(ISNUMBER('Real Structures'!C91),'Real Structures'!C91, "")</f>
        <v/>
      </c>
      <c r="C85" t="str">
        <f>IF(ISNUMBER('Real Structures'!D91),'Real Structures'!D91, "")</f>
        <v/>
      </c>
    </row>
    <row r="86" spans="1:3">
      <c r="A86" t="str">
        <f>TEXT(IF('Real Structures'!B92&lt;&gt;0,'Real Structures'!B92, ""), "d-mmm-yy")</f>
        <v/>
      </c>
      <c r="B86" t="str">
        <f>IF(ISNUMBER('Real Structures'!C92),'Real Structures'!C92, "")</f>
        <v/>
      </c>
      <c r="C86" t="str">
        <f>IF(ISNUMBER('Real Structures'!D92),'Real Structures'!D92, "")</f>
        <v/>
      </c>
    </row>
    <row r="87" spans="1:3">
      <c r="A87" t="str">
        <f>TEXT(IF('Real Structures'!B93&lt;&gt;0,'Real Structures'!B93, ""), "d-mmm-yy")</f>
        <v/>
      </c>
      <c r="B87" t="str">
        <f>IF(ISNUMBER('Real Structures'!C93),'Real Structures'!C93, "")</f>
        <v/>
      </c>
      <c r="C87" t="str">
        <f>IF(ISNUMBER('Real Structures'!D93),'Real Structures'!D93, "")</f>
        <v/>
      </c>
    </row>
    <row r="88" spans="1:3">
      <c r="A88" t="str">
        <f>TEXT(IF('Real Structures'!B94&lt;&gt;0,'Real Structures'!B94, ""), "d-mmm-yy")</f>
        <v/>
      </c>
      <c r="B88" t="str">
        <f>IF(ISNUMBER('Real Structures'!C94),'Real Structures'!C94, "")</f>
        <v/>
      </c>
      <c r="C88" t="str">
        <f>IF(ISNUMBER('Real Structures'!D94),'Real Structures'!D94, "")</f>
        <v/>
      </c>
    </row>
    <row r="89" spans="1:3">
      <c r="A89" t="str">
        <f>TEXT(IF('Real Structures'!B95&lt;&gt;0,'Real Structures'!B95, ""), "d-mmm-yy")</f>
        <v/>
      </c>
      <c r="B89" t="str">
        <f>IF(ISNUMBER('Real Structures'!C95),'Real Structures'!C95, "")</f>
        <v/>
      </c>
      <c r="C89" t="str">
        <f>IF(ISNUMBER('Real Structures'!D95),'Real Structures'!D95, "")</f>
        <v/>
      </c>
    </row>
    <row r="90" spans="1:3">
      <c r="A90" t="str">
        <f>TEXT(IF('Real Structures'!B96&lt;&gt;0,'Real Structures'!B96, ""), "d-mmm-yy")</f>
        <v/>
      </c>
      <c r="B90" t="str">
        <f>IF(ISNUMBER('Real Structures'!C96),'Real Structures'!C96, "")</f>
        <v/>
      </c>
      <c r="C90" t="str">
        <f>IF(ISNUMBER('Real Structures'!D96),'Real Structures'!D96, "")</f>
        <v/>
      </c>
    </row>
    <row r="91" spans="1:3">
      <c r="A91" t="str">
        <f>TEXT(IF('Real Structures'!B97&lt;&gt;0,'Real Structures'!B97, ""), "d-mmm-yy")</f>
        <v/>
      </c>
      <c r="B91" t="str">
        <f>IF(ISNUMBER('Real Structures'!C97),'Real Structures'!C97, "")</f>
        <v/>
      </c>
      <c r="C91" t="str">
        <f>IF(ISNUMBER('Real Structures'!D97),'Real Structures'!D97, "")</f>
        <v/>
      </c>
    </row>
    <row r="92" spans="1:3">
      <c r="A92" t="str">
        <f>TEXT(IF('Real Structures'!B98&lt;&gt;0,'Real Structures'!B98, ""), "d-mmm-yy")</f>
        <v/>
      </c>
      <c r="B92" t="str">
        <f>IF(ISNUMBER('Real Structures'!C98),'Real Structures'!C98, "")</f>
        <v/>
      </c>
      <c r="C92" t="str">
        <f>IF(ISNUMBER('Real Structures'!D98),'Real Structures'!D98, "")</f>
        <v/>
      </c>
    </row>
    <row r="93" spans="1:3">
      <c r="A93" t="str">
        <f>TEXT(IF('Real Structures'!B99&lt;&gt;0,'Real Structures'!B99, ""), "d-mmm-yy")</f>
        <v/>
      </c>
      <c r="B93" t="str">
        <f>IF(ISNUMBER('Real Structures'!C99),'Real Structures'!C99, "")</f>
        <v/>
      </c>
      <c r="C93" t="str">
        <f>IF(ISNUMBER('Real Structures'!D99),'Real Structures'!D99, "")</f>
        <v/>
      </c>
    </row>
    <row r="94" spans="1:3">
      <c r="A94" t="str">
        <f>TEXT(IF('Real Structures'!B100&lt;&gt;0,'Real Structures'!B100, ""), "d-mmm-yy")</f>
        <v/>
      </c>
      <c r="B94" t="str">
        <f>IF(ISNUMBER('Real Structures'!C100),'Real Structures'!C100, "")</f>
        <v/>
      </c>
      <c r="C94" t="str">
        <f>IF(ISNUMBER('Real Structures'!D100),'Real Structures'!D100, "")</f>
        <v/>
      </c>
    </row>
    <row r="95" spans="1:3">
      <c r="A95" t="str">
        <f>TEXT(IF('Real Structures'!B101&lt;&gt;0,'Real Structures'!B101, ""), "d-mmm-yy")</f>
        <v/>
      </c>
      <c r="B95" t="str">
        <f>IF(ISNUMBER('Real Structures'!C101),'Real Structures'!C101, "")</f>
        <v/>
      </c>
      <c r="C95" t="str">
        <f>IF(ISNUMBER('Real Structures'!D101),'Real Structures'!D101, "")</f>
        <v/>
      </c>
    </row>
    <row r="96" spans="1:3">
      <c r="A96" t="str">
        <f>TEXT(IF('Real Structures'!B102&lt;&gt;0,'Real Structures'!B102, ""), "d-mmm-yy")</f>
        <v/>
      </c>
      <c r="B96" t="str">
        <f>IF(ISNUMBER('Real Structures'!C102),'Real Structures'!C102, "")</f>
        <v/>
      </c>
      <c r="C96" t="str">
        <f>IF(ISNUMBER('Real Structures'!D102),'Real Structures'!D102, "")</f>
        <v/>
      </c>
    </row>
    <row r="97" spans="1:3">
      <c r="A97" t="str">
        <f>TEXT(IF('Real Structures'!B103&lt;&gt;0,'Real Structures'!B103, ""), "d-mmm-yy")</f>
        <v/>
      </c>
      <c r="B97" t="str">
        <f>IF(ISNUMBER('Real Structures'!C103),'Real Structures'!C103, "")</f>
        <v/>
      </c>
      <c r="C97" t="str">
        <f>IF(ISNUMBER('Real Structures'!D103),'Real Structures'!D103, "")</f>
        <v/>
      </c>
    </row>
    <row r="98" spans="1:3">
      <c r="A98" t="str">
        <f>TEXT(IF('Real Structures'!B104&lt;&gt;0,'Real Structures'!B104, ""), "d-mmm-yy")</f>
        <v/>
      </c>
      <c r="B98" t="str">
        <f>IF(ISNUMBER('Real Structures'!C104),'Real Structures'!C104, "")</f>
        <v/>
      </c>
      <c r="C98" t="str">
        <f>IF(ISNUMBER('Real Structures'!D104),'Real Structures'!D104, "")</f>
        <v/>
      </c>
    </row>
    <row r="99" spans="1:3">
      <c r="A99" t="str">
        <f>TEXT(IF('Real Structures'!B105&lt;&gt;0,'Real Structures'!B105, ""), "d-mmm-yy")</f>
        <v/>
      </c>
      <c r="B99" t="str">
        <f>IF(ISNUMBER('Real Structures'!C105),'Real Structures'!C105, "")</f>
        <v/>
      </c>
      <c r="C99" t="str">
        <f>IF(ISNUMBER('Real Structures'!D105),'Real Structures'!D105, "")</f>
        <v/>
      </c>
    </row>
    <row r="100" spans="1:3">
      <c r="A100" t="str">
        <f>TEXT(IF('Real Structures'!B106&lt;&gt;0,'Real Structures'!B106, ""), "d-mmm-yy")</f>
        <v/>
      </c>
      <c r="B100" t="str">
        <f>IF(ISNUMBER('Real Structures'!C106),'Real Structures'!C106, "")</f>
        <v/>
      </c>
      <c r="C100" t="str">
        <f>IF(ISNUMBER('Real Structures'!D106),'Real Structures'!D106, "")</f>
        <v/>
      </c>
    </row>
    <row r="101" spans="1:3">
      <c r="A101" t="str">
        <f>TEXT(IF('Real Structures'!B107&lt;&gt;0,'Real Structures'!B107, ""), "d-mmm-yy")</f>
        <v/>
      </c>
      <c r="B101" t="str">
        <f>IF(ISNUMBER('Real Structures'!C107),'Real Structures'!C107, "")</f>
        <v/>
      </c>
      <c r="C101" t="str">
        <f>IF(ISNUMBER('Real Structures'!D107),'Real Structures'!D107, "")</f>
        <v/>
      </c>
    </row>
    <row r="102" spans="1:3">
      <c r="A102" t="str">
        <f>TEXT(IF('Real Structures'!B108&lt;&gt;0,'Real Structures'!B108, ""), "d-mmm-yy")</f>
        <v/>
      </c>
      <c r="B102" t="str">
        <f>IF(ISNUMBER('Real Structures'!C108),'Real Structures'!C108, "")</f>
        <v/>
      </c>
      <c r="C102" t="str">
        <f>IF(ISNUMBER('Real Structures'!D108),'Real Structures'!D108, "")</f>
        <v/>
      </c>
    </row>
    <row r="103" spans="1:3">
      <c r="A103" t="str">
        <f>TEXT(IF('Real Structures'!B109&lt;&gt;0,'Real Structures'!B109, ""), "d-mmm-yy")</f>
        <v/>
      </c>
      <c r="B103" t="str">
        <f>IF(ISNUMBER('Real Structures'!C109),'Real Structures'!C109, "")</f>
        <v/>
      </c>
      <c r="C103" t="str">
        <f>IF(ISNUMBER('Real Structures'!D109),'Real Structures'!D109, "")</f>
        <v/>
      </c>
    </row>
    <row r="104" spans="1:3">
      <c r="A104" t="str">
        <f>TEXT(IF('Real Structures'!B110&lt;&gt;0,'Real Structures'!B110, ""), "d-mmm-yy")</f>
        <v/>
      </c>
      <c r="B104" t="str">
        <f>IF(ISNUMBER('Real Structures'!C110),'Real Structures'!C110, "")</f>
        <v/>
      </c>
      <c r="C104" t="str">
        <f>IF(ISNUMBER('Real Structures'!D110),'Real Structures'!D110, "")</f>
        <v/>
      </c>
    </row>
    <row r="105" spans="1:3">
      <c r="A105" t="str">
        <f>TEXT(IF('Real Structures'!B111&lt;&gt;0,'Real Structures'!B111, ""), "d-mmm-yy")</f>
        <v/>
      </c>
      <c r="B105" t="str">
        <f>IF(ISNUMBER('Real Structures'!C111),'Real Structures'!C111, "")</f>
        <v/>
      </c>
      <c r="C105" t="str">
        <f>IF(ISNUMBER('Real Structures'!D111),'Real Structures'!D111, "")</f>
        <v/>
      </c>
    </row>
    <row r="106" spans="1:3">
      <c r="A106" t="str">
        <f>TEXT(IF('Real Structures'!B112&lt;&gt;0,'Real Structures'!B112, ""), "d-mmm-yy")</f>
        <v/>
      </c>
      <c r="B106" t="str">
        <f>IF(ISNUMBER('Real Structures'!C112),'Real Structures'!C112, "")</f>
        <v/>
      </c>
      <c r="C106" t="str">
        <f>IF(ISNUMBER('Real Structures'!D112),'Real Structures'!D112, "")</f>
        <v/>
      </c>
    </row>
    <row r="107" spans="1:3">
      <c r="A107" t="str">
        <f>TEXT(IF('Real Structures'!B113&lt;&gt;0,'Real Structures'!B113, ""), "d-mmm-yy")</f>
        <v/>
      </c>
      <c r="B107" t="str">
        <f>IF(ISNUMBER('Real Structures'!C113),'Real Structures'!C113, "")</f>
        <v/>
      </c>
      <c r="C107" t="str">
        <f>IF(ISNUMBER('Real Structures'!D113),'Real Structures'!D113, "")</f>
        <v/>
      </c>
    </row>
    <row r="108" spans="1:3">
      <c r="A108" t="str">
        <f>TEXT(IF('Real Structures'!B114&lt;&gt;0,'Real Structures'!B114, ""), "d-mmm-yy")</f>
        <v/>
      </c>
      <c r="B108" t="str">
        <f>IF(ISNUMBER('Real Structures'!C114),'Real Structures'!C114, "")</f>
        <v/>
      </c>
      <c r="C108" t="str">
        <f>IF(ISNUMBER('Real Structures'!D114),'Real Structures'!D114, "")</f>
        <v/>
      </c>
    </row>
    <row r="109" spans="1:3">
      <c r="A109" t="str">
        <f>TEXT(IF('Real Structures'!B115&lt;&gt;0,'Real Structures'!B115, ""), "d-mmm-yy")</f>
        <v/>
      </c>
      <c r="B109" t="str">
        <f>IF(ISNUMBER('Real Structures'!C115),'Real Structures'!C115, "")</f>
        <v/>
      </c>
      <c r="C109" t="str">
        <f>IF(ISNUMBER('Real Structures'!D115),'Real Structures'!D115, "")</f>
        <v/>
      </c>
    </row>
    <row r="110" spans="1:3">
      <c r="A110" t="str">
        <f>TEXT(IF('Real Structures'!B116&lt;&gt;0,'Real Structures'!B116, ""), "d-mmm-yy")</f>
        <v/>
      </c>
      <c r="B110" t="str">
        <f>IF(ISNUMBER('Real Structures'!C116),'Real Structures'!C116, "")</f>
        <v/>
      </c>
      <c r="C110" t="str">
        <f>IF(ISNUMBER('Real Structures'!D116),'Real Structures'!D116, "")</f>
        <v/>
      </c>
    </row>
    <row r="111" spans="1:3">
      <c r="A111" t="str">
        <f>TEXT(IF('Real Structures'!B117&lt;&gt;0,'Real Structures'!B117, ""), "d-mmm-yy")</f>
        <v/>
      </c>
      <c r="B111" t="str">
        <f>IF(ISNUMBER('Real Structures'!C117),'Real Structures'!C117, "")</f>
        <v/>
      </c>
      <c r="C111" t="str">
        <f>IF(ISNUMBER('Real Structures'!D117),'Real Structures'!D117, "")</f>
        <v/>
      </c>
    </row>
    <row r="112" spans="1:3">
      <c r="A112" t="str">
        <f>TEXT(IF('Real Structures'!B118&lt;&gt;0,'Real Structures'!B118, ""), "d-mmm-yy")</f>
        <v/>
      </c>
      <c r="B112" t="str">
        <f>IF(ISNUMBER('Real Structures'!C118),'Real Structures'!C118, "")</f>
        <v/>
      </c>
      <c r="C112" t="str">
        <f>IF(ISNUMBER('Real Structures'!D118),'Real Structures'!D118, "")</f>
        <v/>
      </c>
    </row>
    <row r="113" spans="1:3">
      <c r="A113" t="str">
        <f>TEXT(IF('Real Structures'!B119&lt;&gt;0,'Real Structures'!B119, ""), "d-mmm-yy")</f>
        <v/>
      </c>
      <c r="B113" t="str">
        <f>IF(ISNUMBER('Real Structures'!C119),'Real Structures'!C119, "")</f>
        <v/>
      </c>
      <c r="C113" t="str">
        <f>IF(ISNUMBER('Real Structures'!D119),'Real Structures'!D119, "")</f>
        <v/>
      </c>
    </row>
    <row r="114" spans="1:3">
      <c r="A114" t="str">
        <f>TEXT(IF('Real Structures'!B120&lt;&gt;0,'Real Structures'!B120, ""), "d-mmm-yy")</f>
        <v/>
      </c>
      <c r="B114" t="str">
        <f>IF(ISNUMBER('Real Structures'!C120),'Real Structures'!C120, "")</f>
        <v/>
      </c>
      <c r="C114" t="str">
        <f>IF(ISNUMBER('Real Structures'!D120),'Real Structures'!D120, "")</f>
        <v/>
      </c>
    </row>
    <row r="115" spans="1:3">
      <c r="A115" t="str">
        <f>TEXT(IF('Real Structures'!B121&lt;&gt;0,'Real Structures'!B121, ""), "d-mmm-yy")</f>
        <v/>
      </c>
      <c r="B115" t="str">
        <f>IF(ISNUMBER('Real Structures'!C121),'Real Structures'!C121, "")</f>
        <v/>
      </c>
      <c r="C115" t="str">
        <f>IF(ISNUMBER('Real Structures'!D121),'Real Structures'!D121, "")</f>
        <v/>
      </c>
    </row>
    <row r="116" spans="1:3">
      <c r="A116" t="str">
        <f>TEXT(IF('Real Structures'!B122&lt;&gt;0,'Real Structures'!B122, ""), "d-mmm-yy")</f>
        <v/>
      </c>
      <c r="B116" t="str">
        <f>IF(ISNUMBER('Real Structures'!C122),'Real Structures'!C122, "")</f>
        <v/>
      </c>
      <c r="C116" t="str">
        <f>IF(ISNUMBER('Real Structures'!D122),'Real Structures'!D122, "")</f>
        <v/>
      </c>
    </row>
    <row r="117" spans="1:3">
      <c r="A117" t="str">
        <f>TEXT(IF('Real Structures'!B123&lt;&gt;0,'Real Structures'!B123, ""), "d-mmm-yy")</f>
        <v/>
      </c>
      <c r="B117" t="str">
        <f>IF(ISNUMBER('Real Structures'!C123),'Real Structures'!C123, "")</f>
        <v/>
      </c>
      <c r="C117" t="str">
        <f>IF(ISNUMBER('Real Structures'!D123),'Real Structures'!D123, "")</f>
        <v/>
      </c>
    </row>
    <row r="118" spans="1:3">
      <c r="A118" t="str">
        <f>TEXT(IF('Real Structures'!B124&lt;&gt;0,'Real Structures'!B124, ""), "d-mmm-yy")</f>
        <v/>
      </c>
      <c r="B118" t="str">
        <f>IF(ISNUMBER('Real Structures'!C124),'Real Structures'!C124, "")</f>
        <v/>
      </c>
      <c r="C118" t="str">
        <f>IF(ISNUMBER('Real Structures'!D124),'Real Structures'!D124, "")</f>
        <v/>
      </c>
    </row>
    <row r="119" spans="1:3">
      <c r="A119" t="str">
        <f>TEXT(IF('Real Structures'!B125&lt;&gt;0,'Real Structures'!B125, ""), "d-mmm-yy")</f>
        <v/>
      </c>
      <c r="B119" t="str">
        <f>IF(ISNUMBER('Real Structures'!C125),'Real Structures'!C125, "")</f>
        <v/>
      </c>
      <c r="C119" t="str">
        <f>IF(ISNUMBER('Real Structures'!D125),'Real Structures'!D125, "")</f>
        <v/>
      </c>
    </row>
    <row r="120" spans="1:3">
      <c r="A120" t="str">
        <f>TEXT(IF('Real Structures'!B126&lt;&gt;0,'Real Structures'!B126, ""), "d-mmm-yy")</f>
        <v/>
      </c>
      <c r="B120" t="str">
        <f>IF(ISNUMBER('Real Structures'!C126),'Real Structures'!C126, "")</f>
        <v/>
      </c>
      <c r="C120" t="str">
        <f>IF(ISNUMBER('Real Structures'!D126),'Real Structures'!D126, "")</f>
        <v/>
      </c>
    </row>
    <row r="121" spans="1:3">
      <c r="A121" t="str">
        <f>TEXT(IF('Real Structures'!B127&lt;&gt;0,'Real Structures'!B127, ""), "d-mmm-yy")</f>
        <v/>
      </c>
      <c r="B121" t="str">
        <f>IF(ISNUMBER('Real Structures'!C127),'Real Structures'!C127, "")</f>
        <v/>
      </c>
      <c r="C121" t="str">
        <f>IF(ISNUMBER('Real Structures'!D127),'Real Structures'!D127, "")</f>
        <v/>
      </c>
    </row>
    <row r="122" spans="1:3">
      <c r="A122" t="str">
        <f>TEXT(IF('Real Structures'!B128&lt;&gt;0,'Real Structures'!B128, ""), "d-mmm-yy")</f>
        <v/>
      </c>
      <c r="B122" t="str">
        <f>IF(ISNUMBER('Real Structures'!C128),'Real Structures'!C128, "")</f>
        <v/>
      </c>
      <c r="C122" t="str">
        <f>IF(ISNUMBER('Real Structures'!D128),'Real Structures'!D128, "")</f>
        <v/>
      </c>
    </row>
    <row r="123" spans="1:3">
      <c r="A123" t="str">
        <f>TEXT(IF('Real Structures'!B129&lt;&gt;0,'Real Structures'!B129, ""), "d-mmm-yy")</f>
        <v/>
      </c>
      <c r="B123" t="str">
        <f>IF(ISNUMBER('Real Structures'!C129),'Real Structures'!C129, "")</f>
        <v/>
      </c>
      <c r="C123" t="str">
        <f>IF(ISNUMBER('Real Structures'!D129),'Real Structures'!D129, "")</f>
        <v/>
      </c>
    </row>
    <row r="124" spans="1:3">
      <c r="A124" t="str">
        <f>TEXT(IF('Real Structures'!B130&lt;&gt;0,'Real Structures'!B130, ""), "d-mmm-yy")</f>
        <v/>
      </c>
      <c r="B124" t="str">
        <f>IF(ISNUMBER('Real Structures'!C130),'Real Structures'!C130, "")</f>
        <v/>
      </c>
      <c r="C124" t="str">
        <f>IF(ISNUMBER('Real Structures'!D130),'Real Structures'!D130, "")</f>
        <v/>
      </c>
    </row>
    <row r="125" spans="1:3">
      <c r="A125" t="str">
        <f>TEXT(IF('Real Structures'!B131&lt;&gt;0,'Real Structures'!B131, ""), "d-mmm-yy")</f>
        <v/>
      </c>
      <c r="B125" t="str">
        <f>IF(ISNUMBER('Real Structures'!C131),'Real Structures'!C131, "")</f>
        <v/>
      </c>
      <c r="C125" t="str">
        <f>IF(ISNUMBER('Real Structures'!D131),'Real Structures'!D131, "")</f>
        <v/>
      </c>
    </row>
    <row r="126" spans="1:3">
      <c r="A126" t="str">
        <f>TEXT(IF('Real Structures'!B132&lt;&gt;0,'Real Structures'!B132, ""), "d-mmm-yy")</f>
        <v/>
      </c>
      <c r="B126" t="str">
        <f>IF(ISNUMBER('Real Structures'!C132),'Real Structures'!C132, "")</f>
        <v/>
      </c>
      <c r="C126" t="str">
        <f>IF(ISNUMBER('Real Structures'!D132),'Real Structures'!D132, "")</f>
        <v/>
      </c>
    </row>
    <row r="127" spans="1:3">
      <c r="A127" t="str">
        <f>TEXT(IF('Real Structures'!B133&lt;&gt;0,'Real Structures'!B133, ""), "d-mmm-yy")</f>
        <v/>
      </c>
      <c r="B127" t="str">
        <f>IF(ISNUMBER('Real Structures'!C133),'Real Structures'!C133, "")</f>
        <v/>
      </c>
      <c r="C127" t="str">
        <f>IF(ISNUMBER('Real Structures'!D133),'Real Structures'!D133, "")</f>
        <v/>
      </c>
    </row>
    <row r="128" spans="1:3">
      <c r="A128" t="str">
        <f>TEXT(IF('Real Structures'!B134&lt;&gt;0,'Real Structures'!B134, ""), "d-mmm-yy")</f>
        <v/>
      </c>
      <c r="B128" t="str">
        <f>IF(ISNUMBER('Real Structures'!C134),'Real Structures'!C134, "")</f>
        <v/>
      </c>
      <c r="C128" t="str">
        <f>IF(ISNUMBER('Real Structures'!D134),'Real Structures'!D134, "")</f>
        <v/>
      </c>
    </row>
    <row r="129" spans="1:3">
      <c r="A129" t="str">
        <f>TEXT(IF('Real Structures'!B135&lt;&gt;0,'Real Structures'!B135, ""), "d-mmm-yy")</f>
        <v/>
      </c>
      <c r="B129" t="str">
        <f>IF(ISNUMBER('Real Structures'!C135),'Real Structures'!C135, "")</f>
        <v/>
      </c>
      <c r="C129" t="str">
        <f>IF(ISNUMBER('Real Structures'!D135),'Real Structures'!D135, "")</f>
        <v/>
      </c>
    </row>
    <row r="130" spans="1:3">
      <c r="A130" t="str">
        <f>TEXT(IF('Real Structures'!B136&lt;&gt;0,'Real Structures'!B136, ""), "d-mmm-yy")</f>
        <v/>
      </c>
      <c r="B130" t="str">
        <f>IF(ISNUMBER('Real Structures'!C136),'Real Structures'!C136, "")</f>
        <v/>
      </c>
      <c r="C130" t="str">
        <f>IF(ISNUMBER('Real Structures'!D136),'Real Structures'!D136, "")</f>
        <v/>
      </c>
    </row>
    <row r="131" spans="1:3">
      <c r="A131" t="str">
        <f>TEXT(IF('Real Structures'!B137&lt;&gt;0,'Real Structures'!B137, ""), "d-mmm-yy")</f>
        <v/>
      </c>
      <c r="B131" t="str">
        <f>IF(ISNUMBER('Real Structures'!C137),'Real Structures'!C137, "")</f>
        <v/>
      </c>
      <c r="C131" t="str">
        <f>IF(ISNUMBER('Real Structures'!D137),'Real Structures'!D137, "")</f>
        <v/>
      </c>
    </row>
    <row r="132" spans="1:3">
      <c r="A132" t="str">
        <f>TEXT(IF('Real Structures'!B138&lt;&gt;0,'Real Structures'!B138, ""), "d-mmm-yy")</f>
        <v/>
      </c>
      <c r="B132" t="str">
        <f>IF(ISNUMBER('Real Structures'!C138),'Real Structures'!C138, "")</f>
        <v/>
      </c>
      <c r="C132" t="str">
        <f>IF(ISNUMBER('Real Structures'!D138),'Real Structures'!D138, "")</f>
        <v/>
      </c>
    </row>
    <row r="133" spans="1:3">
      <c r="A133" t="str">
        <f>TEXT(IF('Real Structures'!B139&lt;&gt;0,'Real Structures'!B139, ""), "d-mmm-yy")</f>
        <v/>
      </c>
      <c r="B133" t="str">
        <f>IF(ISNUMBER('Real Structures'!C139),'Real Structures'!C139, "")</f>
        <v/>
      </c>
      <c r="C133" t="str">
        <f>IF(ISNUMBER('Real Structures'!D139),'Real Structures'!D139, "")</f>
        <v/>
      </c>
    </row>
    <row r="134" spans="1:3">
      <c r="A134" t="str">
        <f>TEXT(IF('Real Structures'!B140&lt;&gt;0,'Real Structures'!B140, ""), "d-mmm-yy")</f>
        <v/>
      </c>
      <c r="B134" t="str">
        <f>IF(ISNUMBER('Real Structures'!C140),'Real Structures'!C140, "")</f>
        <v/>
      </c>
      <c r="C134" t="str">
        <f>IF(ISNUMBER('Real Structures'!D140),'Real Structures'!D140, "")</f>
        <v/>
      </c>
    </row>
    <row r="135" spans="1:3">
      <c r="A135" t="str">
        <f>TEXT(IF('Real Structures'!B141&lt;&gt;0,'Real Structures'!B141, ""), "d-mmm-yy")</f>
        <v/>
      </c>
      <c r="B135" t="str">
        <f>IF(ISNUMBER('Real Structures'!C141),'Real Structures'!C141, "")</f>
        <v/>
      </c>
      <c r="C135" t="str">
        <f>IF(ISNUMBER('Real Structures'!D141),'Real Structures'!D141, "")</f>
        <v/>
      </c>
    </row>
    <row r="136" spans="1:3">
      <c r="A136" t="str">
        <f>TEXT(IF('Real Structures'!B142&lt;&gt;0,'Real Structures'!B142, ""), "d-mmm-yy")</f>
        <v/>
      </c>
      <c r="B136" t="str">
        <f>IF(ISNUMBER('Real Structures'!C142),'Real Structures'!C142, "")</f>
        <v/>
      </c>
      <c r="C136" t="str">
        <f>IF(ISNUMBER('Real Structures'!D142),'Real Structures'!D142, "")</f>
        <v/>
      </c>
    </row>
    <row r="137" spans="1:3">
      <c r="A137" t="str">
        <f>TEXT(IF('Real Structures'!B143&lt;&gt;0,'Real Structures'!B143, ""), "d-mmm-yy")</f>
        <v/>
      </c>
      <c r="B137" t="str">
        <f>IF(ISNUMBER('Real Structures'!C143),'Real Structures'!C143, "")</f>
        <v/>
      </c>
      <c r="C137" t="str">
        <f>IF(ISNUMBER('Real Structures'!D143),'Real Structures'!D143, "")</f>
        <v/>
      </c>
    </row>
    <row r="138" spans="1:3">
      <c r="A138" t="str">
        <f>TEXT(IF('Real Structures'!B144&lt;&gt;0,'Real Structures'!B144, ""), "d-mmm-yy")</f>
        <v/>
      </c>
      <c r="B138" t="str">
        <f>IF(ISNUMBER('Real Structures'!C144),'Real Structures'!C144, "")</f>
        <v/>
      </c>
      <c r="C138" t="str">
        <f>IF(ISNUMBER('Real Structures'!D144),'Real Structures'!D144, "")</f>
        <v/>
      </c>
    </row>
    <row r="139" spans="1:3">
      <c r="A139" t="str">
        <f>TEXT(IF('Real Structures'!B145&lt;&gt;0,'Real Structures'!B145, ""), "d-mmm-yy")</f>
        <v/>
      </c>
      <c r="B139" t="str">
        <f>IF(ISNUMBER('Real Structures'!C145),'Real Structures'!C145, "")</f>
        <v/>
      </c>
      <c r="C139" t="str">
        <f>IF(ISNUMBER('Real Structures'!D145),'Real Structures'!D145, "")</f>
        <v/>
      </c>
    </row>
    <row r="140" spans="1:3">
      <c r="A140" t="str">
        <f>TEXT(IF('Real Structures'!B146&lt;&gt;0,'Real Structures'!B146, ""), "d-mmm-yy")</f>
        <v/>
      </c>
      <c r="B140" t="str">
        <f>IF(ISNUMBER('Real Structures'!C146),'Real Structures'!C146, "")</f>
        <v/>
      </c>
      <c r="C140" t="str">
        <f>IF(ISNUMBER('Real Structures'!D146),'Real Structures'!D146, "")</f>
        <v/>
      </c>
    </row>
    <row r="141" spans="1:3">
      <c r="A141" t="str">
        <f>TEXT(IF('Real Structures'!B147&lt;&gt;0,'Real Structures'!B147, ""), "d-mmm-yy")</f>
        <v/>
      </c>
      <c r="B141" t="str">
        <f>IF(ISNUMBER('Real Structures'!C147),'Real Structures'!C147, "")</f>
        <v/>
      </c>
      <c r="C141" t="str">
        <f>IF(ISNUMBER('Real Structures'!D147),'Real Structures'!D147, "")</f>
        <v/>
      </c>
    </row>
    <row r="142" spans="1:3">
      <c r="A142" t="str">
        <f>TEXT(IF('Real Structures'!B148&lt;&gt;0,'Real Structures'!B148, ""), "d-mmm-yy")</f>
        <v/>
      </c>
      <c r="B142" t="str">
        <f>IF(ISNUMBER('Real Structures'!C148),'Real Structures'!C148, "")</f>
        <v/>
      </c>
      <c r="C142" t="str">
        <f>IF(ISNUMBER('Real Structures'!D148),'Real Structures'!D148, "")</f>
        <v/>
      </c>
    </row>
    <row r="143" spans="1:3">
      <c r="A143" t="str">
        <f>TEXT(IF('Real Structures'!B149&lt;&gt;0,'Real Structures'!B149, ""), "d-mmm-yy")</f>
        <v/>
      </c>
      <c r="B143" t="str">
        <f>IF(ISNUMBER('Real Structures'!C149),'Real Structures'!C149, "")</f>
        <v/>
      </c>
      <c r="C143" t="str">
        <f>IF(ISNUMBER('Real Structures'!D149),'Real Structures'!D149, "")</f>
        <v/>
      </c>
    </row>
    <row r="144" spans="1:3">
      <c r="A144" t="str">
        <f>TEXT(IF('Real Structures'!B150&lt;&gt;0,'Real Structures'!B150, ""), "d-mmm-yy")</f>
        <v/>
      </c>
      <c r="B144" t="str">
        <f>IF(ISNUMBER('Real Structures'!C150),'Real Structures'!C150, "")</f>
        <v/>
      </c>
      <c r="C144" t="str">
        <f>IF(ISNUMBER('Real Structures'!D150),'Real Structures'!D150, "")</f>
        <v/>
      </c>
    </row>
    <row r="145" spans="1:3">
      <c r="A145" t="str">
        <f>TEXT(IF('Real Structures'!B151&lt;&gt;0,'Real Structures'!B151, ""), "d-mmm-yy")</f>
        <v/>
      </c>
      <c r="B145" t="str">
        <f>IF(ISNUMBER('Real Structures'!C151),'Real Structures'!C151, "")</f>
        <v/>
      </c>
      <c r="C145" t="str">
        <f>IF(ISNUMBER('Real Structures'!D151),'Real Structures'!D151, "")</f>
        <v/>
      </c>
    </row>
    <row r="146" spans="1:3">
      <c r="A146" t="str">
        <f>TEXT(IF('Real Structures'!B152&lt;&gt;0,'Real Structures'!B152, ""), "d-mmm-yy")</f>
        <v/>
      </c>
      <c r="B146" t="str">
        <f>IF(ISNUMBER('Real Structures'!C152),'Real Structures'!C152, "")</f>
        <v/>
      </c>
      <c r="C146" t="str">
        <f>IF(ISNUMBER('Real Structures'!D152),'Real Structures'!D152, "")</f>
        <v/>
      </c>
    </row>
    <row r="147" spans="1:3">
      <c r="A147" t="str">
        <f>TEXT(IF('Real Structures'!B153&lt;&gt;0,'Real Structures'!B153, ""), "d-mmm-yy")</f>
        <v/>
      </c>
      <c r="B147" t="str">
        <f>IF(ISNUMBER('Real Structures'!C153),'Real Structures'!C153, "")</f>
        <v/>
      </c>
      <c r="C147" t="str">
        <f>IF(ISNUMBER('Real Structures'!D153),'Real Structures'!D153, "")</f>
        <v/>
      </c>
    </row>
    <row r="148" spans="1:3">
      <c r="A148" t="str">
        <f>TEXT(IF('Real Structures'!B154&lt;&gt;0,'Real Structures'!B154, ""), "d-mmm-yy")</f>
        <v/>
      </c>
      <c r="B148" t="str">
        <f>IF(ISNUMBER('Real Structures'!C154),'Real Structures'!C154, "")</f>
        <v/>
      </c>
      <c r="C148" t="str">
        <f>IF(ISNUMBER('Real Structures'!D154),'Real Structures'!D154, "")</f>
        <v/>
      </c>
    </row>
    <row r="149" spans="1:3">
      <c r="A149" t="str">
        <f>TEXT(IF('Real Structures'!B155&lt;&gt;0,'Real Structures'!B155, ""), "d-mmm-yy")</f>
        <v/>
      </c>
      <c r="B149" t="str">
        <f>IF(ISNUMBER('Real Structures'!C155),'Real Structures'!C155, "")</f>
        <v/>
      </c>
      <c r="C149" t="str">
        <f>IF(ISNUMBER('Real Structures'!D155),'Real Structures'!D155, "")</f>
        <v/>
      </c>
    </row>
    <row r="150" spans="1:3">
      <c r="A150" t="str">
        <f>TEXT(IF('Real Structures'!B156&lt;&gt;0,'Real Structures'!B156, ""), "d-mmm-yy")</f>
        <v/>
      </c>
      <c r="B150" t="str">
        <f>IF(ISNUMBER('Real Structures'!C156),'Real Structures'!C156, "")</f>
        <v/>
      </c>
      <c r="C150" t="str">
        <f>IF(ISNUMBER('Real Structures'!D156),'Real Structures'!D156, "")</f>
        <v/>
      </c>
    </row>
    <row r="151" spans="1:3">
      <c r="A151" t="str">
        <f>TEXT(IF('Real Structures'!B157&lt;&gt;0,'Real Structures'!B157, ""), "d-mmm-yy")</f>
        <v/>
      </c>
      <c r="B151" t="str">
        <f>IF(ISNUMBER('Real Structures'!C157),'Real Structures'!C157, "")</f>
        <v/>
      </c>
      <c r="C151" t="str">
        <f>IF(ISNUMBER('Real Structures'!D157),'Real Structures'!D157, "")</f>
        <v/>
      </c>
    </row>
    <row r="152" spans="1:3">
      <c r="A152" t="str">
        <f>TEXT(IF('Real Structures'!B158&lt;&gt;0,'Real Structures'!B158, ""), "d-mmm-yy")</f>
        <v/>
      </c>
      <c r="B152" t="str">
        <f>IF(ISNUMBER('Real Structures'!C158),'Real Structures'!C158, "")</f>
        <v/>
      </c>
      <c r="C152" t="str">
        <f>IF(ISNUMBER('Real Structures'!D158),'Real Structures'!D158, "")</f>
        <v/>
      </c>
    </row>
    <row r="153" spans="1:3">
      <c r="A153" t="str">
        <f>TEXT(IF('Real Structures'!B159&lt;&gt;0,'Real Structures'!B159, ""), "d-mmm-yy")</f>
        <v/>
      </c>
      <c r="B153" t="str">
        <f>IF(ISNUMBER('Real Structures'!C159),'Real Structures'!C159, "")</f>
        <v/>
      </c>
      <c r="C153" t="str">
        <f>IF(ISNUMBER('Real Structures'!D159),'Real Structures'!D159, "")</f>
        <v/>
      </c>
    </row>
    <row r="154" spans="1:3">
      <c r="A154" t="str">
        <f>TEXT(IF('Real Structures'!B160&lt;&gt;0,'Real Structures'!B160, ""), "d-mmm-yy")</f>
        <v/>
      </c>
      <c r="B154" t="str">
        <f>IF(ISNUMBER('Real Structures'!C160),'Real Structures'!C160, "")</f>
        <v/>
      </c>
      <c r="C154" t="str">
        <f>IF(ISNUMBER('Real Structures'!D160),'Real Structures'!D160, "")</f>
        <v/>
      </c>
    </row>
    <row r="155" spans="1:3">
      <c r="A155" t="str">
        <f>TEXT(IF('Real Structures'!B161&lt;&gt;0,'Real Structures'!B161, ""), "d-mmm-yy")</f>
        <v/>
      </c>
      <c r="B155" t="str">
        <f>IF(ISNUMBER('Real Structures'!C161),'Real Structures'!C161, "")</f>
        <v/>
      </c>
      <c r="C155" t="str">
        <f>IF(ISNUMBER('Real Structures'!D161),'Real Structures'!D161, "")</f>
        <v/>
      </c>
    </row>
    <row r="156" spans="1:3">
      <c r="A156" t="str">
        <f>TEXT(IF('Real Structures'!B162&lt;&gt;0,'Real Structures'!B162, ""), "d-mmm-yy")</f>
        <v/>
      </c>
      <c r="B156" t="str">
        <f>IF(ISNUMBER('Real Structures'!C162),'Real Structures'!C162, "")</f>
        <v/>
      </c>
      <c r="C156" t="str">
        <f>IF(ISNUMBER('Real Structures'!D162),'Real Structures'!D162, "")</f>
        <v/>
      </c>
    </row>
    <row r="157" spans="1:3">
      <c r="A157" t="str">
        <f>TEXT(IF('Real Structures'!B163&lt;&gt;0,'Real Structures'!B163, ""), "d-mmm-yy")</f>
        <v/>
      </c>
      <c r="B157" t="str">
        <f>IF(ISNUMBER('Real Structures'!C163),'Real Structures'!C163, "")</f>
        <v/>
      </c>
      <c r="C157" t="str">
        <f>IF(ISNUMBER('Real Structures'!D163),'Real Structures'!D163, "")</f>
        <v/>
      </c>
    </row>
    <row r="158" spans="1:3">
      <c r="A158" t="str">
        <f>TEXT(IF('Real Structures'!B164&lt;&gt;0,'Real Structures'!B164, ""), "d-mmm-yy")</f>
        <v/>
      </c>
      <c r="B158" t="str">
        <f>IF(ISNUMBER('Real Structures'!C164),'Real Structures'!C164, "")</f>
        <v/>
      </c>
      <c r="C158" t="str">
        <f>IF(ISNUMBER('Real Structures'!D164),'Real Structures'!D164, "")</f>
        <v/>
      </c>
    </row>
    <row r="159" spans="1:3">
      <c r="A159" t="str">
        <f>TEXT(IF('Real Structures'!B165&lt;&gt;0,'Real Structures'!B165, ""), "d-mmm-yy")</f>
        <v/>
      </c>
      <c r="B159" t="str">
        <f>IF(ISNUMBER('Real Structures'!C165),'Real Structures'!C165, "")</f>
        <v/>
      </c>
      <c r="C159" t="str">
        <f>IF(ISNUMBER('Real Structures'!D165),'Real Structures'!D165, "")</f>
        <v/>
      </c>
    </row>
    <row r="160" spans="1:3">
      <c r="A160" t="str">
        <f>TEXT(IF('Real Structures'!B166&lt;&gt;0,'Real Structures'!B166, ""), "d-mmm-yy")</f>
        <v/>
      </c>
      <c r="B160" t="str">
        <f>IF(ISNUMBER('Real Structures'!C166),'Real Structures'!C166, "")</f>
        <v/>
      </c>
      <c r="C160" t="str">
        <f>IF(ISNUMBER('Real Structures'!D166),'Real Structures'!D166, "")</f>
        <v/>
      </c>
    </row>
    <row r="161" spans="1:3">
      <c r="A161" t="str">
        <f>TEXT(IF('Real Structures'!B167&lt;&gt;0,'Real Structures'!B167, ""), "d-mmm-yy")</f>
        <v/>
      </c>
      <c r="B161" t="str">
        <f>IF(ISNUMBER('Real Structures'!C167),'Real Structures'!C167, "")</f>
        <v/>
      </c>
      <c r="C161" t="str">
        <f>IF(ISNUMBER('Real Structures'!D167),'Real Structures'!D167, "")</f>
        <v/>
      </c>
    </row>
    <row r="162" spans="1:3">
      <c r="A162" t="str">
        <f>TEXT(IF('Real Structures'!B168&lt;&gt;0,'Real Structures'!B168, ""), "d-mmm-yy")</f>
        <v/>
      </c>
      <c r="B162" t="str">
        <f>IF(ISNUMBER('Real Structures'!C168),'Real Structures'!C168, "")</f>
        <v/>
      </c>
      <c r="C162" t="str">
        <f>IF(ISNUMBER('Real Structures'!D168),'Real Structures'!D168, "")</f>
        <v/>
      </c>
    </row>
    <row r="163" spans="1:3">
      <c r="A163" t="str">
        <f>TEXT(IF('Real Structures'!B169&lt;&gt;0,'Real Structures'!B169, ""), "d-mmm-yy")</f>
        <v/>
      </c>
      <c r="B163" t="str">
        <f>IF(ISNUMBER('Real Structures'!C169),'Real Structures'!C169, "")</f>
        <v/>
      </c>
      <c r="C163" t="str">
        <f>IF(ISNUMBER('Real Structures'!D169),'Real Structures'!D169, "")</f>
        <v/>
      </c>
    </row>
    <row r="164" spans="1:3">
      <c r="A164" t="str">
        <f>TEXT(IF('Real Structures'!B170&lt;&gt;0,'Real Structures'!B170, ""), "d-mmm-yy")</f>
        <v/>
      </c>
      <c r="B164" t="str">
        <f>IF(ISNUMBER('Real Structures'!C170),'Real Structures'!C170, "")</f>
        <v/>
      </c>
      <c r="C164" t="str">
        <f>IF(ISNUMBER('Real Structures'!D170),'Real Structures'!D170, "")</f>
        <v/>
      </c>
    </row>
    <row r="165" spans="1:3">
      <c r="A165" t="str">
        <f>TEXT(IF('Real Structures'!B171&lt;&gt;0,'Real Structures'!B171, ""), "d-mmm-yy")</f>
        <v/>
      </c>
      <c r="B165" t="str">
        <f>IF(ISNUMBER('Real Structures'!C171),'Real Structures'!C171, "")</f>
        <v/>
      </c>
      <c r="C165" t="str">
        <f>IF(ISNUMBER('Real Structures'!D171),'Real Structures'!D171, "")</f>
        <v/>
      </c>
    </row>
    <row r="166" spans="1:3">
      <c r="A166" t="str">
        <f>TEXT(IF('Real Structures'!B172&lt;&gt;0,'Real Structures'!B172, ""), "d-mmm-yy")</f>
        <v/>
      </c>
      <c r="B166" t="str">
        <f>IF(ISNUMBER('Real Structures'!C172),'Real Structures'!C172, "")</f>
        <v/>
      </c>
      <c r="C166" t="str">
        <f>IF(ISNUMBER('Real Structures'!D172),'Real Structures'!D172, "")</f>
        <v/>
      </c>
    </row>
    <row r="167" spans="1:3">
      <c r="A167" t="str">
        <f>TEXT(IF('Real Structures'!B173&lt;&gt;0,'Real Structures'!B173, ""), "d-mmm-yy")</f>
        <v/>
      </c>
      <c r="B167" t="str">
        <f>IF(ISNUMBER('Real Structures'!C173),'Real Structures'!C173, "")</f>
        <v/>
      </c>
      <c r="C167" t="str">
        <f>IF(ISNUMBER('Real Structures'!D173),'Real Structures'!D173, "")</f>
        <v/>
      </c>
    </row>
    <row r="168" spans="1:3">
      <c r="A168" t="str">
        <f>TEXT(IF('Real Structures'!B174&lt;&gt;0,'Real Structures'!B174, ""), "d-mmm-yy")</f>
        <v/>
      </c>
      <c r="B168" t="str">
        <f>IF(ISNUMBER('Real Structures'!C174),'Real Structures'!C174, "")</f>
        <v/>
      </c>
      <c r="C168" t="str">
        <f>IF(ISNUMBER('Real Structures'!D174),'Real Structures'!D174, "")</f>
        <v/>
      </c>
    </row>
    <row r="169" spans="1:3">
      <c r="A169" t="str">
        <f>TEXT(IF('Real Structures'!B175&lt;&gt;0,'Real Structures'!B175, ""), "d-mmm-yy")</f>
        <v/>
      </c>
      <c r="B169" t="str">
        <f>IF(ISNUMBER('Real Structures'!C175),'Real Structures'!C175, "")</f>
        <v/>
      </c>
      <c r="C169" t="str">
        <f>IF(ISNUMBER('Real Structures'!D175),'Real Structures'!D175, "")</f>
        <v/>
      </c>
    </row>
    <row r="170" spans="1:3">
      <c r="A170" t="str">
        <f>TEXT(IF('Real Structures'!B176&lt;&gt;0,'Real Structures'!B176, ""), "d-mmm-yy")</f>
        <v/>
      </c>
      <c r="B170" t="str">
        <f>IF(ISNUMBER('Real Structures'!C176),'Real Structures'!C176, "")</f>
        <v/>
      </c>
      <c r="C170" t="str">
        <f>IF(ISNUMBER('Real Structures'!D176),'Real Structures'!D176, "")</f>
        <v/>
      </c>
    </row>
    <row r="171" spans="1:3">
      <c r="A171" t="str">
        <f>TEXT(IF('Real Structures'!B177&lt;&gt;0,'Real Structures'!B177, ""), "d-mmm-yy")</f>
        <v/>
      </c>
      <c r="B171" t="str">
        <f>IF(ISNUMBER('Real Structures'!C177),'Real Structures'!C177, "")</f>
        <v/>
      </c>
      <c r="C171" t="str">
        <f>IF(ISNUMBER('Real Structures'!D177),'Real Structures'!D177, "")</f>
        <v/>
      </c>
    </row>
    <row r="172" spans="1:3">
      <c r="A172" t="str">
        <f>TEXT(IF('Real Structures'!B178&lt;&gt;0,'Real Structures'!B178, ""), "d-mmm-yy")</f>
        <v/>
      </c>
      <c r="B172" t="str">
        <f>IF(ISNUMBER('Real Structures'!C178),'Real Structures'!C178, "")</f>
        <v/>
      </c>
      <c r="C172" t="str">
        <f>IF(ISNUMBER('Real Structures'!D178),'Real Structures'!D178, "")</f>
        <v/>
      </c>
    </row>
    <row r="173" spans="1:3">
      <c r="A173" t="str">
        <f>TEXT(IF('Real Structures'!B179&lt;&gt;0,'Real Structures'!B179, ""), "d-mmm-yy")</f>
        <v/>
      </c>
      <c r="B173" t="str">
        <f>IF(ISNUMBER('Real Structures'!C179),'Real Structures'!C179, "")</f>
        <v/>
      </c>
      <c r="C173" t="str">
        <f>IF(ISNUMBER('Real Structures'!D179),'Real Structures'!D179, "")</f>
        <v/>
      </c>
    </row>
    <row r="174" spans="1:3">
      <c r="A174" t="str">
        <f>TEXT(IF('Real Structures'!B180&lt;&gt;0,'Real Structures'!B180, ""), "d-mmm-yy")</f>
        <v/>
      </c>
      <c r="B174" t="str">
        <f>IF(ISNUMBER('Real Structures'!C180),'Real Structures'!C180, "")</f>
        <v/>
      </c>
      <c r="C174" t="str">
        <f>IF(ISNUMBER('Real Structures'!D180),'Real Structures'!D180, "")</f>
        <v/>
      </c>
    </row>
    <row r="175" spans="1:3">
      <c r="A175" t="str">
        <f>TEXT(IF('Real Structures'!B181&lt;&gt;0,'Real Structures'!B181, ""), "d-mmm-yy")</f>
        <v/>
      </c>
      <c r="B175" t="str">
        <f>IF(ISNUMBER('Real Structures'!C181),'Real Structures'!C181, "")</f>
        <v/>
      </c>
      <c r="C175" t="str">
        <f>IF(ISNUMBER('Real Structures'!D181),'Real Structures'!D181, "")</f>
        <v/>
      </c>
    </row>
    <row r="176" spans="1:3">
      <c r="A176" t="str">
        <f>TEXT(IF('Real Structures'!B182&lt;&gt;0,'Real Structures'!B182, ""), "d-mmm-yy")</f>
        <v/>
      </c>
      <c r="B176" t="str">
        <f>IF(ISNUMBER('Real Structures'!C182),'Real Structures'!C182, "")</f>
        <v/>
      </c>
      <c r="C176" t="str">
        <f>IF(ISNUMBER('Real Structures'!D182),'Real Structures'!D182, "")</f>
        <v/>
      </c>
    </row>
    <row r="177" spans="1:3">
      <c r="A177" t="str">
        <f>TEXT(IF('Real Structures'!B183&lt;&gt;0,'Real Structures'!B183, ""), "d-mmm-yy")</f>
        <v/>
      </c>
      <c r="B177" t="str">
        <f>IF(ISNUMBER('Real Structures'!C183),'Real Structures'!C183, "")</f>
        <v/>
      </c>
      <c r="C177" t="str">
        <f>IF(ISNUMBER('Real Structures'!D183),'Real Structures'!D183, "")</f>
        <v/>
      </c>
    </row>
    <row r="178" spans="1:3">
      <c r="A178" t="str">
        <f>TEXT(IF('Real Structures'!B184&lt;&gt;0,'Real Structures'!B184, ""), "d-mmm-yy")</f>
        <v/>
      </c>
      <c r="B178" t="str">
        <f>IF(ISNUMBER('Real Structures'!C184),'Real Structures'!C184, "")</f>
        <v/>
      </c>
      <c r="C178" t="str">
        <f>IF(ISNUMBER('Real Structures'!D184),'Real Structures'!D184, "")</f>
        <v/>
      </c>
    </row>
    <row r="179" spans="1:3">
      <c r="A179" t="str">
        <f>TEXT(IF('Real Structures'!B185&lt;&gt;0,'Real Structures'!B185, ""), "d-mmm-yy")</f>
        <v/>
      </c>
      <c r="B179" t="str">
        <f>IF(ISNUMBER('Real Structures'!C185),'Real Structures'!C185, "")</f>
        <v/>
      </c>
      <c r="C179" t="str">
        <f>IF(ISNUMBER('Real Structures'!D185),'Real Structures'!D185, "")</f>
        <v/>
      </c>
    </row>
    <row r="180" spans="1:3">
      <c r="A180" t="str">
        <f>TEXT(IF('Real Structures'!B186&lt;&gt;0,'Real Structures'!B186, ""), "d-mmm-yy")</f>
        <v/>
      </c>
      <c r="B180" t="str">
        <f>IF(ISNUMBER('Real Structures'!C186),'Real Structures'!C186, "")</f>
        <v/>
      </c>
      <c r="C180" t="str">
        <f>IF(ISNUMBER('Real Structures'!D186),'Real Structures'!D186, "")</f>
        <v/>
      </c>
    </row>
    <row r="181" spans="1:3">
      <c r="A181" t="str">
        <f>TEXT(IF('Real Structures'!B187&lt;&gt;0,'Real Structures'!B187, ""), "d-mmm-yy")</f>
        <v/>
      </c>
      <c r="B181" t="str">
        <f>IF(ISNUMBER('Real Structures'!C187),'Real Structures'!C187, "")</f>
        <v/>
      </c>
      <c r="C181" t="str">
        <f>IF(ISNUMBER('Real Structures'!D187),'Real Structures'!D187, "")</f>
        <v/>
      </c>
    </row>
    <row r="182" spans="1:3">
      <c r="A182" t="str">
        <f>TEXT(IF('Real Structures'!B188&lt;&gt;0,'Real Structures'!B188, ""), "d-mmm-yy")</f>
        <v/>
      </c>
      <c r="B182" t="str">
        <f>IF(ISNUMBER('Real Structures'!C188),'Real Structures'!C188, "")</f>
        <v/>
      </c>
      <c r="C182" t="str">
        <f>IF(ISNUMBER('Real Structures'!D188),'Real Structures'!D188, "")</f>
        <v/>
      </c>
    </row>
    <row r="183" spans="1:3">
      <c r="A183" t="str">
        <f>TEXT(IF('Real Structures'!B189&lt;&gt;0,'Real Structures'!B189, ""), "d-mmm-yy")</f>
        <v/>
      </c>
      <c r="B183" t="str">
        <f>IF(ISNUMBER('Real Structures'!C189),'Real Structures'!C189, "")</f>
        <v/>
      </c>
      <c r="C183" t="str">
        <f>IF(ISNUMBER('Real Structures'!D189),'Real Structures'!D189, "")</f>
        <v/>
      </c>
    </row>
    <row r="184" spans="1:3">
      <c r="A184" t="str">
        <f>TEXT(IF('Real Structures'!B190&lt;&gt;0,'Real Structures'!B190, ""), "d-mmm-yy")</f>
        <v/>
      </c>
      <c r="B184" t="str">
        <f>IF(ISNUMBER('Real Structures'!C190),'Real Structures'!C190, "")</f>
        <v/>
      </c>
      <c r="C184" t="str">
        <f>IF(ISNUMBER('Real Structures'!D190),'Real Structures'!D190, "")</f>
        <v/>
      </c>
    </row>
    <row r="185" spans="1:3">
      <c r="A185" t="str">
        <f>TEXT(IF('Real Structures'!B191&lt;&gt;0,'Real Structures'!B191, ""), "d-mmm-yy")</f>
        <v/>
      </c>
      <c r="B185" t="str">
        <f>IF(ISNUMBER('Real Structures'!C191),'Real Structures'!C191, "")</f>
        <v/>
      </c>
      <c r="C185" t="str">
        <f>IF(ISNUMBER('Real Structures'!D191),'Real Structures'!D191, "")</f>
        <v/>
      </c>
    </row>
    <row r="186" spans="1:3">
      <c r="A186" t="str">
        <f>TEXT(IF('Real Structures'!B192&lt;&gt;0,'Real Structures'!B192, ""), "d-mmm-yy")</f>
        <v/>
      </c>
      <c r="B186" t="str">
        <f>IF(ISNUMBER('Real Structures'!C192),'Real Structures'!C192, "")</f>
        <v/>
      </c>
      <c r="C186" t="str">
        <f>IF(ISNUMBER('Real Structures'!D192),'Real Structures'!D192, "")</f>
        <v/>
      </c>
    </row>
    <row r="187" spans="1:3">
      <c r="A187" t="str">
        <f>TEXT(IF('Real Structures'!B193&lt;&gt;0,'Real Structures'!B193, ""), "d-mmm-yy")</f>
        <v/>
      </c>
      <c r="B187" t="str">
        <f>IF(ISNUMBER('Real Structures'!C193),'Real Structures'!C193, "")</f>
        <v/>
      </c>
      <c r="C187" t="str">
        <f>IF(ISNUMBER('Real Structures'!D193),'Real Structures'!D193, "")</f>
        <v/>
      </c>
    </row>
    <row r="188" spans="1:3">
      <c r="A188" t="str">
        <f>TEXT(IF('Real Structures'!B194&lt;&gt;0,'Real Structures'!B194, ""), "d-mmm-yy")</f>
        <v/>
      </c>
      <c r="B188" t="str">
        <f>IF(ISNUMBER('Real Structures'!C194),'Real Structures'!C194, "")</f>
        <v/>
      </c>
      <c r="C188" t="str">
        <f>IF(ISNUMBER('Real Structures'!D194),'Real Structures'!D194, "")</f>
        <v/>
      </c>
    </row>
    <row r="189" spans="1:3">
      <c r="A189" t="str">
        <f>TEXT(IF('Real Structures'!B195&lt;&gt;0,'Real Structures'!B195, ""), "d-mmm-yy")</f>
        <v/>
      </c>
      <c r="B189" t="str">
        <f>IF(ISNUMBER('Real Structures'!C195),'Real Structures'!C195, "")</f>
        <v/>
      </c>
      <c r="C189" t="str">
        <f>IF(ISNUMBER('Real Structures'!D195),'Real Structures'!D195, "")</f>
        <v/>
      </c>
    </row>
    <row r="190" spans="1:3">
      <c r="A190" t="str">
        <f>TEXT(IF('Real Structures'!B196&lt;&gt;0,'Real Structures'!B196, ""), "d-mmm-yy")</f>
        <v/>
      </c>
      <c r="B190" t="str">
        <f>IF(ISNUMBER('Real Structures'!C196),'Real Structures'!C196, "")</f>
        <v/>
      </c>
      <c r="C190" t="str">
        <f>IF(ISNUMBER('Real Structures'!D196),'Real Structures'!D196, "")</f>
        <v/>
      </c>
    </row>
    <row r="191" spans="1:3">
      <c r="A191" t="str">
        <f>TEXT(IF('Real Structures'!B197&lt;&gt;0,'Real Structures'!B197, ""), "d-mmm-yy")</f>
        <v/>
      </c>
      <c r="B191" t="str">
        <f>IF(ISNUMBER('Real Structures'!C197),'Real Structures'!C197, "")</f>
        <v/>
      </c>
      <c r="C191" t="str">
        <f>IF(ISNUMBER('Real Structures'!D197),'Real Structures'!D197, "")</f>
        <v/>
      </c>
    </row>
    <row r="192" spans="1:3">
      <c r="A192" t="str">
        <f>TEXT(IF('Real Structures'!B198&lt;&gt;0,'Real Structures'!B198, ""), "d-mmm-yy")</f>
        <v/>
      </c>
      <c r="B192" t="str">
        <f>IF(ISNUMBER('Real Structures'!C198),'Real Structures'!C198, "")</f>
        <v/>
      </c>
      <c r="C192" t="str">
        <f>IF(ISNUMBER('Real Structures'!D198),'Real Structures'!D198, "")</f>
        <v/>
      </c>
    </row>
    <row r="193" spans="1:3">
      <c r="A193" t="str">
        <f>TEXT(IF('Real Structures'!B199&lt;&gt;0,'Real Structures'!B199, ""), "d-mmm-yy")</f>
        <v/>
      </c>
      <c r="B193" t="str">
        <f>IF(ISNUMBER('Real Structures'!C199),'Real Structures'!C199, "")</f>
        <v/>
      </c>
      <c r="C193" t="str">
        <f>IF(ISNUMBER('Real Structures'!D199),'Real Structures'!D199, "")</f>
        <v/>
      </c>
    </row>
    <row r="194" spans="1:3">
      <c r="A194" t="str">
        <f>TEXT(IF('Real Structures'!B200&lt;&gt;0,'Real Structures'!B200, ""), "d-mmm-yy")</f>
        <v/>
      </c>
      <c r="B194" t="str">
        <f>IF(ISNUMBER('Real Structures'!C200),'Real Structures'!C200, "")</f>
        <v/>
      </c>
      <c r="C194" t="str">
        <f>IF(ISNUMBER('Real Structures'!D200),'Real Structures'!D200, "")</f>
        <v/>
      </c>
    </row>
    <row r="195" spans="1:3">
      <c r="A195" t="str">
        <f>TEXT(IF('Real Structures'!B201&lt;&gt;0,'Real Structures'!B201, ""), "d-mmm-yy")</f>
        <v/>
      </c>
      <c r="B195" t="str">
        <f>IF(ISNUMBER('Real Structures'!C201),'Real Structures'!C201, "")</f>
        <v/>
      </c>
      <c r="C195" t="str">
        <f>IF(ISNUMBER('Real Structures'!D201),'Real Structures'!D201, "")</f>
        <v/>
      </c>
    </row>
    <row r="196" spans="1:3">
      <c r="A196" t="str">
        <f>TEXT(IF('Real Structures'!B202&lt;&gt;0,'Real Structures'!B202, ""), "d-mmm-yy")</f>
        <v/>
      </c>
      <c r="B196" t="str">
        <f>IF(ISNUMBER('Real Structures'!C202),'Real Structures'!C202, "")</f>
        <v/>
      </c>
      <c r="C196" t="str">
        <f>IF(ISNUMBER('Real Structures'!D202),'Real Structures'!D202, "")</f>
        <v/>
      </c>
    </row>
    <row r="197" spans="1:3">
      <c r="A197" t="str">
        <f>TEXT(IF('Real Structures'!B203&lt;&gt;0,'Real Structures'!B203, ""), "d-mmm-yy")</f>
        <v/>
      </c>
      <c r="B197" t="str">
        <f>IF(ISNUMBER('Real Structures'!C203),'Real Structures'!C203, "")</f>
        <v/>
      </c>
      <c r="C197" t="str">
        <f>IF(ISNUMBER('Real Structures'!D203),'Real Structures'!D203, "")</f>
        <v/>
      </c>
    </row>
    <row r="198" spans="1:3">
      <c r="A198" t="str">
        <f>TEXT(IF('Real Structures'!B204&lt;&gt;0,'Real Structures'!B204, ""), "d-mmm-yy")</f>
        <v/>
      </c>
      <c r="B198" t="str">
        <f>IF(ISNUMBER('Real Structures'!C204),'Real Structures'!C204, "")</f>
        <v/>
      </c>
      <c r="C198" t="str">
        <f>IF(ISNUMBER('Real Structures'!D204),'Real Structures'!D204, "")</f>
        <v/>
      </c>
    </row>
    <row r="199" spans="1:3">
      <c r="A199" t="str">
        <f>TEXT(IF('Real Structures'!B205&lt;&gt;0,'Real Structures'!B205, ""), "d-mmm-yy")</f>
        <v/>
      </c>
      <c r="B199" t="str">
        <f>IF(ISNUMBER('Real Structures'!C205),'Real Structures'!C205, "")</f>
        <v/>
      </c>
      <c r="C199" t="str">
        <f>IF(ISNUMBER('Real Structures'!D205),'Real Structures'!D205, "")</f>
        <v/>
      </c>
    </row>
    <row r="200" spans="1:3">
      <c r="A200" t="str">
        <f>TEXT(IF('Real Structures'!B206&lt;&gt;0,'Real Structures'!B206, ""), "d-mmm-yy")</f>
        <v/>
      </c>
      <c r="B200" t="str">
        <f>IF(ISNUMBER('Real Structures'!C206),'Real Structures'!C206, "")</f>
        <v/>
      </c>
      <c r="C200" t="str">
        <f>IF(ISNUMBER('Real Structures'!D206),'Real Structures'!D206, "")</f>
        <v/>
      </c>
    </row>
    <row r="201" spans="1:3">
      <c r="A201" t="str">
        <f>TEXT(IF('Real Structures'!B207&lt;&gt;0,'Real Structures'!B207, ""), "d-mmm-yy")</f>
        <v/>
      </c>
      <c r="B201" t="str">
        <f>IF(ISNUMBER('Real Structures'!C207),'Real Structures'!C207, "")</f>
        <v/>
      </c>
      <c r="C201" t="str">
        <f>IF(ISNUMBER('Real Structures'!D207),'Real Structures'!D207, "")</f>
        <v/>
      </c>
    </row>
    <row r="202" spans="1:3">
      <c r="A202" t="str">
        <f>TEXT(IF('Real Structures'!B208&lt;&gt;0,'Real Structures'!B208, ""), "d-mmm-yy")</f>
        <v/>
      </c>
      <c r="B202" t="str">
        <f>IF(ISNUMBER('Real Structures'!C208),'Real Structures'!C208, "")</f>
        <v/>
      </c>
      <c r="C202" t="str">
        <f>IF(ISNUMBER('Real Structures'!D208),'Real Structures'!D208, "")</f>
        <v/>
      </c>
    </row>
    <row r="203" spans="1:3">
      <c r="A203" t="str">
        <f>TEXT(IF('Real Structures'!B209&lt;&gt;0,'Real Structures'!B209, ""), "d-mmm-yy")</f>
        <v/>
      </c>
      <c r="B203" t="str">
        <f>IF(ISNUMBER('Real Structures'!C209),'Real Structures'!C209, "")</f>
        <v/>
      </c>
      <c r="C203" t="str">
        <f>IF(ISNUMBER('Real Structures'!D209),'Real Structures'!D209, "")</f>
        <v/>
      </c>
    </row>
    <row r="204" spans="1:3">
      <c r="A204" t="str">
        <f>TEXT(IF('Real Structures'!B210&lt;&gt;0,'Real Structures'!B210, ""), "d-mmm-yy")</f>
        <v/>
      </c>
      <c r="B204" t="str">
        <f>IF(ISNUMBER('Real Structures'!C210),'Real Structures'!C210, "")</f>
        <v/>
      </c>
      <c r="C204" t="str">
        <f>IF(ISNUMBER('Real Structures'!D210),'Real Structures'!D210, "")</f>
        <v/>
      </c>
    </row>
    <row r="205" spans="1:3">
      <c r="A205" t="str">
        <f>TEXT(IF('Real Structures'!B211&lt;&gt;0,'Real Structures'!B211, ""), "d-mmm-yy")</f>
        <v/>
      </c>
      <c r="B205" t="str">
        <f>IF(ISNUMBER('Real Structures'!C211),'Real Structures'!C211, "")</f>
        <v/>
      </c>
      <c r="C205" t="str">
        <f>IF(ISNUMBER('Real Structures'!D211),'Real Structures'!D211, "")</f>
        <v/>
      </c>
    </row>
    <row r="206" spans="1:3">
      <c r="A206" t="str">
        <f>TEXT(IF('Real Structures'!B212&lt;&gt;0,'Real Structures'!B212, ""), "d-mmm-yy")</f>
        <v/>
      </c>
      <c r="B206" t="str">
        <f>IF(ISNUMBER('Real Structures'!C212),'Real Structures'!C212, "")</f>
        <v/>
      </c>
      <c r="C206" t="str">
        <f>IF(ISNUMBER('Real Structures'!D212),'Real Structures'!D212, "")</f>
        <v/>
      </c>
    </row>
    <row r="207" spans="1:3">
      <c r="A207" t="str">
        <f>TEXT(IF('Real Structures'!B213&lt;&gt;0,'Real Structures'!B213, ""), "d-mmm-yy")</f>
        <v/>
      </c>
      <c r="B207" t="str">
        <f>IF(ISNUMBER('Real Structures'!C213),'Real Structures'!C213, "")</f>
        <v/>
      </c>
      <c r="C207" t="str">
        <f>IF(ISNUMBER('Real Structures'!D213),'Real Structures'!D213, "")</f>
        <v/>
      </c>
    </row>
    <row r="208" spans="1:3">
      <c r="A208" t="str">
        <f>TEXT(IF('Real Structures'!B214&lt;&gt;0,'Real Structures'!B214, ""), "d-mmm-yy")</f>
        <v/>
      </c>
      <c r="B208" t="str">
        <f>IF(ISNUMBER('Real Structures'!C214),'Real Structures'!C214, "")</f>
        <v/>
      </c>
      <c r="C208" t="str">
        <f>IF(ISNUMBER('Real Structures'!D214),'Real Structures'!D214, "")</f>
        <v/>
      </c>
    </row>
    <row r="209" spans="1:3">
      <c r="A209" t="str">
        <f>TEXT(IF('Real Structures'!B215&lt;&gt;0,'Real Structures'!B215, ""), "d-mmm-yy")</f>
        <v/>
      </c>
      <c r="B209" t="str">
        <f>IF(ISNUMBER('Real Structures'!C215),'Real Structures'!C215, "")</f>
        <v/>
      </c>
      <c r="C209" t="str">
        <f>IF(ISNUMBER('Real Structures'!D215),'Real Structures'!D215, "")</f>
        <v/>
      </c>
    </row>
    <row r="210" spans="1:3">
      <c r="A210" t="str">
        <f>TEXT(IF('Real Structures'!B216&lt;&gt;0,'Real Structures'!B216, ""), "d-mmm-yy")</f>
        <v/>
      </c>
      <c r="B210" t="str">
        <f>IF(ISNUMBER('Real Structures'!C216),'Real Structures'!C216, "")</f>
        <v/>
      </c>
      <c r="C210" t="str">
        <f>IF(ISNUMBER('Real Structures'!D216),'Real Structures'!D216, "")</f>
        <v/>
      </c>
    </row>
    <row r="211" spans="1:3">
      <c r="A211" t="str">
        <f>TEXT(IF('Real Structures'!B217&lt;&gt;0,'Real Structures'!B217, ""), "d-mmm-yy")</f>
        <v/>
      </c>
      <c r="B211" t="str">
        <f>IF(ISNUMBER('Real Structures'!C217),'Real Structures'!C217, "")</f>
        <v/>
      </c>
      <c r="C211" t="str">
        <f>IF(ISNUMBER('Real Structures'!D217),'Real Structures'!D217, "")</f>
        <v/>
      </c>
    </row>
    <row r="212" spans="1:3">
      <c r="A212" t="str">
        <f>TEXT(IF('Real Structures'!B218&lt;&gt;0,'Real Structures'!B218, ""), "d-mmm-yy")</f>
        <v/>
      </c>
      <c r="B212" t="str">
        <f>IF(ISNUMBER('Real Structures'!C218),'Real Structures'!C218, "")</f>
        <v/>
      </c>
      <c r="C212" t="str">
        <f>IF(ISNUMBER('Real Structures'!D218),'Real Structures'!D218, "")</f>
        <v/>
      </c>
    </row>
    <row r="213" spans="1:3">
      <c r="A213" t="str">
        <f>TEXT(IF('Real Structures'!B219&lt;&gt;0,'Real Structures'!B219, ""), "d-mmm-yy")</f>
        <v/>
      </c>
      <c r="B213" t="str">
        <f>IF(ISNUMBER('Real Structures'!C219),'Real Structures'!C219, "")</f>
        <v/>
      </c>
      <c r="C213" t="str">
        <f>IF(ISNUMBER('Real Structures'!D219),'Real Structures'!D219, "")</f>
        <v/>
      </c>
    </row>
    <row r="214" spans="1:3">
      <c r="A214" t="str">
        <f>TEXT(IF('Real Structures'!B220&lt;&gt;0,'Real Structures'!B220, ""), "d-mmm-yy")</f>
        <v/>
      </c>
      <c r="B214" t="str">
        <f>IF(ISNUMBER('Real Structures'!C220),'Real Structures'!C220, "")</f>
        <v/>
      </c>
      <c r="C214" t="str">
        <f>IF(ISNUMBER('Real Structures'!D220),'Real Structures'!D220, "")</f>
        <v/>
      </c>
    </row>
    <row r="215" spans="1:3">
      <c r="A215" t="str">
        <f>TEXT(IF('Real Structures'!B221&lt;&gt;0,'Real Structures'!B221, ""), "d-mmm-yy")</f>
        <v/>
      </c>
      <c r="B215" t="str">
        <f>IF(ISNUMBER('Real Structures'!C221),'Real Structures'!C221, "")</f>
        <v/>
      </c>
      <c r="C215" t="str">
        <f>IF(ISNUMBER('Real Structures'!D221),'Real Structures'!D221, "")</f>
        <v/>
      </c>
    </row>
    <row r="216" spans="1:3">
      <c r="A216" t="str">
        <f>TEXT(IF('Real Structures'!B222&lt;&gt;0,'Real Structures'!B222, ""), "d-mmm-yy")</f>
        <v/>
      </c>
      <c r="B216" t="str">
        <f>IF(ISNUMBER('Real Structures'!C222),'Real Structures'!C222, "")</f>
        <v/>
      </c>
      <c r="C216" t="str">
        <f>IF(ISNUMBER('Real Structures'!D222),'Real Structures'!D222, "")</f>
        <v/>
      </c>
    </row>
    <row r="217" spans="1:3">
      <c r="A217" t="str">
        <f>TEXT(IF('Real Structures'!B223&lt;&gt;0,'Real Structures'!B223, ""), "d-mmm-yy")</f>
        <v/>
      </c>
      <c r="B217" t="str">
        <f>IF(ISNUMBER('Real Structures'!C223),'Real Structures'!C223, "")</f>
        <v/>
      </c>
      <c r="C217" t="str">
        <f>IF(ISNUMBER('Real Structures'!D223),'Real Structures'!D223, "")</f>
        <v/>
      </c>
    </row>
    <row r="218" spans="1:3">
      <c r="A218" t="str">
        <f>TEXT(IF('Real Structures'!B224&lt;&gt;0,'Real Structures'!B224, ""), "d-mmm-yy")</f>
        <v/>
      </c>
      <c r="B218" t="str">
        <f>IF(ISNUMBER('Real Structures'!C224),'Real Structures'!C224, "")</f>
        <v/>
      </c>
      <c r="C218" t="str">
        <f>IF(ISNUMBER('Real Structures'!D224),'Real Structures'!D224, "")</f>
        <v/>
      </c>
    </row>
    <row r="219" spans="1:3">
      <c r="A219" t="str">
        <f>TEXT(IF('Real Structures'!B225&lt;&gt;0,'Real Structures'!B225, ""), "d-mmm-yy")</f>
        <v/>
      </c>
      <c r="B219" t="str">
        <f>IF(ISNUMBER('Real Structures'!C225),'Real Structures'!C225, "")</f>
        <v/>
      </c>
      <c r="C219" t="str">
        <f>IF(ISNUMBER('Real Structures'!D225),'Real Structures'!D225, "")</f>
        <v/>
      </c>
    </row>
    <row r="220" spans="1:3">
      <c r="A220" t="str">
        <f>TEXT(IF('Real Structures'!B226&lt;&gt;0,'Real Structures'!B226, ""), "d-mmm-yy")</f>
        <v/>
      </c>
      <c r="B220" t="str">
        <f>IF(ISNUMBER('Real Structures'!C226),'Real Structures'!C226, "")</f>
        <v/>
      </c>
      <c r="C220" t="str">
        <f>IF(ISNUMBER('Real Structures'!D226),'Real Structures'!D226, "")</f>
        <v/>
      </c>
    </row>
    <row r="221" spans="1:3">
      <c r="A221" t="str">
        <f>TEXT(IF('Real Structures'!B227&lt;&gt;0,'Real Structures'!B227, ""), "d-mmm-yy")</f>
        <v/>
      </c>
      <c r="B221" t="str">
        <f>IF(ISNUMBER('Real Structures'!C227),'Real Structures'!C227, "")</f>
        <v/>
      </c>
      <c r="C221" t="str">
        <f>IF(ISNUMBER('Real Structures'!D227),'Real Structures'!D227, "")</f>
        <v/>
      </c>
    </row>
    <row r="222" spans="1:3">
      <c r="A222" t="str">
        <f>TEXT(IF('Real Structures'!B228&lt;&gt;0,'Real Structures'!B228, ""), "d-mmm-yy")</f>
        <v/>
      </c>
      <c r="B222" t="str">
        <f>IF(ISNUMBER('Real Structures'!C228),'Real Structures'!C228, "")</f>
        <v/>
      </c>
      <c r="C222" t="str">
        <f>IF(ISNUMBER('Real Structures'!D228),'Real Structures'!D228, "")</f>
        <v/>
      </c>
    </row>
    <row r="223" spans="1:3">
      <c r="A223" t="str">
        <f>TEXT(IF('Real Structures'!B229&lt;&gt;0,'Real Structures'!B229, ""), "d-mmm-yy")</f>
        <v/>
      </c>
      <c r="B223" t="str">
        <f>IF(ISNUMBER('Real Structures'!C229),'Real Structures'!C229, "")</f>
        <v/>
      </c>
      <c r="C223" t="str">
        <f>IF(ISNUMBER('Real Structures'!D229),'Real Structures'!D229, "")</f>
        <v/>
      </c>
    </row>
    <row r="224" spans="1:3">
      <c r="A224" t="str">
        <f>TEXT(IF('Real Structures'!B230&lt;&gt;0,'Real Structures'!B230, ""), "d-mmm-yy")</f>
        <v/>
      </c>
      <c r="B224" t="str">
        <f>IF(ISNUMBER('Real Structures'!C230),'Real Structures'!C230, "")</f>
        <v/>
      </c>
      <c r="C224" t="str">
        <f>IF(ISNUMBER('Real Structures'!D230),'Real Structures'!D230, "")</f>
        <v/>
      </c>
    </row>
    <row r="225" spans="1:3">
      <c r="A225" t="str">
        <f>TEXT(IF('Real Structures'!B231&lt;&gt;0,'Real Structures'!B231, ""), "d-mmm-yy")</f>
        <v/>
      </c>
      <c r="B225" t="str">
        <f>IF(ISNUMBER('Real Structures'!C231),'Real Structures'!C231, "")</f>
        <v/>
      </c>
      <c r="C225" t="str">
        <f>IF(ISNUMBER('Real Structures'!D231),'Real Structures'!D231, "")</f>
        <v/>
      </c>
    </row>
    <row r="226" spans="1:3">
      <c r="A226" t="str">
        <f>TEXT(IF('Real Structures'!B232&lt;&gt;0,'Real Structures'!B232, ""), "d-mmm-yy")</f>
        <v/>
      </c>
      <c r="B226" t="str">
        <f>IF(ISNUMBER('Real Structures'!C232),'Real Structures'!C232, "")</f>
        <v/>
      </c>
      <c r="C226" t="str">
        <f>IF(ISNUMBER('Real Structures'!D232),'Real Structures'!D232, "")</f>
        <v/>
      </c>
    </row>
    <row r="227" spans="1:3">
      <c r="A227" t="str">
        <f>TEXT(IF('Real Structures'!B233&lt;&gt;0,'Real Structures'!B233, ""), "d-mmm-yy")</f>
        <v/>
      </c>
      <c r="B227" t="str">
        <f>IF(ISNUMBER('Real Structures'!C233),'Real Structures'!C233, "")</f>
        <v/>
      </c>
      <c r="C227" t="str">
        <f>IF(ISNUMBER('Real Structures'!D233),'Real Structures'!D233, "")</f>
        <v/>
      </c>
    </row>
    <row r="228" spans="1:3">
      <c r="A228" t="str">
        <f>TEXT(IF('Real Structures'!B234&lt;&gt;0,'Real Structures'!B234, ""), "d-mmm-yy")</f>
        <v/>
      </c>
      <c r="B228" t="str">
        <f>IF(ISNUMBER('Real Structures'!C234),'Real Structures'!C234, "")</f>
        <v/>
      </c>
      <c r="C228" t="str">
        <f>IF(ISNUMBER('Real Structures'!D234),'Real Structures'!D234, "")</f>
        <v/>
      </c>
    </row>
    <row r="229" spans="1:3">
      <c r="A229" t="str">
        <f>TEXT(IF('Real Structures'!B235&lt;&gt;0,'Real Structures'!B235, ""), "d-mmm-yy")</f>
        <v/>
      </c>
      <c r="B229" t="str">
        <f>IF(ISNUMBER('Real Structures'!C235),'Real Structures'!C235, "")</f>
        <v/>
      </c>
      <c r="C229" t="str">
        <f>IF(ISNUMBER('Real Structures'!D235),'Real Structures'!D235, "")</f>
        <v/>
      </c>
    </row>
    <row r="230" spans="1:3">
      <c r="A230" t="str">
        <f>TEXT(IF('Real Structures'!B236&lt;&gt;0,'Real Structures'!B236, ""), "d-mmm-yy")</f>
        <v/>
      </c>
      <c r="B230" t="str">
        <f>IF(ISNUMBER('Real Structures'!C236),'Real Structures'!C236, "")</f>
        <v/>
      </c>
      <c r="C230" t="str">
        <f>IF(ISNUMBER('Real Structures'!D236),'Real Structures'!D236, "")</f>
        <v/>
      </c>
    </row>
    <row r="231" spans="1:3">
      <c r="A231" t="str">
        <f>TEXT(IF('Real Structures'!B237&lt;&gt;0,'Real Structures'!B237, ""), "d-mmm-yy")</f>
        <v/>
      </c>
      <c r="B231" t="str">
        <f>IF(ISNUMBER('Real Structures'!C237),'Real Structures'!C237, "")</f>
        <v/>
      </c>
      <c r="C231" t="str">
        <f>IF(ISNUMBER('Real Structures'!D237),'Real Structures'!D237, "")</f>
        <v/>
      </c>
    </row>
    <row r="232" spans="1:3">
      <c r="A232" t="str">
        <f>TEXT(IF('Real Structures'!B238&lt;&gt;0,'Real Structures'!B238, ""), "d-mmm-yy")</f>
        <v/>
      </c>
      <c r="B232" t="str">
        <f>IF(ISNUMBER('Real Structures'!C238),'Real Structures'!C238, "")</f>
        <v/>
      </c>
      <c r="C232" t="str">
        <f>IF(ISNUMBER('Real Structures'!D238),'Real Structures'!D238, "")</f>
        <v/>
      </c>
    </row>
    <row r="233" spans="1:3">
      <c r="A233" t="str">
        <f>TEXT(IF('Real Structures'!B239&lt;&gt;0,'Real Structures'!B239, ""), "d-mmm-yy")</f>
        <v/>
      </c>
      <c r="B233" t="str">
        <f>IF(ISNUMBER('Real Structures'!C239),'Real Structures'!C239, "")</f>
        <v/>
      </c>
      <c r="C233" t="str">
        <f>IF(ISNUMBER('Real Structures'!D239),'Real Structures'!D239, "")</f>
        <v/>
      </c>
    </row>
    <row r="234" spans="1:3">
      <c r="A234" t="str">
        <f>TEXT(IF('Real Structures'!B240&lt;&gt;0,'Real Structures'!B240, ""), "d-mmm-yy")</f>
        <v/>
      </c>
      <c r="B234" t="str">
        <f>IF(ISNUMBER('Real Structures'!C240),'Real Structures'!C240, "")</f>
        <v/>
      </c>
      <c r="C234" t="str">
        <f>IF(ISNUMBER('Real Structures'!D240),'Real Structures'!D240, "")</f>
        <v/>
      </c>
    </row>
    <row r="235" spans="1:3">
      <c r="A235" t="str">
        <f>TEXT(IF('Real Structures'!B241&lt;&gt;0,'Real Structures'!B241, ""), "d-mmm-yy")</f>
        <v/>
      </c>
      <c r="B235" t="str">
        <f>IF(ISNUMBER('Real Structures'!C241),'Real Structures'!C241, "")</f>
        <v/>
      </c>
      <c r="C235" t="str">
        <f>IF(ISNUMBER('Real Structures'!D241),'Real Structures'!D241, "")</f>
        <v/>
      </c>
    </row>
    <row r="236" spans="1:3">
      <c r="A236" t="str">
        <f>TEXT(IF('Real Structures'!B242&lt;&gt;0,'Real Structures'!B242, ""), "d-mmm-yy")</f>
        <v/>
      </c>
      <c r="B236" t="str">
        <f>IF(ISNUMBER('Real Structures'!C242),'Real Structures'!C242, "")</f>
        <v/>
      </c>
      <c r="C236" t="str">
        <f>IF(ISNUMBER('Real Structures'!D242),'Real Structures'!D242, "")</f>
        <v/>
      </c>
    </row>
    <row r="237" spans="1:3">
      <c r="A237" t="str">
        <f>TEXT(IF('Real Structures'!B243&lt;&gt;0,'Real Structures'!B243, ""), "d-mmm-yy")</f>
        <v/>
      </c>
      <c r="B237" t="str">
        <f>IF(ISNUMBER('Real Structures'!C243),'Real Structures'!C243, "")</f>
        <v/>
      </c>
      <c r="C237" t="str">
        <f>IF(ISNUMBER('Real Structures'!D243),'Real Structures'!D243, "")</f>
        <v/>
      </c>
    </row>
    <row r="238" spans="1:3">
      <c r="A238" t="str">
        <f>TEXT(IF('Real Structures'!B244&lt;&gt;0,'Real Structures'!B244, ""), "d-mmm-yy")</f>
        <v/>
      </c>
      <c r="B238" t="str">
        <f>IF(ISNUMBER('Real Structures'!C244),'Real Structures'!C244, "")</f>
        <v/>
      </c>
      <c r="C238" t="str">
        <f>IF(ISNUMBER('Real Structures'!D244),'Real Structures'!D244, "")</f>
        <v/>
      </c>
    </row>
    <row r="239" spans="1:3">
      <c r="A239" t="str">
        <f>TEXT(IF('Real Structures'!B245&lt;&gt;0,'Real Structures'!B245, ""), "d-mmm-yy")</f>
        <v/>
      </c>
      <c r="B239" t="str">
        <f>IF(ISNUMBER('Real Structures'!C245),'Real Structures'!C245, "")</f>
        <v/>
      </c>
      <c r="C239" t="str">
        <f>IF(ISNUMBER('Real Structures'!D245),'Real Structures'!D245, "")</f>
        <v/>
      </c>
    </row>
    <row r="240" spans="1:3">
      <c r="A240" t="str">
        <f>TEXT(IF('Real Structures'!B246&lt;&gt;0,'Real Structures'!B246, ""), "d-mmm-yy")</f>
        <v/>
      </c>
      <c r="B240" t="str">
        <f>IF(ISNUMBER('Real Structures'!C246),'Real Structures'!C246, "")</f>
        <v/>
      </c>
      <c r="C240" t="str">
        <f>IF(ISNUMBER('Real Structures'!D246),'Real Structures'!D246, "")</f>
        <v/>
      </c>
    </row>
    <row r="241" spans="1:3">
      <c r="A241" t="str">
        <f>TEXT(IF('Real Structures'!B247&lt;&gt;0,'Real Structures'!B247, ""), "d-mmm-yy")</f>
        <v/>
      </c>
      <c r="B241" t="str">
        <f>IF(ISNUMBER('Real Structures'!C247),'Real Structures'!C247, "")</f>
        <v/>
      </c>
      <c r="C241" t="str">
        <f>IF(ISNUMBER('Real Structures'!D247),'Real Structures'!D247, "")</f>
        <v/>
      </c>
    </row>
    <row r="242" spans="1:3">
      <c r="A242" t="str">
        <f>TEXT(IF('Real Structures'!B248&lt;&gt;0,'Real Structures'!B248, ""), "d-mmm-yy")</f>
        <v/>
      </c>
      <c r="B242" t="str">
        <f>IF(ISNUMBER('Real Structures'!C248),'Real Structures'!C248, "")</f>
        <v/>
      </c>
      <c r="C242" t="str">
        <f>IF(ISNUMBER('Real Structures'!D248),'Real Structures'!D248, "")</f>
        <v/>
      </c>
    </row>
    <row r="243" spans="1:3">
      <c r="A243" t="str">
        <f>TEXT(IF('Real Structures'!B249&lt;&gt;0,'Real Structures'!B249, ""), "d-mmm-yy")</f>
        <v/>
      </c>
      <c r="B243" t="str">
        <f>IF(ISNUMBER('Real Structures'!C249),'Real Structures'!C249, "")</f>
        <v/>
      </c>
      <c r="C243" t="str">
        <f>IF(ISNUMBER('Real Structures'!D249),'Real Structures'!D249, "")</f>
        <v/>
      </c>
    </row>
    <row r="244" spans="1:3">
      <c r="A244" t="str">
        <f>TEXT(IF('Real Structures'!B250&lt;&gt;0,'Real Structures'!B250, ""), "d-mmm-yy")</f>
        <v/>
      </c>
      <c r="B244" t="str">
        <f>IF(ISNUMBER('Real Structures'!C250),'Real Structures'!C250, "")</f>
        <v/>
      </c>
      <c r="C244" t="str">
        <f>IF(ISNUMBER('Real Structures'!D250),'Real Structures'!D250, "")</f>
        <v/>
      </c>
    </row>
    <row r="245" spans="1:3">
      <c r="A245" t="str">
        <f>TEXT(IF('Real Structures'!B251&lt;&gt;0,'Real Structures'!B251, ""), "d-mmm-yy")</f>
        <v/>
      </c>
      <c r="B245" t="str">
        <f>IF(ISNUMBER('Real Structures'!C251),'Real Structures'!C251, "")</f>
        <v/>
      </c>
      <c r="C245" t="str">
        <f>IF(ISNUMBER('Real Structures'!D251),'Real Structures'!D251, "")</f>
        <v/>
      </c>
    </row>
    <row r="246" spans="1:3">
      <c r="A246" t="str">
        <f>TEXT(IF('Real Structures'!B252&lt;&gt;0,'Real Structures'!B252, ""), "d-mmm-yy")</f>
        <v/>
      </c>
      <c r="B246" t="str">
        <f>IF(ISNUMBER('Real Structures'!C252),'Real Structures'!C252, "")</f>
        <v/>
      </c>
      <c r="C246" t="str">
        <f>IF(ISNUMBER('Real Structures'!D252),'Real Structures'!D252, "")</f>
        <v/>
      </c>
    </row>
    <row r="247" spans="1:3">
      <c r="A247" t="str">
        <f>TEXT(IF('Real Structures'!B253&lt;&gt;0,'Real Structures'!B253, ""), "d-mmm-yy")</f>
        <v/>
      </c>
      <c r="B247" t="str">
        <f>IF(ISNUMBER('Real Structures'!C253),'Real Structures'!C253, "")</f>
        <v/>
      </c>
      <c r="C247" t="str">
        <f>IF(ISNUMBER('Real Structures'!D253),'Real Structures'!D253, "")</f>
        <v/>
      </c>
    </row>
    <row r="248" spans="1:3">
      <c r="A248" t="str">
        <f>TEXT(IF('Real Structures'!B254&lt;&gt;0,'Real Structures'!B254, ""), "d-mmm-yy")</f>
        <v/>
      </c>
      <c r="B248" t="str">
        <f>IF(ISNUMBER('Real Structures'!C254),'Real Structures'!C254, "")</f>
        <v/>
      </c>
      <c r="C248" t="str">
        <f>IF(ISNUMBER('Real Structures'!D254),'Real Structures'!D254, "")</f>
        <v/>
      </c>
    </row>
    <row r="249" spans="1:3">
      <c r="A249" t="str">
        <f>TEXT(IF('Real Structures'!B255&lt;&gt;0,'Real Structures'!B255, ""), "d-mmm-yy")</f>
        <v/>
      </c>
      <c r="B249" t="str">
        <f>IF(ISNUMBER('Real Structures'!C255),'Real Structures'!C255, "")</f>
        <v/>
      </c>
      <c r="C249" t="str">
        <f>IF(ISNUMBER('Real Structures'!D255),'Real Structures'!D255, "")</f>
        <v/>
      </c>
    </row>
    <row r="250" spans="1:3">
      <c r="A250" t="str">
        <f>TEXT(IF('Real Structures'!B256&lt;&gt;0,'Real Structures'!B256, ""), "d-mmm-yy")</f>
        <v/>
      </c>
      <c r="B250" t="str">
        <f>IF(ISNUMBER('Real Structures'!C256),'Real Structures'!C256, "")</f>
        <v/>
      </c>
      <c r="C250" t="str">
        <f>IF(ISNUMBER('Real Structures'!D256),'Real Structures'!D256, "")</f>
        <v/>
      </c>
    </row>
    <row r="251" spans="1:3">
      <c r="A251" t="str">
        <f>TEXT(IF('Real Structures'!B257&lt;&gt;0,'Real Structures'!B257, ""), "d-mmm-yy")</f>
        <v/>
      </c>
      <c r="B251" t="str">
        <f>IF(ISNUMBER('Real Structures'!C257),'Real Structures'!C257, "")</f>
        <v/>
      </c>
      <c r="C251" t="str">
        <f>IF(ISNUMBER('Real Structures'!D257),'Real Structures'!D257, "")</f>
        <v/>
      </c>
    </row>
    <row r="252" spans="1:3">
      <c r="A252" t="str">
        <f>TEXT(IF('Real Structures'!B258&lt;&gt;0,'Real Structures'!B258, ""), "d-mmm-yy")</f>
        <v/>
      </c>
      <c r="B252" t="str">
        <f>IF(ISNUMBER('Real Structures'!C258),'Real Structures'!C258, "")</f>
        <v/>
      </c>
      <c r="C252" t="str">
        <f>IF(ISNUMBER('Real Structures'!D258),'Real Structures'!D258, "")</f>
        <v/>
      </c>
    </row>
    <row r="253" spans="1:3">
      <c r="A253" t="str">
        <f>TEXT(IF('Real Structures'!B259&lt;&gt;0,'Real Structures'!B259, ""), "d-mmm-yy")</f>
        <v/>
      </c>
      <c r="B253" t="str">
        <f>IF(ISNUMBER('Real Structures'!C259),'Real Structures'!C259, "")</f>
        <v/>
      </c>
      <c r="C253" t="str">
        <f>IF(ISNUMBER('Real Structures'!D259),'Real Structures'!D259, "")</f>
        <v/>
      </c>
    </row>
    <row r="254" spans="1:3">
      <c r="A254" t="str">
        <f>TEXT(IF('Real Structures'!B260&lt;&gt;0,'Real Structures'!B260, ""), "d-mmm-yy")</f>
        <v/>
      </c>
      <c r="B254" t="str">
        <f>IF(ISNUMBER('Real Structures'!C260),'Real Structures'!C260, "")</f>
        <v/>
      </c>
      <c r="C254" t="str">
        <f>IF(ISNUMBER('Real Structures'!D260),'Real Structures'!D260, "")</f>
        <v/>
      </c>
    </row>
    <row r="255" spans="1:3">
      <c r="A255" t="str">
        <f>TEXT(IF('Real Structures'!B261&lt;&gt;0,'Real Structures'!B261, ""), "d-mmm-yy")</f>
        <v/>
      </c>
      <c r="B255" t="str">
        <f>IF(ISNUMBER('Real Structures'!C261),'Real Structures'!C261, "")</f>
        <v/>
      </c>
      <c r="C255" t="str">
        <f>IF(ISNUMBER('Real Structures'!D261),'Real Structures'!D261, "")</f>
        <v/>
      </c>
    </row>
    <row r="256" spans="1:3">
      <c r="A256" t="str">
        <f>TEXT(IF('Real Structures'!B262&lt;&gt;0,'Real Structures'!B262, ""), "d-mmm-yy")</f>
        <v/>
      </c>
      <c r="B256" t="str">
        <f>IF(ISNUMBER('Real Structures'!C262),'Real Structures'!C262, "")</f>
        <v/>
      </c>
      <c r="C256" t="str">
        <f>IF(ISNUMBER('Real Structures'!D262),'Real Structures'!D262, "")</f>
        <v/>
      </c>
    </row>
    <row r="257" spans="1:3">
      <c r="A257" t="str">
        <f>TEXT(IF('Real Structures'!B263&lt;&gt;0,'Real Structures'!B263, ""), "d-mmm-yy")</f>
        <v/>
      </c>
      <c r="B257" t="str">
        <f>IF(ISNUMBER('Real Structures'!C263),'Real Structures'!C263, "")</f>
        <v/>
      </c>
      <c r="C257" t="str">
        <f>IF(ISNUMBER('Real Structures'!D263),'Real Structures'!D263, "")</f>
        <v/>
      </c>
    </row>
    <row r="258" spans="1:3">
      <c r="A258" t="str">
        <f>TEXT(IF('Real Structures'!B264&lt;&gt;0,'Real Structures'!B264, ""), "d-mmm-yy")</f>
        <v/>
      </c>
      <c r="B258" t="str">
        <f>IF(ISNUMBER('Real Structures'!C264),'Real Structures'!C264, "")</f>
        <v/>
      </c>
      <c r="C258" t="str">
        <f>IF(ISNUMBER('Real Structures'!D264),'Real Structures'!D264, "")</f>
        <v/>
      </c>
    </row>
    <row r="259" spans="1:3">
      <c r="A259" t="str">
        <f>TEXT(IF('Real Structures'!B265&lt;&gt;0,'Real Structures'!B265, ""), "d-mmm-yy")</f>
        <v/>
      </c>
      <c r="B259" t="str">
        <f>IF(ISNUMBER('Real Structures'!C265),'Real Structures'!C265, "")</f>
        <v/>
      </c>
      <c r="C259" t="str">
        <f>IF(ISNUMBER('Real Structures'!D265),'Real Structures'!D265, "")</f>
        <v/>
      </c>
    </row>
    <row r="260" spans="1:3">
      <c r="A260" t="str">
        <f>TEXT(IF('Real Structures'!B266&lt;&gt;0,'Real Structures'!B266, ""), "d-mmm-yy")</f>
        <v/>
      </c>
      <c r="B260" t="str">
        <f>IF(ISNUMBER('Real Structures'!C266),'Real Structures'!C266, "")</f>
        <v/>
      </c>
      <c r="C260" t="str">
        <f>IF(ISNUMBER('Real Structures'!D266),'Real Structures'!D266, "")</f>
        <v/>
      </c>
    </row>
    <row r="261" spans="1:3">
      <c r="A261" t="str">
        <f>TEXT(IF('Real Structures'!B267&lt;&gt;0,'Real Structures'!B267, ""), "d-mmm-yy")</f>
        <v/>
      </c>
      <c r="B261" t="str">
        <f>IF(ISNUMBER('Real Structures'!C267),'Real Structures'!C267, "")</f>
        <v/>
      </c>
      <c r="C261" t="str">
        <f>IF(ISNUMBER('Real Structures'!D267),'Real Structures'!D267, "")</f>
        <v/>
      </c>
    </row>
    <row r="262" spans="1:3">
      <c r="A262" t="str">
        <f>TEXT(IF('Real Structures'!B268&lt;&gt;0,'Real Structures'!B268, ""), "d-mmm-yy")</f>
        <v/>
      </c>
      <c r="B262" t="str">
        <f>IF(ISNUMBER('Real Structures'!C268),'Real Structures'!C268, "")</f>
        <v/>
      </c>
      <c r="C262" t="str">
        <f>IF(ISNUMBER('Real Structures'!D268),'Real Structures'!D268, "")</f>
        <v/>
      </c>
    </row>
    <row r="263" spans="1:3">
      <c r="A263" t="str">
        <f>TEXT(IF('Real Structures'!B269&lt;&gt;0,'Real Structures'!B269, ""), "d-mmm-yy")</f>
        <v/>
      </c>
      <c r="B263" t="str">
        <f>IF(ISNUMBER('Real Structures'!C269),'Real Structures'!C269, "")</f>
        <v/>
      </c>
      <c r="C263" t="str">
        <f>IF(ISNUMBER('Real Structures'!D269),'Real Structures'!D269, "")</f>
        <v/>
      </c>
    </row>
    <row r="264" spans="1:3">
      <c r="A264" t="str">
        <f>TEXT(IF('Real Structures'!B270&lt;&gt;0,'Real Structures'!B270, ""), "d-mmm-yy")</f>
        <v/>
      </c>
      <c r="B264" t="str">
        <f>IF(ISNUMBER('Real Structures'!C270),'Real Structures'!C270, "")</f>
        <v/>
      </c>
      <c r="C264" t="str">
        <f>IF(ISNUMBER('Real Structures'!D270),'Real Structures'!D270, "")</f>
        <v/>
      </c>
    </row>
    <row r="265" spans="1:3">
      <c r="A265" t="str">
        <f>TEXT(IF('Real Structures'!B271&lt;&gt;0,'Real Structures'!B271, ""), "d-mmm-yy")</f>
        <v/>
      </c>
      <c r="B265" t="str">
        <f>IF(ISNUMBER('Real Structures'!C271),'Real Structures'!C271, "")</f>
        <v/>
      </c>
      <c r="C265" t="str">
        <f>IF(ISNUMBER('Real Structures'!D271),'Real Structures'!D271, "")</f>
        <v/>
      </c>
    </row>
    <row r="266" spans="1:3">
      <c r="A266" t="str">
        <f>TEXT(IF('Real Structures'!B272&lt;&gt;0,'Real Structures'!B272, ""), "d-mmm-yy")</f>
        <v/>
      </c>
      <c r="B266" t="str">
        <f>IF(ISNUMBER('Real Structures'!C272),'Real Structures'!C272, "")</f>
        <v/>
      </c>
      <c r="C266" t="str">
        <f>IF(ISNUMBER('Real Structures'!D272),'Real Structures'!D272, "")</f>
        <v/>
      </c>
    </row>
    <row r="267" spans="1:3">
      <c r="A267" t="str">
        <f>TEXT(IF('Real Structures'!B273&lt;&gt;0,'Real Structures'!B273, ""), "d-mmm-yy")</f>
        <v/>
      </c>
      <c r="B267" t="str">
        <f>IF(ISNUMBER('Real Structures'!C273),'Real Structures'!C273, "")</f>
        <v/>
      </c>
      <c r="C267" t="str">
        <f>IF(ISNUMBER('Real Structures'!D273),'Real Structures'!D273, "")</f>
        <v/>
      </c>
    </row>
    <row r="268" spans="1:3">
      <c r="A268" t="str">
        <f>TEXT(IF('Real Structures'!B274&lt;&gt;0,'Real Structures'!B274, ""), "d-mmm-yy")</f>
        <v/>
      </c>
      <c r="B268" t="str">
        <f>IF(ISNUMBER('Real Structures'!C274),'Real Structures'!C274, "")</f>
        <v/>
      </c>
      <c r="C268" t="str">
        <f>IF(ISNUMBER('Real Structures'!D274),'Real Structures'!D274, "")</f>
        <v/>
      </c>
    </row>
    <row r="269" spans="1:3">
      <c r="A269" t="str">
        <f>TEXT(IF('Real Structures'!B275&lt;&gt;0,'Real Structures'!B275, ""), "d-mmm-yy")</f>
        <v/>
      </c>
      <c r="B269" t="str">
        <f>IF(ISNUMBER('Real Structures'!C275),'Real Structures'!C275, "")</f>
        <v/>
      </c>
      <c r="C269" t="str">
        <f>IF(ISNUMBER('Real Structures'!D275),'Real Structures'!D275, "")</f>
        <v/>
      </c>
    </row>
    <row r="270" spans="1:3">
      <c r="A270" t="str">
        <f>TEXT(IF('Real Structures'!B276&lt;&gt;0,'Real Structures'!B276, ""), "d-mmm-yy")</f>
        <v/>
      </c>
      <c r="B270" t="str">
        <f>IF(ISNUMBER('Real Structures'!C276),'Real Structures'!C276, "")</f>
        <v/>
      </c>
      <c r="C270" t="str">
        <f>IF(ISNUMBER('Real Structures'!D276),'Real Structures'!D276, "")</f>
        <v/>
      </c>
    </row>
    <row r="271" spans="1:3">
      <c r="A271" t="str">
        <f>TEXT(IF('Real Structures'!B277&lt;&gt;0,'Real Structures'!B277, ""), "d-mmm-yy")</f>
        <v/>
      </c>
      <c r="B271" t="str">
        <f>IF(ISNUMBER('Real Structures'!C277),'Real Structures'!C277, "")</f>
        <v/>
      </c>
      <c r="C271" t="str">
        <f>IF(ISNUMBER('Real Structures'!D277),'Real Structures'!D277, "")</f>
        <v/>
      </c>
    </row>
    <row r="272" spans="1:3">
      <c r="A272" t="str">
        <f>TEXT(IF('Real Structures'!B278&lt;&gt;0,'Real Structures'!B278, ""), "d-mmm-yy")</f>
        <v/>
      </c>
      <c r="B272" t="str">
        <f>IF(ISNUMBER('Real Structures'!C278),'Real Structures'!C278, "")</f>
        <v/>
      </c>
      <c r="C272" t="str">
        <f>IF(ISNUMBER('Real Structures'!D278),'Real Structures'!D278, "")</f>
        <v/>
      </c>
    </row>
    <row r="273" spans="1:3">
      <c r="A273" t="str">
        <f>TEXT(IF('Real Structures'!B279&lt;&gt;0,'Real Structures'!B279, ""), "d-mmm-yy")</f>
        <v/>
      </c>
      <c r="B273" t="str">
        <f>IF(ISNUMBER('Real Structures'!C279),'Real Structures'!C279, "")</f>
        <v/>
      </c>
      <c r="C273" t="str">
        <f>IF(ISNUMBER('Real Structures'!D279),'Real Structures'!D279, "")</f>
        <v/>
      </c>
    </row>
    <row r="274" spans="1:3">
      <c r="A274" t="str">
        <f>TEXT(IF('Real Structures'!B280&lt;&gt;0,'Real Structures'!B280, ""), "d-mmm-yy")</f>
        <v/>
      </c>
      <c r="B274" t="str">
        <f>IF(ISNUMBER('Real Structures'!C280),'Real Structures'!C280, "")</f>
        <v/>
      </c>
      <c r="C274" t="str">
        <f>IF(ISNUMBER('Real Structures'!D280),'Real Structures'!D280, "")</f>
        <v/>
      </c>
    </row>
    <row r="275" spans="1:3">
      <c r="A275" t="str">
        <f>TEXT(IF('Real Structures'!B281&lt;&gt;0,'Real Structures'!B281, ""), "d-mmm-yy")</f>
        <v/>
      </c>
      <c r="B275" t="str">
        <f>IF(ISNUMBER('Real Structures'!C281),'Real Structures'!C281, "")</f>
        <v/>
      </c>
      <c r="C275" t="str">
        <f>IF(ISNUMBER('Real Structures'!D281),'Real Structures'!D281, "")</f>
        <v/>
      </c>
    </row>
    <row r="276" spans="1:3">
      <c r="A276" t="str">
        <f>TEXT(IF('Real Structures'!B282&lt;&gt;0,'Real Structures'!B282, ""), "d-mmm-yy")</f>
        <v/>
      </c>
      <c r="B276" t="str">
        <f>IF(ISNUMBER('Real Structures'!C282),'Real Structures'!C282, "")</f>
        <v/>
      </c>
      <c r="C276" t="str">
        <f>IF(ISNUMBER('Real Structures'!D282),'Real Structures'!D282, "")</f>
        <v/>
      </c>
    </row>
    <row r="277" spans="1:3">
      <c r="A277" t="str">
        <f>TEXT(IF('Real Structures'!B283&lt;&gt;0,'Real Structures'!B283, ""), "d-mmm-yy")</f>
        <v/>
      </c>
      <c r="B277" t="str">
        <f>IF(ISNUMBER('Real Structures'!C283),'Real Structures'!C283, "")</f>
        <v/>
      </c>
      <c r="C277" t="str">
        <f>IF(ISNUMBER('Real Structures'!D283),'Real Structures'!D283, "")</f>
        <v/>
      </c>
    </row>
    <row r="278" spans="1:3">
      <c r="A278" t="str">
        <f>TEXT(IF('Real Structures'!B284&lt;&gt;0,'Real Structures'!B284, ""), "d-mmm-yy")</f>
        <v/>
      </c>
      <c r="B278" t="str">
        <f>IF(ISNUMBER('Real Structures'!C284),'Real Structures'!C284, "")</f>
        <v/>
      </c>
      <c r="C278" t="str">
        <f>IF(ISNUMBER('Real Structures'!D284),'Real Structures'!D284, "")</f>
        <v/>
      </c>
    </row>
    <row r="279" spans="1:3">
      <c r="A279" t="str">
        <f>TEXT(IF('Real Structures'!B285&lt;&gt;0,'Real Structures'!B285, ""), "d-mmm-yy")</f>
        <v/>
      </c>
      <c r="B279" t="str">
        <f>IF(ISNUMBER('Real Structures'!C285),'Real Structures'!C285, "")</f>
        <v/>
      </c>
      <c r="C279" t="str">
        <f>IF(ISNUMBER('Real Structures'!D285),'Real Structures'!D285, "")</f>
        <v/>
      </c>
    </row>
    <row r="280" spans="1:3">
      <c r="A280" t="str">
        <f>TEXT(IF('Real Structures'!B286&lt;&gt;0,'Real Structures'!B286, ""), "d-mmm-yy")</f>
        <v/>
      </c>
      <c r="B280" t="str">
        <f>IF(ISNUMBER('Real Structures'!C286),'Real Structures'!C286, "")</f>
        <v/>
      </c>
      <c r="C280" t="str">
        <f>IF(ISNUMBER('Real Structures'!D286),'Real Structures'!D286, "")</f>
        <v/>
      </c>
    </row>
    <row r="281" spans="1:3">
      <c r="A281" t="str">
        <f>TEXT(IF('Real Structures'!B287&lt;&gt;0,'Real Structures'!B287, ""), "d-mmm-yy")</f>
        <v/>
      </c>
      <c r="B281" t="str">
        <f>IF(ISNUMBER('Real Structures'!C287),'Real Structures'!C287, "")</f>
        <v/>
      </c>
      <c r="C281" t="str">
        <f>IF(ISNUMBER('Real Structures'!D287),'Real Structures'!D287, "")</f>
        <v/>
      </c>
    </row>
    <row r="282" spans="1:3">
      <c r="A282" t="str">
        <f>TEXT(IF('Real Structures'!B288&lt;&gt;0,'Real Structures'!B288, ""), "d-mmm-yy")</f>
        <v/>
      </c>
      <c r="B282" t="str">
        <f>IF(ISNUMBER('Real Structures'!C288),'Real Structures'!C288, "")</f>
        <v/>
      </c>
      <c r="C282" t="str">
        <f>IF(ISNUMBER('Real Structures'!D288),'Real Structures'!D288, "")</f>
        <v/>
      </c>
    </row>
    <row r="283" spans="1:3">
      <c r="A283" t="str">
        <f>TEXT(IF('Real Structures'!B289&lt;&gt;0,'Real Structures'!B289, ""), "d-mmm-yy")</f>
        <v/>
      </c>
      <c r="B283" t="str">
        <f>IF(ISNUMBER('Real Structures'!C289),'Real Structures'!C289, "")</f>
        <v/>
      </c>
      <c r="C283" t="str">
        <f>IF(ISNUMBER('Real Structures'!D289),'Real Structures'!D289, "")</f>
        <v/>
      </c>
    </row>
    <row r="284" spans="1:3">
      <c r="A284" t="str">
        <f>TEXT(IF('Real Structures'!B290&lt;&gt;0,'Real Structures'!B290, ""), "d-mmm-yy")</f>
        <v/>
      </c>
      <c r="B284" t="str">
        <f>IF(ISNUMBER('Real Structures'!C290),'Real Structures'!C290, "")</f>
        <v/>
      </c>
      <c r="C284" t="str">
        <f>IF(ISNUMBER('Real Structures'!D290),'Real Structures'!D290, "")</f>
        <v/>
      </c>
    </row>
    <row r="285" spans="1:3">
      <c r="A285" t="str">
        <f>TEXT(IF('Real Structures'!B291&lt;&gt;0,'Real Structures'!B291, ""), "d-mmm-yy")</f>
        <v/>
      </c>
      <c r="B285" t="str">
        <f>IF(ISNUMBER('Real Structures'!C291),'Real Structures'!C291, "")</f>
        <v/>
      </c>
      <c r="C285" t="str">
        <f>IF(ISNUMBER('Real Structures'!D291),'Real Structures'!D291, "")</f>
        <v/>
      </c>
    </row>
    <row r="286" spans="1:3">
      <c r="A286" t="str">
        <f>TEXT(IF('Real Structures'!B292&lt;&gt;0,'Real Structures'!B292, ""), "d-mmm-yy")</f>
        <v/>
      </c>
      <c r="B286" t="str">
        <f>IF(ISNUMBER('Real Structures'!C292),'Real Structures'!C292, "")</f>
        <v/>
      </c>
      <c r="C286" t="str">
        <f>IF(ISNUMBER('Real Structures'!D292),'Real Structures'!D292, "")</f>
        <v/>
      </c>
    </row>
    <row r="287" spans="1:3">
      <c r="A287" t="str">
        <f>TEXT(IF('Real Structures'!B293&lt;&gt;0,'Real Structures'!B293, ""), "d-mmm-yy")</f>
        <v/>
      </c>
      <c r="B287" t="str">
        <f>IF(ISNUMBER('Real Structures'!C293),'Real Structures'!C293, "")</f>
        <v/>
      </c>
      <c r="C287" t="str">
        <f>IF(ISNUMBER('Real Structures'!D293),'Real Structures'!D293, "")</f>
        <v/>
      </c>
    </row>
    <row r="288" spans="1:3">
      <c r="A288" t="str">
        <f>TEXT(IF('Real Structures'!B294&lt;&gt;0,'Real Structures'!B294, ""), "d-mmm-yy")</f>
        <v/>
      </c>
      <c r="B288" t="str">
        <f>IF(ISNUMBER('Real Structures'!C294),'Real Structures'!C294, "")</f>
        <v/>
      </c>
      <c r="C288" t="str">
        <f>IF(ISNUMBER('Real Structures'!D294),'Real Structures'!D294, "")</f>
        <v/>
      </c>
    </row>
    <row r="289" spans="1:3">
      <c r="A289" t="str">
        <f>TEXT(IF('Real Structures'!B295&lt;&gt;0,'Real Structures'!B295, ""), "d-mmm-yy")</f>
        <v/>
      </c>
      <c r="B289" t="str">
        <f>IF(ISNUMBER('Real Structures'!C295),'Real Structures'!C295, "")</f>
        <v/>
      </c>
      <c r="C289" t="str">
        <f>IF(ISNUMBER('Real Structures'!D295),'Real Structures'!D295, "")</f>
        <v/>
      </c>
    </row>
    <row r="290" spans="1:3">
      <c r="A290" t="str">
        <f>TEXT(IF('Real Structures'!B296&lt;&gt;0,'Real Structures'!B296, ""), "d-mmm-yy")</f>
        <v/>
      </c>
      <c r="B290" t="str">
        <f>IF(ISNUMBER('Real Structures'!C296),'Real Structures'!C296, "")</f>
        <v/>
      </c>
      <c r="C290" t="str">
        <f>IF(ISNUMBER('Real Structures'!D296),'Real Structures'!D296, "")</f>
        <v/>
      </c>
    </row>
    <row r="291" spans="1:3">
      <c r="A291" t="str">
        <f>TEXT(IF('Real Structures'!B297&lt;&gt;0,'Real Structures'!B297, ""), "d-mmm-yy")</f>
        <v/>
      </c>
      <c r="B291" t="str">
        <f>IF(ISNUMBER('Real Structures'!C297),'Real Structures'!C297, "")</f>
        <v/>
      </c>
      <c r="C291" t="str">
        <f>IF(ISNUMBER('Real Structures'!D297),'Real Structures'!D297, "")</f>
        <v/>
      </c>
    </row>
    <row r="292" spans="1:3">
      <c r="A292" t="str">
        <f>TEXT(IF('Real Structures'!B298&lt;&gt;0,'Real Structures'!B298, ""), "d-mmm-yy")</f>
        <v/>
      </c>
      <c r="B292" t="str">
        <f>IF(ISNUMBER('Real Structures'!C298),'Real Structures'!C298, "")</f>
        <v/>
      </c>
      <c r="C292" t="str">
        <f>IF(ISNUMBER('Real Structures'!D298),'Real Structures'!D298, "")</f>
        <v/>
      </c>
    </row>
    <row r="293" spans="1:3">
      <c r="A293" t="str">
        <f>TEXT(IF('Real Structures'!B299&lt;&gt;0,'Real Structures'!B299, ""), "d-mmm-yy")</f>
        <v/>
      </c>
      <c r="B293" t="str">
        <f>IF(ISNUMBER('Real Structures'!C299),'Real Structures'!C299, "")</f>
        <v/>
      </c>
      <c r="C293" t="str">
        <f>IF(ISNUMBER('Real Structures'!D299),'Real Structures'!D299, "")</f>
        <v/>
      </c>
    </row>
    <row r="294" spans="1:3">
      <c r="A294" t="str">
        <f>TEXT(IF('Real Structures'!B300&lt;&gt;0,'Real Structures'!B300, ""), "d-mmm-yy")</f>
        <v/>
      </c>
      <c r="B294" t="str">
        <f>IF(ISNUMBER('Real Structures'!C300),'Real Structures'!C300, "")</f>
        <v/>
      </c>
      <c r="C294" t="str">
        <f>IF(ISNUMBER('Real Structures'!D300),'Real Structures'!D300, "")</f>
        <v/>
      </c>
    </row>
    <row r="295" spans="1:3">
      <c r="A295" t="str">
        <f>TEXT(IF('Real Structures'!B301&lt;&gt;0,'Real Structures'!B301, ""), "d-mmm-yy")</f>
        <v/>
      </c>
      <c r="B295" t="str">
        <f>IF(ISNUMBER('Real Structures'!C301),'Real Structures'!C301, "")</f>
        <v/>
      </c>
      <c r="C295" t="str">
        <f>IF(ISNUMBER('Real Structures'!D301),'Real Structures'!D301, "")</f>
        <v/>
      </c>
    </row>
    <row r="296" spans="1:3">
      <c r="A296" t="str">
        <f>TEXT(IF('Real Structures'!B302&lt;&gt;0,'Real Structures'!B302, ""), "d-mmm-yy")</f>
        <v/>
      </c>
      <c r="B296" t="str">
        <f>IF(ISNUMBER('Real Structures'!C302),'Real Structures'!C302, "")</f>
        <v/>
      </c>
      <c r="C296" t="str">
        <f>IF(ISNUMBER('Real Structures'!D302),'Real Structures'!D302, "")</f>
        <v/>
      </c>
    </row>
    <row r="297" spans="1:3">
      <c r="A297" t="str">
        <f>TEXT(IF('Real Structures'!B303&lt;&gt;0,'Real Structures'!B303, ""), "d-mmm-yy")</f>
        <v/>
      </c>
      <c r="B297" t="str">
        <f>IF(ISNUMBER('Real Structures'!C303),'Real Structures'!C303, "")</f>
        <v/>
      </c>
      <c r="C297" t="str">
        <f>IF(ISNUMBER('Real Structures'!D303),'Real Structures'!D303, "")</f>
        <v/>
      </c>
    </row>
    <row r="298" spans="1:3">
      <c r="A298" t="str">
        <f>TEXT(IF('Real Structures'!B304&lt;&gt;0,'Real Structures'!B304, ""), "d-mmm-yy")</f>
        <v/>
      </c>
      <c r="B298" t="str">
        <f>IF(ISNUMBER('Real Structures'!C304),'Real Structures'!C304, "")</f>
        <v/>
      </c>
      <c r="C298" t="str">
        <f>IF(ISNUMBER('Real Structures'!D304),'Real Structures'!D304, "")</f>
        <v/>
      </c>
    </row>
    <row r="299" spans="1:3">
      <c r="A299" t="str">
        <f>TEXT(IF('Real Structures'!B305&lt;&gt;0,'Real Structures'!B305, ""), "d-mmm-yy")</f>
        <v/>
      </c>
      <c r="B299" t="str">
        <f>IF(ISNUMBER('Real Structures'!C305),'Real Structures'!C305, "")</f>
        <v/>
      </c>
      <c r="C299" t="str">
        <f>IF(ISNUMBER('Real Structures'!D305),'Real Structures'!D305, "")</f>
        <v/>
      </c>
    </row>
    <row r="300" spans="1:3">
      <c r="A300" t="str">
        <f>TEXT(IF('Real Structures'!B306&lt;&gt;0,'Real Structures'!B306, ""), "d-mmm-yy")</f>
        <v/>
      </c>
      <c r="B300" t="str">
        <f>IF(ISNUMBER('Real Structures'!C306),'Real Structures'!C306, "")</f>
        <v/>
      </c>
      <c r="C300" t="str">
        <f>IF(ISNUMBER('Real Structures'!D306),'Real Structures'!D306, "")</f>
        <v/>
      </c>
    </row>
    <row r="301" spans="1:3">
      <c r="A301" t="str">
        <f>TEXT(IF('Real Structures'!B307&lt;&gt;0,'Real Structures'!B307, ""), "d-mmm-yy")</f>
        <v/>
      </c>
      <c r="B301" t="str">
        <f>IF(ISNUMBER('Real Structures'!C307),'Real Structures'!C307, "")</f>
        <v/>
      </c>
      <c r="C301" t="str">
        <f>IF(ISNUMBER('Real Structures'!D307),'Real Structures'!D307, "")</f>
        <v/>
      </c>
    </row>
    <row r="302" spans="1:3">
      <c r="A302" t="str">
        <f>TEXT(IF('Real Structures'!B308&lt;&gt;0,'Real Structures'!B308, ""), "d-mmm-yy")</f>
        <v/>
      </c>
      <c r="B302" t="str">
        <f>IF(ISNUMBER('Real Structures'!C308),'Real Structures'!C308, "")</f>
        <v/>
      </c>
      <c r="C302" t="str">
        <f>IF(ISNUMBER('Real Structures'!D308),'Real Structures'!D308, "")</f>
        <v/>
      </c>
    </row>
    <row r="303" spans="1:3">
      <c r="A303" t="str">
        <f>TEXT(IF('Real Structures'!B309&lt;&gt;0,'Real Structures'!B309, ""), "d-mmm-yy")</f>
        <v/>
      </c>
      <c r="B303" t="str">
        <f>IF(ISNUMBER('Real Structures'!C309),'Real Structures'!C309, "")</f>
        <v/>
      </c>
      <c r="C303" t="str">
        <f>IF(ISNUMBER('Real Structures'!D309),'Real Structures'!D309, "")</f>
        <v/>
      </c>
    </row>
    <row r="304" spans="1:3">
      <c r="A304" t="str">
        <f>TEXT(IF('Real Structures'!B310&lt;&gt;0,'Real Structures'!B310, ""), "d-mmm-yy")</f>
        <v/>
      </c>
      <c r="B304" t="str">
        <f>IF(ISNUMBER('Real Structures'!C310),'Real Structures'!C310, "")</f>
        <v/>
      </c>
      <c r="C304" t="str">
        <f>IF(ISNUMBER('Real Structures'!D310),'Real Structures'!D310, "")</f>
        <v/>
      </c>
    </row>
    <row r="305" spans="1:3">
      <c r="A305" t="str">
        <f>TEXT(IF('Real Structures'!B311&lt;&gt;0,'Real Structures'!B311, ""), "d-mmm-yy")</f>
        <v/>
      </c>
      <c r="B305" t="str">
        <f>IF(ISNUMBER('Real Structures'!C311),'Real Structures'!C311, "")</f>
        <v/>
      </c>
      <c r="C305" t="str">
        <f>IF(ISNUMBER('Real Structures'!D311),'Real Structures'!D311, "")</f>
        <v/>
      </c>
    </row>
    <row r="306" spans="1:3">
      <c r="A306" t="str">
        <f>TEXT(IF('Real Structures'!B312&lt;&gt;0,'Real Structures'!B312, ""), "d-mmm-yy")</f>
        <v/>
      </c>
      <c r="B306" t="str">
        <f>IF(ISNUMBER('Real Structures'!C312),'Real Structures'!C312, "")</f>
        <v/>
      </c>
      <c r="C306" t="str">
        <f>IF(ISNUMBER('Real Structures'!D312),'Real Structures'!D312, "")</f>
        <v/>
      </c>
    </row>
    <row r="307" spans="1:3">
      <c r="A307" t="str">
        <f>TEXT(IF('Real Structures'!B313&lt;&gt;0,'Real Structures'!B313, ""), "d-mmm-yy")</f>
        <v/>
      </c>
      <c r="B307" t="str">
        <f>IF(ISNUMBER('Real Structures'!C313),'Real Structures'!C313, "")</f>
        <v/>
      </c>
      <c r="C307" t="str">
        <f>IF(ISNUMBER('Real Structures'!D313),'Real Structures'!D313, "")</f>
        <v/>
      </c>
    </row>
    <row r="308" spans="1:3">
      <c r="A308" t="str">
        <f>TEXT(IF('Real Structures'!B314&lt;&gt;0,'Real Structures'!B314, ""), "d-mmm-yy")</f>
        <v/>
      </c>
      <c r="B308" t="str">
        <f>IF(ISNUMBER('Real Structures'!C314),'Real Structures'!C314, "")</f>
        <v/>
      </c>
      <c r="C308" t="str">
        <f>IF(ISNUMBER('Real Structures'!D314),'Real Structures'!D314, "")</f>
        <v/>
      </c>
    </row>
    <row r="309" spans="1:3">
      <c r="A309" t="str">
        <f>TEXT(IF('Real Structures'!B315&lt;&gt;0,'Real Structures'!B315, ""), "d-mmm-yy")</f>
        <v/>
      </c>
      <c r="B309" t="str">
        <f>IF(ISNUMBER('Real Structures'!C315),'Real Structures'!C315, "")</f>
        <v/>
      </c>
      <c r="C309" t="str">
        <f>IF(ISNUMBER('Real Structures'!D315),'Real Structures'!D315, "")</f>
        <v/>
      </c>
    </row>
    <row r="310" spans="1:3">
      <c r="A310" t="str">
        <f>TEXT(IF('Real Structures'!B316&lt;&gt;0,'Real Structures'!B316, ""), "d-mmm-yy")</f>
        <v/>
      </c>
      <c r="B310" t="str">
        <f>IF(ISNUMBER('Real Structures'!C316),'Real Structures'!C316, "")</f>
        <v/>
      </c>
      <c r="C310" t="str">
        <f>IF(ISNUMBER('Real Structures'!D316),'Real Structures'!D316, "")</f>
        <v/>
      </c>
    </row>
    <row r="311" spans="1:3">
      <c r="A311" t="str">
        <f>TEXT(IF('Real Structures'!B317&lt;&gt;0,'Real Structures'!B317, ""), "d-mmm-yy")</f>
        <v/>
      </c>
      <c r="B311" t="str">
        <f>IF(ISNUMBER('Real Structures'!C317),'Real Structures'!C317, "")</f>
        <v/>
      </c>
      <c r="C311" t="str">
        <f>IF(ISNUMBER('Real Structures'!D317),'Real Structures'!D317, "")</f>
        <v/>
      </c>
    </row>
    <row r="312" spans="1:3">
      <c r="A312" t="str">
        <f>TEXT(IF('Real Structures'!B318&lt;&gt;0,'Real Structures'!B318, ""), "d-mmm-yy")</f>
        <v/>
      </c>
      <c r="B312" t="str">
        <f>IF(ISNUMBER('Real Structures'!C318),'Real Structures'!C318, "")</f>
        <v/>
      </c>
      <c r="C312" t="str">
        <f>IF(ISNUMBER('Real Structures'!D318),'Real Structures'!D318, "")</f>
        <v/>
      </c>
    </row>
    <row r="313" spans="1:3">
      <c r="A313" t="str">
        <f>TEXT(IF('Real Structures'!B319&lt;&gt;0,'Real Structures'!B319, ""), "d-mmm-yy")</f>
        <v/>
      </c>
      <c r="B313" t="str">
        <f>IF(ISNUMBER('Real Structures'!C319),'Real Structures'!C319, "")</f>
        <v/>
      </c>
      <c r="C313" t="str">
        <f>IF(ISNUMBER('Real Structures'!D319),'Real Structures'!D319, "")</f>
        <v/>
      </c>
    </row>
    <row r="314" spans="1:3">
      <c r="A314" t="str">
        <f>TEXT(IF('Real Structures'!B320&lt;&gt;0,'Real Structures'!B320, ""), "d-mmm-yy")</f>
        <v/>
      </c>
      <c r="B314" t="str">
        <f>IF(ISNUMBER('Real Structures'!C320),'Real Structures'!C320, "")</f>
        <v/>
      </c>
      <c r="C314" t="str">
        <f>IF(ISNUMBER('Real Structures'!D320),'Real Structures'!D320, "")</f>
        <v/>
      </c>
    </row>
    <row r="315" spans="1:3">
      <c r="A315" t="str">
        <f>TEXT(IF('Real Structures'!B321&lt;&gt;0,'Real Structures'!B321, ""), "d-mmm-yy")</f>
        <v/>
      </c>
      <c r="B315" t="str">
        <f>IF(ISNUMBER('Real Structures'!C321),'Real Structures'!C321, "")</f>
        <v/>
      </c>
      <c r="C315" t="str">
        <f>IF(ISNUMBER('Real Structures'!D321),'Real Structures'!D321, "")</f>
        <v/>
      </c>
    </row>
    <row r="316" spans="1:3">
      <c r="A316" t="str">
        <f>TEXT(IF('Real Structures'!B322&lt;&gt;0,'Real Structures'!B322, ""), "d-mmm-yy")</f>
        <v/>
      </c>
      <c r="B316" t="str">
        <f>IF(ISNUMBER('Real Structures'!C322),'Real Structures'!C322, "")</f>
        <v/>
      </c>
      <c r="C316" t="str">
        <f>IF(ISNUMBER('Real Structures'!D322),'Real Structures'!D322, "")</f>
        <v/>
      </c>
    </row>
    <row r="317" spans="1:3">
      <c r="A317" t="str">
        <f>TEXT(IF('Real Structures'!B323&lt;&gt;0,'Real Structures'!B323, ""), "d-mmm-yy")</f>
        <v/>
      </c>
      <c r="B317" t="str">
        <f>IF(ISNUMBER('Real Structures'!C323),'Real Structures'!C323, "")</f>
        <v/>
      </c>
      <c r="C317" t="str">
        <f>IF(ISNUMBER('Real Structures'!D323),'Real Structures'!D323, "")</f>
        <v/>
      </c>
    </row>
    <row r="318" spans="1:3">
      <c r="A318" t="str">
        <f>TEXT(IF('Real Structures'!B324&lt;&gt;0,'Real Structures'!B324, ""), "d-mmm-yy")</f>
        <v/>
      </c>
      <c r="B318" t="str">
        <f>IF(ISNUMBER('Real Structures'!C324),'Real Structures'!C324, "")</f>
        <v/>
      </c>
      <c r="C318" t="str">
        <f>IF(ISNUMBER('Real Structures'!D324),'Real Structures'!D324, "")</f>
        <v/>
      </c>
    </row>
    <row r="319" spans="1:3">
      <c r="A319" t="str">
        <f>TEXT(IF('Real Structures'!B325&lt;&gt;0,'Real Structures'!B325, ""), "d-mmm-yy")</f>
        <v/>
      </c>
      <c r="B319" t="str">
        <f>IF(ISNUMBER('Real Structures'!C325),'Real Structures'!C325, "")</f>
        <v/>
      </c>
      <c r="C319" t="str">
        <f>IF(ISNUMBER('Real Structures'!D325),'Real Structures'!D325, "")</f>
        <v/>
      </c>
    </row>
    <row r="320" spans="1:3">
      <c r="A320" t="str">
        <f>TEXT(IF('Real Structures'!B326&lt;&gt;0,'Real Structures'!B326, ""), "d-mmm-yy")</f>
        <v/>
      </c>
      <c r="B320" t="str">
        <f>IF(ISNUMBER('Real Structures'!C326),'Real Structures'!C326, "")</f>
        <v/>
      </c>
      <c r="C320" t="str">
        <f>IF(ISNUMBER('Real Structures'!D326),'Real Structures'!D326, "")</f>
        <v/>
      </c>
    </row>
    <row r="321" spans="1:3">
      <c r="A321" t="str">
        <f>TEXT(IF('Real Structures'!B327&lt;&gt;0,'Real Structures'!B327, ""), "d-mmm-yy")</f>
        <v/>
      </c>
      <c r="B321" t="str">
        <f>IF(ISNUMBER('Real Structures'!C327),'Real Structures'!C327, "")</f>
        <v/>
      </c>
      <c r="C321" t="str">
        <f>IF(ISNUMBER('Real Structures'!D327),'Real Structures'!D327, "")</f>
        <v/>
      </c>
    </row>
    <row r="322" spans="1:3">
      <c r="A322" t="str">
        <f>TEXT(IF('Real Structures'!B328&lt;&gt;0,'Real Structures'!B328, ""), "d-mmm-yy")</f>
        <v/>
      </c>
      <c r="B322" t="str">
        <f>IF(ISNUMBER('Real Structures'!C328),'Real Structures'!C328, "")</f>
        <v/>
      </c>
      <c r="C322" t="str">
        <f>IF(ISNUMBER('Real Structures'!D328),'Real Structures'!D328, "")</f>
        <v/>
      </c>
    </row>
    <row r="323" spans="1:3">
      <c r="A323" t="str">
        <f>TEXT(IF('Real Structures'!B329&lt;&gt;0,'Real Structures'!B329, ""), "d-mmm-yy")</f>
        <v/>
      </c>
      <c r="B323" t="str">
        <f>IF(ISNUMBER('Real Structures'!C329),'Real Structures'!C329, "")</f>
        <v/>
      </c>
      <c r="C323" t="str">
        <f>IF(ISNUMBER('Real Structures'!D329),'Real Structures'!D329, "")</f>
        <v/>
      </c>
    </row>
    <row r="324" spans="1:3">
      <c r="A324" t="str">
        <f>TEXT(IF('Real Structures'!B330&lt;&gt;0,'Real Structures'!B330, ""), "d-mmm-yy")</f>
        <v/>
      </c>
      <c r="B324" t="str">
        <f>IF(ISNUMBER('Real Structures'!C330),'Real Structures'!C330, "")</f>
        <v/>
      </c>
      <c r="C324" t="str">
        <f>IF(ISNUMBER('Real Structures'!D330),'Real Structures'!D330, "")</f>
        <v/>
      </c>
    </row>
    <row r="325" spans="1:3">
      <c r="A325" t="str">
        <f>TEXT(IF('Real Structures'!B331&lt;&gt;0,'Real Structures'!B331, ""), "d-mmm-yy")</f>
        <v/>
      </c>
      <c r="B325" t="str">
        <f>IF(ISNUMBER('Real Structures'!C331),'Real Structures'!C331, "")</f>
        <v/>
      </c>
      <c r="C325" t="str">
        <f>IF(ISNUMBER('Real Structures'!D331),'Real Structures'!D331, "")</f>
        <v/>
      </c>
    </row>
    <row r="326" spans="1:3">
      <c r="A326" t="str">
        <f>TEXT(IF('Real Structures'!B332&lt;&gt;0,'Real Structures'!B332, ""), "d-mmm-yy")</f>
        <v/>
      </c>
      <c r="B326" t="str">
        <f>IF(ISNUMBER('Real Structures'!C332),'Real Structures'!C332, "")</f>
        <v/>
      </c>
      <c r="C326" t="str">
        <f>IF(ISNUMBER('Real Structures'!D332),'Real Structures'!D332, "")</f>
        <v/>
      </c>
    </row>
    <row r="327" spans="1:3">
      <c r="A327" t="str">
        <f>TEXT(IF('Real Structures'!B333&lt;&gt;0,'Real Structures'!B333, ""), "d-mmm-yy")</f>
        <v/>
      </c>
      <c r="B327" t="str">
        <f>IF(ISNUMBER('Real Structures'!C333),'Real Structures'!C333, "")</f>
        <v/>
      </c>
      <c r="C327" t="str">
        <f>IF(ISNUMBER('Real Structures'!D333),'Real Structures'!D333, "")</f>
        <v/>
      </c>
    </row>
    <row r="328" spans="1:3">
      <c r="A328" t="str">
        <f>TEXT(IF('Real Structures'!B334&lt;&gt;0,'Real Structures'!B334, ""), "d-mmm-yy")</f>
        <v/>
      </c>
      <c r="B328" t="str">
        <f>IF(ISNUMBER('Real Structures'!C334),'Real Structures'!C334, "")</f>
        <v/>
      </c>
      <c r="C328" t="str">
        <f>IF(ISNUMBER('Real Structures'!D334),'Real Structures'!D334, "")</f>
        <v/>
      </c>
    </row>
    <row r="329" spans="1:3">
      <c r="A329" t="str">
        <f>TEXT(IF('Real Structures'!B335&lt;&gt;0,'Real Structures'!B335, ""), "d-mmm-yy")</f>
        <v/>
      </c>
      <c r="B329" t="str">
        <f>IF(ISNUMBER('Real Structures'!C335),'Real Structures'!C335, "")</f>
        <v/>
      </c>
      <c r="C329" t="str">
        <f>IF(ISNUMBER('Real Structures'!D335),'Real Structures'!D335, "")</f>
        <v/>
      </c>
    </row>
    <row r="330" spans="1:3">
      <c r="A330" t="str">
        <f>TEXT(IF('Real Structures'!B336&lt;&gt;0,'Real Structures'!B336, ""), "d-mmm-yy")</f>
        <v/>
      </c>
      <c r="B330" t="str">
        <f>IF(ISNUMBER('Real Structures'!C336),'Real Structures'!C336, "")</f>
        <v/>
      </c>
      <c r="C330" t="str">
        <f>IF(ISNUMBER('Real Structures'!D336),'Real Structures'!D336, "")</f>
        <v/>
      </c>
    </row>
    <row r="331" spans="1:3">
      <c r="A331" t="str">
        <f>TEXT(IF('Real Structures'!B337&lt;&gt;0,'Real Structures'!B337, ""), "d-mmm-yy")</f>
        <v/>
      </c>
      <c r="B331" t="str">
        <f>IF(ISNUMBER('Real Structures'!C337),'Real Structures'!C337, "")</f>
        <v/>
      </c>
      <c r="C331" t="str">
        <f>IF(ISNUMBER('Real Structures'!D337),'Real Structures'!D337, "")</f>
        <v/>
      </c>
    </row>
    <row r="332" spans="1:3">
      <c r="A332" t="str">
        <f>TEXT(IF('Real Structures'!B338&lt;&gt;0,'Real Structures'!B338, ""), "d-mmm-yy")</f>
        <v/>
      </c>
      <c r="B332" t="str">
        <f>IF(ISNUMBER('Real Structures'!C338),'Real Structures'!C338, "")</f>
        <v/>
      </c>
      <c r="C332" t="str">
        <f>IF(ISNUMBER('Real Structures'!D338),'Real Structures'!D338, "")</f>
        <v/>
      </c>
    </row>
    <row r="333" spans="1:3">
      <c r="A333" t="str">
        <f>TEXT(IF('Real Structures'!B339&lt;&gt;0,'Real Structures'!B339, ""), "d-mmm-yy")</f>
        <v/>
      </c>
      <c r="B333" t="str">
        <f>IF(ISNUMBER('Real Structures'!C339),'Real Structures'!C339, "")</f>
        <v/>
      </c>
      <c r="C333" t="str">
        <f>IF(ISNUMBER('Real Structures'!D339),'Real Structures'!D339, "")</f>
        <v/>
      </c>
    </row>
    <row r="334" spans="1:3">
      <c r="A334" t="str">
        <f>TEXT(IF('Real Structures'!B340&lt;&gt;0,'Real Structures'!B340, ""), "d-mmm-yy")</f>
        <v/>
      </c>
      <c r="B334" t="str">
        <f>IF(ISNUMBER('Real Structures'!C340),'Real Structures'!C340, "")</f>
        <v/>
      </c>
      <c r="C334" t="str">
        <f>IF(ISNUMBER('Real Structures'!D340),'Real Structures'!D340, "")</f>
        <v/>
      </c>
    </row>
    <row r="335" spans="1:3">
      <c r="A335" t="str">
        <f>TEXT(IF('Real Structures'!B341&lt;&gt;0,'Real Structures'!B341, ""), "d-mmm-yy")</f>
        <v/>
      </c>
      <c r="B335" t="str">
        <f>IF(ISNUMBER('Real Structures'!C341),'Real Structures'!C341, "")</f>
        <v/>
      </c>
      <c r="C335" t="str">
        <f>IF(ISNUMBER('Real Structures'!D341),'Real Structures'!D341, "")</f>
        <v/>
      </c>
    </row>
    <row r="336" spans="1:3">
      <c r="A336" t="str">
        <f>TEXT(IF('Real Structures'!B342&lt;&gt;0,'Real Structures'!B342, ""), "d-mmm-yy")</f>
        <v/>
      </c>
      <c r="B336" t="str">
        <f>IF(ISNUMBER('Real Structures'!C342),'Real Structures'!C342, "")</f>
        <v/>
      </c>
      <c r="C336" t="str">
        <f>IF(ISNUMBER('Real Structures'!D342),'Real Structures'!D342, "")</f>
        <v/>
      </c>
    </row>
    <row r="337" spans="1:3">
      <c r="A337" t="str">
        <f>TEXT(IF('Real Structures'!B343&lt;&gt;0,'Real Structures'!B343, ""), "d-mmm-yy")</f>
        <v/>
      </c>
      <c r="B337" t="str">
        <f>IF(ISNUMBER('Real Structures'!C343),'Real Structures'!C343, "")</f>
        <v/>
      </c>
      <c r="C337" t="str">
        <f>IF(ISNUMBER('Real Structures'!D343),'Real Structures'!D343, "")</f>
        <v/>
      </c>
    </row>
    <row r="338" spans="1:3">
      <c r="A338" t="str">
        <f>TEXT(IF('Real Structures'!B344&lt;&gt;0,'Real Structures'!B344, ""), "d-mmm-yy")</f>
        <v/>
      </c>
      <c r="B338" t="str">
        <f>IF(ISNUMBER('Real Structures'!C344),'Real Structures'!C344, "")</f>
        <v/>
      </c>
      <c r="C338" t="str">
        <f>IF(ISNUMBER('Real Structures'!D344),'Real Structures'!D344, "")</f>
        <v/>
      </c>
    </row>
    <row r="339" spans="1:3">
      <c r="A339" t="str">
        <f>TEXT(IF('Real Structures'!B345&lt;&gt;0,'Real Structures'!B345, ""), "d-mmm-yy")</f>
        <v/>
      </c>
      <c r="B339" t="str">
        <f>IF(ISNUMBER('Real Structures'!C345),'Real Structures'!C345, "")</f>
        <v/>
      </c>
      <c r="C339" t="str">
        <f>IF(ISNUMBER('Real Structures'!D345),'Real Structures'!D345, "")</f>
        <v/>
      </c>
    </row>
    <row r="340" spans="1:3">
      <c r="A340" t="str">
        <f>TEXT(IF('Real Structures'!B346&lt;&gt;0,'Real Structures'!B346, ""), "d-mmm-yy")</f>
        <v/>
      </c>
      <c r="B340" t="str">
        <f>IF(ISNUMBER('Real Structures'!C346),'Real Structures'!C346, "")</f>
        <v/>
      </c>
      <c r="C340" t="str">
        <f>IF(ISNUMBER('Real Structures'!D346),'Real Structures'!D346, "")</f>
        <v/>
      </c>
    </row>
    <row r="341" spans="1:3">
      <c r="A341" t="str">
        <f>TEXT(IF('Real Structures'!B347&lt;&gt;0,'Real Structures'!B347, ""), "d-mmm-yy")</f>
        <v/>
      </c>
      <c r="B341" t="str">
        <f>IF(ISNUMBER('Real Structures'!C347),'Real Structures'!C347, "")</f>
        <v/>
      </c>
      <c r="C341" t="str">
        <f>IF(ISNUMBER('Real Structures'!D347),'Real Structures'!D347, "")</f>
        <v/>
      </c>
    </row>
    <row r="342" spans="1:3">
      <c r="A342" t="str">
        <f>TEXT(IF('Real Structures'!B348&lt;&gt;0,'Real Structures'!B348, ""), "d-mmm-yy")</f>
        <v/>
      </c>
      <c r="B342" t="str">
        <f>IF(ISNUMBER('Real Structures'!C348),'Real Structures'!C348, "")</f>
        <v/>
      </c>
      <c r="C342" t="str">
        <f>IF(ISNUMBER('Real Structures'!D348),'Real Structures'!D348, "")</f>
        <v/>
      </c>
    </row>
    <row r="343" spans="1:3">
      <c r="A343" t="str">
        <f>TEXT(IF('Real Structures'!B349&lt;&gt;0,'Real Structures'!B349, ""), "d-mmm-yy")</f>
        <v/>
      </c>
      <c r="B343" t="str">
        <f>IF(ISNUMBER('Real Structures'!C349),'Real Structures'!C349, "")</f>
        <v/>
      </c>
      <c r="C343" t="str">
        <f>IF(ISNUMBER('Real Structures'!D349),'Real Structures'!D349, "")</f>
        <v/>
      </c>
    </row>
    <row r="344" spans="1:3">
      <c r="A344" t="str">
        <f>TEXT(IF('Real Structures'!B350&lt;&gt;0,'Real Structures'!B350, ""), "d-mmm-yy")</f>
        <v/>
      </c>
      <c r="B344" t="str">
        <f>IF(ISNUMBER('Real Structures'!C350),'Real Structures'!C350, "")</f>
        <v/>
      </c>
      <c r="C344" t="str">
        <f>IF(ISNUMBER('Real Structures'!D350),'Real Structures'!D350, "")</f>
        <v/>
      </c>
    </row>
    <row r="345" spans="1:3">
      <c r="A345" t="str">
        <f>TEXT(IF('Real Structures'!B351&lt;&gt;0,'Real Structures'!B351, ""), "d-mmm-yy")</f>
        <v/>
      </c>
      <c r="B345" t="str">
        <f>IF(ISNUMBER('Real Structures'!C351),'Real Structures'!C351, "")</f>
        <v/>
      </c>
      <c r="C345" t="str">
        <f>IF(ISNUMBER('Real Structures'!D351),'Real Structures'!D351, "")</f>
        <v/>
      </c>
    </row>
    <row r="346" spans="1:3">
      <c r="A346" t="str">
        <f>TEXT(IF('Real Structures'!B352&lt;&gt;0,'Real Structures'!B352, ""), "d-mmm-yy")</f>
        <v/>
      </c>
      <c r="B346" t="str">
        <f>IF(ISNUMBER('Real Structures'!C352),'Real Structures'!C352, "")</f>
        <v/>
      </c>
      <c r="C346" t="str">
        <f>IF(ISNUMBER('Real Structures'!D352),'Real Structures'!D352, "")</f>
        <v/>
      </c>
    </row>
    <row r="347" spans="1:3">
      <c r="A347" t="str">
        <f>TEXT(IF('Real Structures'!B353&lt;&gt;0,'Real Structures'!B353, ""), "d-mmm-yy")</f>
        <v/>
      </c>
      <c r="B347" t="str">
        <f>IF(ISNUMBER('Real Structures'!C353),'Real Structures'!C353, "")</f>
        <v/>
      </c>
      <c r="C347" t="str">
        <f>IF(ISNUMBER('Real Structures'!D353),'Real Structures'!D353, "")</f>
        <v/>
      </c>
    </row>
    <row r="348" spans="1:3">
      <c r="A348" t="str">
        <f>TEXT(IF('Real Structures'!B354&lt;&gt;0,'Real Structures'!B354, ""), "d-mmm-yy")</f>
        <v/>
      </c>
      <c r="B348" t="str">
        <f>IF(ISNUMBER('Real Structures'!C354),'Real Structures'!C354, "")</f>
        <v/>
      </c>
      <c r="C348" t="str">
        <f>IF(ISNUMBER('Real Structures'!D354),'Real Structures'!D354, "")</f>
        <v/>
      </c>
    </row>
    <row r="349" spans="1:3">
      <c r="A349" t="str">
        <f>TEXT(IF('Real Structures'!B355&lt;&gt;0,'Real Structures'!B355, ""), "d-mmm-yy")</f>
        <v/>
      </c>
      <c r="B349" t="str">
        <f>IF(ISNUMBER('Real Structures'!C355),'Real Structures'!C355, "")</f>
        <v/>
      </c>
      <c r="C349" t="str">
        <f>IF(ISNUMBER('Real Structures'!D355),'Real Structures'!D355, "")</f>
        <v/>
      </c>
    </row>
    <row r="350" spans="1:3">
      <c r="A350" t="str">
        <f>TEXT(IF('Real Structures'!B356&lt;&gt;0,'Real Structures'!B356, ""), "d-mmm-yy")</f>
        <v/>
      </c>
      <c r="B350" t="str">
        <f>IF(ISNUMBER('Real Structures'!C356),'Real Structures'!C356, "")</f>
        <v/>
      </c>
      <c r="C350" t="str">
        <f>IF(ISNUMBER('Real Structures'!D356),'Real Structures'!D356, "")</f>
        <v/>
      </c>
    </row>
    <row r="351" spans="1:3">
      <c r="A351" t="str">
        <f>TEXT(IF('Real Structures'!B357&lt;&gt;0,'Real Structures'!B357, ""), "d-mmm-yy")</f>
        <v/>
      </c>
      <c r="B351" t="str">
        <f>IF(ISNUMBER('Real Structures'!C357),'Real Structures'!C357, "")</f>
        <v/>
      </c>
      <c r="C351" t="str">
        <f>IF(ISNUMBER('Real Structures'!D357),'Real Structures'!D357, "")</f>
        <v/>
      </c>
    </row>
    <row r="352" spans="1:3">
      <c r="A352" t="str">
        <f>TEXT(IF('Real Structures'!B358&lt;&gt;0,'Real Structures'!B358, ""), "d-mmm-yy")</f>
        <v/>
      </c>
      <c r="B352" t="str">
        <f>IF(ISNUMBER('Real Structures'!C358),'Real Structures'!C358, "")</f>
        <v/>
      </c>
      <c r="C352" t="str">
        <f>IF(ISNUMBER('Real Structures'!D358),'Real Structures'!D358, "")</f>
        <v/>
      </c>
    </row>
    <row r="353" spans="1:3">
      <c r="A353" t="str">
        <f>TEXT(IF('Real Structures'!B359&lt;&gt;0,'Real Structures'!B359, ""), "d-mmm-yy")</f>
        <v/>
      </c>
      <c r="B353" t="str">
        <f>IF(ISNUMBER('Real Structures'!C359),'Real Structures'!C359, "")</f>
        <v/>
      </c>
      <c r="C353" t="str">
        <f>IF(ISNUMBER('Real Structures'!D359),'Real Structures'!D359, "")</f>
        <v/>
      </c>
    </row>
    <row r="354" spans="1:3">
      <c r="A354" t="str">
        <f>TEXT(IF('Real Structures'!B360&lt;&gt;0,'Real Structures'!B360, ""), "d-mmm-yy")</f>
        <v/>
      </c>
      <c r="B354" t="str">
        <f>IF(ISNUMBER('Real Structures'!C360),'Real Structures'!C360, "")</f>
        <v/>
      </c>
      <c r="C354" t="str">
        <f>IF(ISNUMBER('Real Structures'!D360),'Real Structures'!D360, "")</f>
        <v/>
      </c>
    </row>
    <row r="355" spans="1:3">
      <c r="A355" t="str">
        <f>TEXT(IF('Real Structures'!B361&lt;&gt;0,'Real Structures'!B361, ""), "d-mmm-yy")</f>
        <v/>
      </c>
      <c r="B355" t="str">
        <f>IF(ISNUMBER('Real Structures'!C361),'Real Structures'!C361, "")</f>
        <v/>
      </c>
      <c r="C355" t="str">
        <f>IF(ISNUMBER('Real Structures'!D361),'Real Structures'!D361, "")</f>
        <v/>
      </c>
    </row>
    <row r="356" spans="1:3">
      <c r="A356" t="str">
        <f>TEXT(IF('Real Structures'!B362&lt;&gt;0,'Real Structures'!B362, ""), "d-mmm-yy")</f>
        <v/>
      </c>
      <c r="B356" t="str">
        <f>IF(ISNUMBER('Real Structures'!C362),'Real Structures'!C362, "")</f>
        <v/>
      </c>
      <c r="C356" t="str">
        <f>IF(ISNUMBER('Real Structures'!D362),'Real Structures'!D362, "")</f>
        <v/>
      </c>
    </row>
    <row r="357" spans="1:3">
      <c r="A357" t="str">
        <f>TEXT(IF('Real Structures'!B363&lt;&gt;0,'Real Structures'!B363, ""), "d-mmm-yy")</f>
        <v/>
      </c>
      <c r="B357" t="str">
        <f>IF(ISNUMBER('Real Structures'!C363),'Real Structures'!C363, "")</f>
        <v/>
      </c>
      <c r="C357" t="str">
        <f>IF(ISNUMBER('Real Structures'!D363),'Real Structures'!D363, "")</f>
        <v/>
      </c>
    </row>
    <row r="358" spans="1:3">
      <c r="A358" t="str">
        <f>TEXT(IF('Real Structures'!B364&lt;&gt;0,'Real Structures'!B364, ""), "d-mmm-yy")</f>
        <v/>
      </c>
      <c r="B358" t="str">
        <f>IF(ISNUMBER('Real Structures'!C364),'Real Structures'!C364, "")</f>
        <v/>
      </c>
      <c r="C358" t="str">
        <f>IF(ISNUMBER('Real Structures'!D364),'Real Structures'!D364, "")</f>
        <v/>
      </c>
    </row>
    <row r="359" spans="1:3">
      <c r="A359" t="str">
        <f>TEXT(IF('Real Structures'!B365&lt;&gt;0,'Real Structures'!B365, ""), "d-mmm-yy")</f>
        <v/>
      </c>
      <c r="B359" t="str">
        <f>IF(ISNUMBER('Real Structures'!C365),'Real Structures'!C365, "")</f>
        <v/>
      </c>
      <c r="C359" t="str">
        <f>IF(ISNUMBER('Real Structures'!D365),'Real Structures'!D365, "")</f>
        <v/>
      </c>
    </row>
    <row r="360" spans="1:3">
      <c r="A360" t="str">
        <f>TEXT(IF('Real Structures'!B366&lt;&gt;0,'Real Structures'!B366, ""), "d-mmm-yy")</f>
        <v/>
      </c>
      <c r="B360" t="str">
        <f>IF(ISNUMBER('Real Structures'!C366),'Real Structures'!C366, "")</f>
        <v/>
      </c>
      <c r="C360" t="str">
        <f>IF(ISNUMBER('Real Structures'!D366),'Real Structures'!D366, "")</f>
        <v/>
      </c>
    </row>
    <row r="361" spans="1:3">
      <c r="A361" t="str">
        <f>TEXT(IF('Real Structures'!B367&lt;&gt;0,'Real Structures'!B367, ""), "d-mmm-yy")</f>
        <v/>
      </c>
      <c r="B361" t="str">
        <f>IF(ISNUMBER('Real Structures'!C367),'Real Structures'!C367, "")</f>
        <v/>
      </c>
      <c r="C361" t="str">
        <f>IF(ISNUMBER('Real Structures'!D367),'Real Structures'!D367, "")</f>
        <v/>
      </c>
    </row>
    <row r="362" spans="1:3">
      <c r="A362" t="str">
        <f>TEXT(IF('Real Structures'!B368&lt;&gt;0,'Real Structures'!B368, ""), "d-mmm-yy")</f>
        <v/>
      </c>
      <c r="B362" t="str">
        <f>IF(ISNUMBER('Real Structures'!C368),'Real Structures'!C368, "")</f>
        <v/>
      </c>
      <c r="C362" t="str">
        <f>IF(ISNUMBER('Real Structures'!D368),'Real Structures'!D368, "")</f>
        <v/>
      </c>
    </row>
    <row r="363" spans="1:3">
      <c r="A363" t="str">
        <f>TEXT(IF('Real Structures'!B369&lt;&gt;0,'Real Structures'!B369, ""), "d-mmm-yy")</f>
        <v/>
      </c>
      <c r="B363" t="str">
        <f>IF(ISNUMBER('Real Structures'!C369),'Real Structures'!C369, "")</f>
        <v/>
      </c>
      <c r="C363" t="str">
        <f>IF(ISNUMBER('Real Structures'!D369),'Real Structures'!D369, "")</f>
        <v/>
      </c>
    </row>
    <row r="364" spans="1:3">
      <c r="A364" t="str">
        <f>TEXT(IF('Real Structures'!B370&lt;&gt;0,'Real Structures'!B370, ""), "d-mmm-yy")</f>
        <v/>
      </c>
      <c r="B364" t="str">
        <f>IF(ISNUMBER('Real Structures'!C370),'Real Structures'!C370, "")</f>
        <v/>
      </c>
      <c r="C364" t="str">
        <f>IF(ISNUMBER('Real Structures'!D370),'Real Structures'!D370, "")</f>
        <v/>
      </c>
    </row>
    <row r="365" spans="1:3">
      <c r="A365" t="str">
        <f>TEXT(IF('Real Structures'!B371&lt;&gt;0,'Real Structures'!B371, ""), "d-mmm-yy")</f>
        <v/>
      </c>
      <c r="B365" t="str">
        <f>IF(ISNUMBER('Real Structures'!C371),'Real Structures'!C371, "")</f>
        <v/>
      </c>
      <c r="C365" t="str">
        <f>IF(ISNUMBER('Real Structures'!D371),'Real Structures'!D371, "")</f>
        <v/>
      </c>
    </row>
    <row r="366" spans="1:3">
      <c r="A366" t="str">
        <f>TEXT(IF('Real Structures'!B372&lt;&gt;0,'Real Structures'!B372, ""), "d-mmm-yy")</f>
        <v/>
      </c>
      <c r="B366" t="str">
        <f>IF(ISNUMBER('Real Structures'!C372),'Real Structures'!C372, "")</f>
        <v/>
      </c>
      <c r="C366" t="str">
        <f>IF(ISNUMBER('Real Structures'!D372),'Real Structures'!D372, "")</f>
        <v/>
      </c>
    </row>
    <row r="367" spans="1:3">
      <c r="A367" t="str">
        <f>TEXT(IF('Real Structures'!B373&lt;&gt;0,'Real Structures'!B373, ""), "d-mmm-yy")</f>
        <v/>
      </c>
      <c r="B367" t="str">
        <f>IF(ISNUMBER('Real Structures'!C373),'Real Structures'!C373, "")</f>
        <v/>
      </c>
      <c r="C367" t="str">
        <f>IF(ISNUMBER('Real Structures'!D373),'Real Structures'!D373, "")</f>
        <v/>
      </c>
    </row>
    <row r="368" spans="1:3">
      <c r="A368" t="str">
        <f>TEXT(IF('Real Structures'!B374&lt;&gt;0,'Real Structures'!B374, ""), "d-mmm-yy")</f>
        <v/>
      </c>
      <c r="B368" t="str">
        <f>IF(ISNUMBER('Real Structures'!C374),'Real Structures'!C374, "")</f>
        <v/>
      </c>
      <c r="C368" t="str">
        <f>IF(ISNUMBER('Real Structures'!D374),'Real Structures'!D374, "")</f>
        <v/>
      </c>
    </row>
    <row r="369" spans="1:3">
      <c r="A369" t="str">
        <f>TEXT(IF('Real Structures'!B375&lt;&gt;0,'Real Structures'!B375, ""), "d-mmm-yy")</f>
        <v/>
      </c>
      <c r="B369" t="str">
        <f>IF(ISNUMBER('Real Structures'!C375),'Real Structures'!C375, "")</f>
        <v/>
      </c>
      <c r="C369" t="str">
        <f>IF(ISNUMBER('Real Structures'!D375),'Real Structures'!D375, "")</f>
        <v/>
      </c>
    </row>
    <row r="370" spans="1:3">
      <c r="A370" t="str">
        <f>TEXT(IF('Real Structures'!B376&lt;&gt;0,'Real Structures'!B376, ""), "d-mmm-yy")</f>
        <v/>
      </c>
      <c r="B370" t="str">
        <f>IF(ISNUMBER('Real Structures'!C376),'Real Structures'!C376, "")</f>
        <v/>
      </c>
      <c r="C370" t="str">
        <f>IF(ISNUMBER('Real Structures'!D376),'Real Structures'!D376, "")</f>
        <v/>
      </c>
    </row>
    <row r="371" spans="1:3">
      <c r="A371" t="str">
        <f>TEXT(IF('Real Structures'!B377&lt;&gt;0,'Real Structures'!B377, ""), "d-mmm-yy")</f>
        <v/>
      </c>
      <c r="B371" t="str">
        <f>IF(ISNUMBER('Real Structures'!C377),'Real Structures'!C377, "")</f>
        <v/>
      </c>
      <c r="C371" t="str">
        <f>IF(ISNUMBER('Real Structures'!D377),'Real Structures'!D377, "")</f>
        <v/>
      </c>
    </row>
    <row r="372" spans="1:3">
      <c r="A372" t="str">
        <f>TEXT(IF('Real Structures'!B378&lt;&gt;0,'Real Structures'!B378, ""), "d-mmm-yy")</f>
        <v/>
      </c>
      <c r="B372" t="str">
        <f>IF(ISNUMBER('Real Structures'!C378),'Real Structures'!C378, "")</f>
        <v/>
      </c>
      <c r="C372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FFFF00"/>
  </sheetPr>
  <dimension ref="A1:C226"/>
  <sheetViews>
    <sheetView topLeftCell="A37" workbookViewId="0">
      <selection activeCell="A54" sqref="A54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103</v>
      </c>
      <c r="B1" t="s">
        <v>124</v>
      </c>
      <c r="C1" t="s">
        <v>312</v>
      </c>
    </row>
    <row r="2" spans="1:3">
      <c r="A2" t="str">
        <f>TEXT(IF('State and Local Taxes'!B15&lt;&gt;0,DATE(YEAR('State and Local Taxes'!B15), MONTH('State and Local Taxes'!B15)-2, 1), ""), "mm/dd/yyyy")</f>
        <v>01/01/2004</v>
      </c>
      <c r="B2" t="str">
        <f>IF(ISNUMBER('State and Local Taxes'!I15),TEXT('State and Local Taxes'!I15, "0.000"), "")</f>
        <v>0.054</v>
      </c>
      <c r="C2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t="str">
        <f>IF(ISNUMBER('State and Local Taxes'!I16),TEXT('State and Local Taxes'!I16, "0.000"), "")</f>
        <v>0.085</v>
      </c>
      <c r="C3">
        <f>IF(ISNUMBER('State and Local Taxes'!J16),'State and Local Taxes'!J16, "")</f>
        <v>0</v>
      </c>
    </row>
    <row r="4" spans="1:3">
      <c r="A4" t="str">
        <f>TEXT(IF('State and Local Taxes'!B17&lt;&gt;0,DATE(YEAR('State and Local Taxes'!B17), MONTH('State and Local Taxes'!B17)-2, 1), ""), "mm/dd/yyyy")</f>
        <v>07/01/2004</v>
      </c>
      <c r="B4" t="str">
        <f>IF(ISNUMBER('State and Local Taxes'!I17),TEXT('State and Local Taxes'!I17, "0.000"), "")</f>
        <v>0.077</v>
      </c>
      <c r="C4">
        <f>IF(ISNUMBER('State and Local Taxes'!J17),'State and Local Taxes'!J17, "")</f>
        <v>0</v>
      </c>
    </row>
    <row r="5" spans="1:3">
      <c r="A5" t="str">
        <f>TEXT(IF('State and Local Taxes'!B18&lt;&gt;0,DATE(YEAR('State and Local Taxes'!B18), MONTH('State and Local Taxes'!B18)-2, 1), ""), "mm/dd/yyyy")</f>
        <v>10/01/2004</v>
      </c>
      <c r="B5" t="str">
        <f>IF(ISNUMBER('State and Local Taxes'!I18),TEXT('State and Local Taxes'!I18, "0.000"), "")</f>
        <v>0.087</v>
      </c>
      <c r="C5">
        <f>IF(ISNUMBER('State and Local Taxes'!J18),'State and Local Taxes'!J18, "")</f>
        <v>0</v>
      </c>
    </row>
    <row r="6" spans="1:3">
      <c r="A6" t="str">
        <f>TEXT(IF('State and Local Taxes'!B19&lt;&gt;0,DATE(YEAR('State and Local Taxes'!B19), MONTH('State and Local Taxes'!B19)-2, 1), ""), "mm/dd/yyyy")</f>
        <v>01/01/2005</v>
      </c>
      <c r="B6" t="str">
        <f>IF(ISNUMBER('State and Local Taxes'!I19),TEXT('State and Local Taxes'!I19, "0.000"), "")</f>
        <v>0.092</v>
      </c>
      <c r="C6">
        <f>IF(ISNUMBER('State and Local Taxes'!J19),'State and Local Taxes'!J19, "")</f>
        <v>0</v>
      </c>
    </row>
    <row r="7" spans="1:3">
      <c r="A7" t="str">
        <f>TEXT(IF('State and Local Taxes'!B20&lt;&gt;0,DATE(YEAR('State and Local Taxes'!B20), MONTH('State and Local Taxes'!B20)-2, 1), ""), "mm/dd/yyyy")</f>
        <v>04/01/2005</v>
      </c>
      <c r="B7" t="str">
        <f>IF(ISNUMBER('State and Local Taxes'!I20),TEXT('State and Local Taxes'!I20, "0.000"), "")</f>
        <v>0.106</v>
      </c>
      <c r="C7">
        <f>IF(ISNUMBER('State and Local Taxes'!J20),'State and Local Taxes'!J20, "")</f>
        <v>0</v>
      </c>
    </row>
    <row r="8" spans="1:3">
      <c r="A8" t="str">
        <f>TEXT(IF('State and Local Taxes'!B21&lt;&gt;0,DATE(YEAR('State and Local Taxes'!B21), MONTH('State and Local Taxes'!B21)-2, 1), ""), "mm/dd/yyyy")</f>
        <v>07/01/2005</v>
      </c>
      <c r="B8" t="str">
        <f>IF(ISNUMBER('State and Local Taxes'!I21),TEXT('State and Local Taxes'!I21, "0.000"), "")</f>
        <v>0.113</v>
      </c>
      <c r="C8">
        <f>IF(ISNUMBER('State and Local Taxes'!J21),'State and Local Taxes'!J21, "")</f>
        <v>0</v>
      </c>
    </row>
    <row r="9" spans="1:3">
      <c r="A9" t="str">
        <f>TEXT(IF('State and Local Taxes'!B22&lt;&gt;0,DATE(YEAR('State and Local Taxes'!B22), MONTH('State and Local Taxes'!B22)-2, 1), ""), "mm/dd/yyyy")</f>
        <v>10/01/2005</v>
      </c>
      <c r="B9" t="str">
        <f>IF(ISNUMBER('State and Local Taxes'!I22),TEXT('State and Local Taxes'!I22, "0.000"), "")</f>
        <v>0.107</v>
      </c>
      <c r="C9">
        <f>IF(ISNUMBER('State and Local Taxes'!J22),'State and Local Taxes'!J22, "")</f>
        <v>0</v>
      </c>
    </row>
    <row r="10" spans="1:3">
      <c r="A10" t="str">
        <f>TEXT(IF('State and Local Taxes'!B23&lt;&gt;0,DATE(YEAR('State and Local Taxes'!B23), MONTH('State and Local Taxes'!B23)-2, 1), ""), "mm/dd/yyyy")</f>
        <v>01/01/2006</v>
      </c>
      <c r="B10" t="str">
        <f>IF(ISNUMBER('State and Local Taxes'!I23),TEXT('State and Local Taxes'!I23, "0.000"), "")</f>
        <v>0.104</v>
      </c>
      <c r="C10">
        <f>IF(ISNUMBER('State and Local Taxes'!J23),'State and Local Taxes'!J23, "")</f>
        <v>0</v>
      </c>
    </row>
    <row r="11" spans="1:3">
      <c r="A11" t="str">
        <f>TEXT(IF('State and Local Taxes'!B24&lt;&gt;0,DATE(YEAR('State and Local Taxes'!B24), MONTH('State and Local Taxes'!B24)-2, 1), ""), "mm/dd/yyyy")</f>
        <v>04/01/2006</v>
      </c>
      <c r="B11" t="str">
        <f>IF(ISNUMBER('State and Local Taxes'!I24),TEXT('State and Local Taxes'!I24, "0.000"), "")</f>
        <v>0.090</v>
      </c>
      <c r="C11">
        <f>IF(ISNUMBER('State and Local Taxes'!J24),'State and Local Taxes'!J24, "")</f>
        <v>0</v>
      </c>
    </row>
    <row r="12" spans="1:3">
      <c r="A12" t="str">
        <f>TEXT(IF('State and Local Taxes'!B25&lt;&gt;0,DATE(YEAR('State and Local Taxes'!B25), MONTH('State and Local Taxes'!B25)-2, 1), ""), "mm/dd/yyyy")</f>
        <v>07/01/2006</v>
      </c>
      <c r="B12" t="str">
        <f>IF(ISNUMBER('State and Local Taxes'!I25),TEXT('State and Local Taxes'!I25, "0.000"), "")</f>
        <v>0.081</v>
      </c>
      <c r="C12">
        <f>IF(ISNUMBER('State and Local Taxes'!J25),'State and Local Taxes'!J25, "")</f>
        <v>0</v>
      </c>
    </row>
    <row r="13" spans="1:3">
      <c r="A13" t="str">
        <f>TEXT(IF('State and Local Taxes'!B26&lt;&gt;0,DATE(YEAR('State and Local Taxes'!B26), MONTH('State and Local Taxes'!B26)-2, 1), ""), "mm/dd/yyyy")</f>
        <v>10/01/2006</v>
      </c>
      <c r="B13" t="str">
        <f>IF(ISNUMBER('State and Local Taxes'!I26),TEXT('State and Local Taxes'!I26, "0.000"), "")</f>
        <v>0.078</v>
      </c>
      <c r="C13">
        <f>IF(ISNUMBER('State and Local Taxes'!J26),'State and Local Taxes'!J26, "")</f>
        <v>0</v>
      </c>
    </row>
    <row r="14" spans="1:3">
      <c r="A14" t="str">
        <f>TEXT(IF('State and Local Taxes'!B27&lt;&gt;0,DATE(YEAR('State and Local Taxes'!B27), MONTH('State and Local Taxes'!B27)-2, 1), ""), "mm/dd/yyyy")</f>
        <v>01/01/2007</v>
      </c>
      <c r="B14" t="str">
        <f>IF(ISNUMBER('State and Local Taxes'!I27),TEXT('State and Local Taxes'!I27, "0.000"), "")</f>
        <v>0.074</v>
      </c>
      <c r="C14">
        <f>IF(ISNUMBER('State and Local Taxes'!J27),'State and Local Taxes'!J27, "")</f>
        <v>0</v>
      </c>
    </row>
    <row r="15" spans="1:3">
      <c r="A15" t="str">
        <f>TEXT(IF('State and Local Taxes'!B28&lt;&gt;0,DATE(YEAR('State and Local Taxes'!B28), MONTH('State and Local Taxes'!B28)-2, 1), ""), "mm/dd/yyyy")</f>
        <v>04/01/2007</v>
      </c>
      <c r="B15" t="str">
        <f>IF(ISNUMBER('State and Local Taxes'!I28),TEXT('State and Local Taxes'!I28, "0.000"), "")</f>
        <v>0.067</v>
      </c>
      <c r="C15">
        <f>IF(ISNUMBER('State and Local Taxes'!J28),'State and Local Taxes'!J28, "")</f>
        <v>0</v>
      </c>
    </row>
    <row r="16" spans="1:3">
      <c r="A16" t="str">
        <f>TEXT(IF('State and Local Taxes'!B29&lt;&gt;0,DATE(YEAR('State and Local Taxes'!B29), MONTH('State and Local Taxes'!B29)-2, 1), ""), "mm/dd/yyyy")</f>
        <v>07/01/2007</v>
      </c>
      <c r="B16" t="str">
        <f>IF(ISNUMBER('State and Local Taxes'!I29),TEXT('State and Local Taxes'!I29, "0.000"), "")</f>
        <v>0.061</v>
      </c>
      <c r="C16">
        <f>IF(ISNUMBER('State and Local Taxes'!J29),'State and Local Taxes'!J29, "")</f>
        <v>0</v>
      </c>
    </row>
    <row r="17" spans="1:3">
      <c r="A17" t="str">
        <f>TEXT(IF('State and Local Taxes'!B30&lt;&gt;0,DATE(YEAR('State and Local Taxes'!B30), MONTH('State and Local Taxes'!B30)-2, 1), ""), "mm/dd/yyyy")</f>
        <v>10/01/2007</v>
      </c>
      <c r="B17" t="str">
        <f>IF(ISNUMBER('State and Local Taxes'!I30),TEXT('State and Local Taxes'!I30, "0.000"), "")</f>
        <v>0.056</v>
      </c>
      <c r="C17">
        <f>IF(ISNUMBER('State and Local Taxes'!J30),'State and Local Taxes'!J30, "")</f>
        <v>0</v>
      </c>
    </row>
    <row r="18" spans="1:3">
      <c r="A18" t="str">
        <f>TEXT(IF('State and Local Taxes'!B31&lt;&gt;0,DATE(YEAR('State and Local Taxes'!B31), MONTH('State and Local Taxes'!B31)-2, 1), ""), "mm/dd/yyyy")</f>
        <v>01/01/2008</v>
      </c>
      <c r="B18" t="str">
        <f>IF(ISNUMBER('State and Local Taxes'!I31),TEXT('State and Local Taxes'!I31, "0.000"), "")</f>
        <v>0.043</v>
      </c>
      <c r="C18">
        <f>IF(ISNUMBER('State and Local Taxes'!J31),'State and Local Taxes'!J31, "")</f>
        <v>1</v>
      </c>
    </row>
    <row r="19" spans="1:3">
      <c r="A19" t="str">
        <f>TEXT(IF('State and Local Taxes'!B32&lt;&gt;0,DATE(YEAR('State and Local Taxes'!B32), MONTH('State and Local Taxes'!B32)-2, 1), ""), "mm/dd/yyyy")</f>
        <v>04/01/2008</v>
      </c>
      <c r="B19" t="str">
        <f>IF(ISNUMBER('State and Local Taxes'!I32),TEXT('State and Local Taxes'!I32, "0.000"), "")</f>
        <v>0.033</v>
      </c>
      <c r="C19">
        <f>IF(ISNUMBER('State and Local Taxes'!J32),'State and Local Taxes'!J32, "")</f>
        <v>1</v>
      </c>
    </row>
    <row r="20" spans="1:3">
      <c r="A20" t="str">
        <f>TEXT(IF('State and Local Taxes'!B33&lt;&gt;0,DATE(YEAR('State and Local Taxes'!B33), MONTH('State and Local Taxes'!B33)-2, 1), ""), "mm/dd/yyyy")</f>
        <v>07/01/2008</v>
      </c>
      <c r="B20" t="str">
        <f>IF(ISNUMBER('State and Local Taxes'!I33),TEXT('State and Local Taxes'!I33, "0.000"), "")</f>
        <v>0.034</v>
      </c>
      <c r="C20">
        <f>IF(ISNUMBER('State and Local Taxes'!J33),'State and Local Taxes'!J33, "")</f>
        <v>1</v>
      </c>
    </row>
    <row r="21" spans="1:3">
      <c r="A21" t="str">
        <f>TEXT(IF('State and Local Taxes'!B34&lt;&gt;0,DATE(YEAR('State and Local Taxes'!B34), MONTH('State and Local Taxes'!B34)-2, 1), ""), "mm/dd/yyyy")</f>
        <v>10/01/2008</v>
      </c>
      <c r="B21" t="str">
        <f>IF(ISNUMBER('State and Local Taxes'!I34),TEXT('State and Local Taxes'!I34, "0.000"), "")</f>
        <v>0.032</v>
      </c>
      <c r="C21">
        <f>IF(ISNUMBER('State and Local Taxes'!J34),'State and Local Taxes'!J34, "")</f>
        <v>1</v>
      </c>
    </row>
    <row r="22" spans="1:3">
      <c r="A22" t="str">
        <f>TEXT(IF('State and Local Taxes'!B35&lt;&gt;0,DATE(YEAR('State and Local Taxes'!B35), MONTH('State and Local Taxes'!B35)-2, 1), ""), "mm/dd/yyyy")</f>
        <v>01/01/2009</v>
      </c>
      <c r="B22" t="str">
        <f>IF(ISNUMBER('State and Local Taxes'!I35),TEXT('State and Local Taxes'!I35, "0.000"), "")</f>
        <v>0.025</v>
      </c>
      <c r="C22">
        <f>IF(ISNUMBER('State and Local Taxes'!J35),'State and Local Taxes'!J35, "")</f>
        <v>1</v>
      </c>
    </row>
    <row r="23" spans="1:3">
      <c r="A23" t="str">
        <f>TEXT(IF('State and Local Taxes'!B36&lt;&gt;0,DATE(YEAR('State and Local Taxes'!B36), MONTH('State and Local Taxes'!B36)-2, 1), ""), "mm/dd/yyyy")</f>
        <v>04/01/2009</v>
      </c>
      <c r="B23" t="str">
        <f>IF(ISNUMBER('State and Local Taxes'!I36),TEXT('State and Local Taxes'!I36, "0.000"), "")</f>
        <v>-0.010</v>
      </c>
      <c r="C23">
        <f>IF(ISNUMBER('State and Local Taxes'!J36),'State and Local Taxes'!J36, "")</f>
        <v>1</v>
      </c>
    </row>
    <row r="24" spans="1:3">
      <c r="A24" t="str">
        <f>TEXT(IF('State and Local Taxes'!B37&lt;&gt;0,DATE(YEAR('State and Local Taxes'!B37), MONTH('State and Local Taxes'!B37)-2, 1), ""), "mm/dd/yyyy")</f>
        <v>07/01/2009</v>
      </c>
      <c r="B24" t="str">
        <f>IF(ISNUMBER('State and Local Taxes'!I37),TEXT('State and Local Taxes'!I37, "0.000"), "")</f>
        <v>-0.031</v>
      </c>
      <c r="C24">
        <f>IF(ISNUMBER('State and Local Taxes'!J37),'State and Local Taxes'!J37, "")</f>
        <v>0</v>
      </c>
    </row>
    <row r="25" spans="1:3">
      <c r="A25" t="str">
        <f>TEXT(IF('State and Local Taxes'!B38&lt;&gt;0,DATE(YEAR('State and Local Taxes'!B38), MONTH('State and Local Taxes'!B38)-2, 1), ""), "mm/dd/yyyy")</f>
        <v>10/01/2009</v>
      </c>
      <c r="B25" t="str">
        <f>IF(ISNUMBER('State and Local Taxes'!I38),TEXT('State and Local Taxes'!I38, "0.000"), "")</f>
        <v>-0.039</v>
      </c>
      <c r="C25">
        <f>IF(ISNUMBER('State and Local Taxes'!J38),'State and Local Taxes'!J38, "")</f>
        <v>0</v>
      </c>
    </row>
    <row r="26" spans="1:3">
      <c r="A26" t="str">
        <f>TEXT(IF('State and Local Taxes'!B39&lt;&gt;0,DATE(YEAR('State and Local Taxes'!B39), MONTH('State and Local Taxes'!B39)-2, 1), ""), "mm/dd/yyyy")</f>
        <v>01/01/2010</v>
      </c>
      <c r="B26" t="str">
        <f>IF(ISNUMBER('State and Local Taxes'!I39),TEXT('State and Local Taxes'!I39, "0.000"), "")</f>
        <v>-0.038</v>
      </c>
      <c r="C26">
        <f>IF(ISNUMBER('State and Local Taxes'!J39),'State and Local Taxes'!J39, "")</f>
        <v>0</v>
      </c>
    </row>
    <row r="27" spans="1:3">
      <c r="A27" t="str">
        <f>TEXT(IF('State and Local Taxes'!B40&lt;&gt;0,DATE(YEAR('State and Local Taxes'!B40), MONTH('State and Local Taxes'!B40)-2, 1), ""), "mm/dd/yyyy")</f>
        <v>04/01/2010</v>
      </c>
      <c r="B27" t="str">
        <f>IF(ISNUMBER('State and Local Taxes'!I40),TEXT('State and Local Taxes'!I40, "0.000"), "")</f>
        <v>-0.006</v>
      </c>
      <c r="C27">
        <f>IF(ISNUMBER('State and Local Taxes'!J40),'State and Local Taxes'!J40, "")</f>
        <v>0</v>
      </c>
    </row>
    <row r="28" spans="1:3">
      <c r="A28" t="str">
        <f>TEXT(IF('State and Local Taxes'!B41&lt;&gt;0,DATE(YEAR('State and Local Taxes'!B41), MONTH('State and Local Taxes'!B41)-2, 1), ""), "mm/dd/yyyy")</f>
        <v>07/01/2010</v>
      </c>
      <c r="B28" t="str">
        <f>IF(ISNUMBER('State and Local Taxes'!I41),TEXT('State and Local Taxes'!I41, "0.000"), "")</f>
        <v>0.013</v>
      </c>
      <c r="C28">
        <f>IF(ISNUMBER('State and Local Taxes'!J41),'State and Local Taxes'!J41, "")</f>
        <v>0</v>
      </c>
    </row>
    <row r="29" spans="1:3">
      <c r="A29" t="str">
        <f>TEXT(IF('State and Local Taxes'!B42&lt;&gt;0,DATE(YEAR('State and Local Taxes'!B42), MONTH('State and Local Taxes'!B42)-2, 1), ""), "mm/dd/yyyy")</f>
        <v>10/01/2010</v>
      </c>
      <c r="B29" t="str">
        <f>IF(ISNUMBER('State and Local Taxes'!I42),TEXT('State and Local Taxes'!I42, "0.000"), "")</f>
        <v>0.012</v>
      </c>
      <c r="C29">
        <f>IF(ISNUMBER('State and Local Taxes'!J42),'State and Local Taxes'!J42, "")</f>
        <v>0</v>
      </c>
    </row>
    <row r="30" spans="1:3">
      <c r="A30" t="str">
        <f>TEXT(IF('State and Local Taxes'!B43&lt;&gt;0,DATE(YEAR('State and Local Taxes'!B43), MONTH('State and Local Taxes'!B43)-2, 1), ""), "mm/dd/yyyy")</f>
        <v>01/01/2011</v>
      </c>
      <c r="B30" t="str">
        <f>IF(ISNUMBER('State and Local Taxes'!I43),TEXT('State and Local Taxes'!I43, "0.000"), "")</f>
        <v>0.027</v>
      </c>
      <c r="C30">
        <f>IF(ISNUMBER('State and Local Taxes'!J43),'State and Local Taxes'!J43, "")</f>
        <v>0</v>
      </c>
    </row>
    <row r="31" spans="1:3">
      <c r="A31" t="str">
        <f>TEXT(IF('State and Local Taxes'!B44&lt;&gt;0,DATE(YEAR('State and Local Taxes'!B44), MONTH('State and Local Taxes'!B44)-2, 1), ""), "mm/dd/yyyy")</f>
        <v>04/01/2011</v>
      </c>
      <c r="B31" t="str">
        <f>IF(ISNUMBER('State and Local Taxes'!I44),TEXT('State and Local Taxes'!I44, "0.000"), "")</f>
        <v>0.043</v>
      </c>
      <c r="C31">
        <f>IF(ISNUMBER('State and Local Taxes'!J44),'State and Local Taxes'!J44, "")</f>
        <v>0</v>
      </c>
    </row>
    <row r="32" spans="1:3">
      <c r="A32" t="str">
        <f>TEXT(IF('State and Local Taxes'!B45&lt;&gt;0,DATE(YEAR('State and Local Taxes'!B45), MONTH('State and Local Taxes'!B45)-2, 1), ""), "mm/dd/yyyy")</f>
        <v>07/01/2011</v>
      </c>
      <c r="B32" t="str">
        <f>IF(ISNUMBER('State and Local Taxes'!I45),TEXT('State and Local Taxes'!I45, "0.000"), "")</f>
        <v>0.042</v>
      </c>
      <c r="C32">
        <f>IF(ISNUMBER('State and Local Taxes'!J45),'State and Local Taxes'!J45, "")</f>
        <v>0</v>
      </c>
    </row>
    <row r="33" spans="1:3">
      <c r="A33" t="str">
        <f>TEXT(IF('State and Local Taxes'!B46&lt;&gt;0,DATE(YEAR('State and Local Taxes'!B46), MONTH('State and Local Taxes'!B46)-2, 1), ""), "mm/dd/yyyy")</f>
        <v>10/01/2011</v>
      </c>
      <c r="B33" t="str">
        <f>IF(ISNUMBER('State and Local Taxes'!I46),TEXT('State and Local Taxes'!I46, "0.000"), "")</f>
        <v>0.052</v>
      </c>
      <c r="C33">
        <f>IF(ISNUMBER('State and Local Taxes'!J46),'State and Local Taxes'!J46, "")</f>
        <v>0</v>
      </c>
    </row>
    <row r="34" spans="1:3">
      <c r="A34" t="str">
        <f>TEXT(IF('State and Local Taxes'!B47&lt;&gt;0,DATE(YEAR('State and Local Taxes'!B47), MONTH('State and Local Taxes'!B47)-2, 1), ""), "mm/dd/yyyy")</f>
        <v>01/01/2012</v>
      </c>
      <c r="B34" t="str">
        <f>IF(ISNUMBER('State and Local Taxes'!I47),TEXT('State and Local Taxes'!I47, "0.000"), "")</f>
        <v>0.045</v>
      </c>
      <c r="C34">
        <f>IF(ISNUMBER('State and Local Taxes'!J47),'State and Local Taxes'!J47, "")</f>
        <v>0</v>
      </c>
    </row>
    <row r="35" spans="1:3">
      <c r="A35" t="str">
        <f>TEXT(IF('State and Local Taxes'!B48&lt;&gt;0,DATE(YEAR('State and Local Taxes'!B48), MONTH('State and Local Taxes'!B48)-2, 1), ""), "mm/dd/yyyy")</f>
        <v>04/01/2012</v>
      </c>
      <c r="B35" t="str">
        <f>IF(ISNUMBER('State and Local Taxes'!I48),TEXT('State and Local Taxes'!I48, "0.000"), "")</f>
        <v>0.032</v>
      </c>
      <c r="C35">
        <f>IF(ISNUMBER('State and Local Taxes'!J48),'State and Local Taxes'!J48, "")</f>
        <v>0</v>
      </c>
    </row>
    <row r="36" spans="1:3">
      <c r="A36" t="str">
        <f>TEXT(IF('State and Local Taxes'!B49&lt;&gt;0,DATE(YEAR('State and Local Taxes'!B49), MONTH('State and Local Taxes'!B49)-2, 1), ""), "mm/dd/yyyy")</f>
        <v>07/01/2012</v>
      </c>
      <c r="B36" t="str">
        <f>IF(ISNUMBER('State and Local Taxes'!I49),TEXT('State and Local Taxes'!I49, "0.000"), "")</f>
        <v>0.037</v>
      </c>
      <c r="C36">
        <f>IF(ISNUMBER('State and Local Taxes'!J49),'State and Local Taxes'!J49, "")</f>
        <v>0</v>
      </c>
    </row>
    <row r="37" spans="1:3">
      <c r="A37" t="str">
        <f>TEXT(IF('State and Local Taxes'!B50&lt;&gt;0,DATE(YEAR('State and Local Taxes'!B50), MONTH('State and Local Taxes'!B50)-2, 1), ""), "mm/dd/yyyy")</f>
        <v>10/01/2012</v>
      </c>
      <c r="B37" t="str">
        <f>IF(ISNUMBER('State and Local Taxes'!I50),TEXT('State and Local Taxes'!I50, "0.000"), "")</f>
        <v>0.033</v>
      </c>
      <c r="C37">
        <f>IF(ISNUMBER('State and Local Taxes'!J50),'State and Local Taxes'!J50, "")</f>
        <v>0</v>
      </c>
    </row>
    <row r="38" spans="1:3">
      <c r="A38" t="str">
        <f>TEXT(IF('State and Local Taxes'!B51&lt;&gt;0,DATE(YEAR('State and Local Taxes'!B51), MONTH('State and Local Taxes'!B51)-2, 1), ""), "mm/dd/yyyy")</f>
        <v>01/01/2013</v>
      </c>
      <c r="B38" t="str">
        <f>IF(ISNUMBER('State and Local Taxes'!I51),TEXT('State and Local Taxes'!I51, "0.000"), "")</f>
        <v>0.044</v>
      </c>
      <c r="C38">
        <f>IF(ISNUMBER('State and Local Taxes'!J51),'State and Local Taxes'!J51, "")</f>
        <v>0</v>
      </c>
    </row>
    <row r="39" spans="1:3">
      <c r="A39" t="str">
        <f>TEXT(IF('State and Local Taxes'!B52&lt;&gt;0,DATE(YEAR('State and Local Taxes'!B52), MONTH('State and Local Taxes'!B52)-2, 1), ""), "mm/dd/yyyy")</f>
        <v>04/01/2013</v>
      </c>
      <c r="B39" t="str">
        <f>IF(ISNUMBER('State and Local Taxes'!I52),TEXT('State and Local Taxes'!I52, "0.000"), "")</f>
        <v>0.057</v>
      </c>
      <c r="C39">
        <f>IF(ISNUMBER('State and Local Taxes'!J52),'State and Local Taxes'!J52, "")</f>
        <v>0</v>
      </c>
    </row>
    <row r="40" spans="1:3">
      <c r="A40" t="str">
        <f>TEXT(IF('State and Local Taxes'!B53&lt;&gt;0,DATE(YEAR('State and Local Taxes'!B53), MONTH('State and Local Taxes'!B53)-2, 1), ""), "mm/dd/yyyy")</f>
        <v>07/01/2013</v>
      </c>
      <c r="B40" t="str">
        <f>IF(ISNUMBER('State and Local Taxes'!I53),TEXT('State and Local Taxes'!I53, "0.000"), "")</f>
        <v>0.063</v>
      </c>
      <c r="C40">
        <f>IF(ISNUMBER('State and Local Taxes'!J53),'State and Local Taxes'!J53, "")</f>
        <v>0</v>
      </c>
    </row>
    <row r="41" spans="1:3">
      <c r="A41" t="str">
        <f>TEXT(IF('State and Local Taxes'!B54&lt;&gt;0,DATE(YEAR('State and Local Taxes'!B54), MONTH('State and Local Taxes'!B54)-2, 1), ""), "mm/dd/yyyy")</f>
        <v>10/01/2013</v>
      </c>
      <c r="B41" t="str">
        <f>IF(ISNUMBER('State and Local Taxes'!I54),TEXT('State and Local Taxes'!I54, "0.000"), "")</f>
        <v>0.063</v>
      </c>
      <c r="C41">
        <f>IF(ISNUMBER('State and Local Taxes'!J54),'State and Local Taxes'!J54, "")</f>
        <v>0</v>
      </c>
    </row>
    <row r="42" spans="1:3">
      <c r="A42" t="str">
        <f>TEXT(IF('State and Local Taxes'!B55&lt;&gt;0,DATE(YEAR('State and Local Taxes'!B55), MONTH('State and Local Taxes'!B55)-2, 1), ""), "mm/dd/yyyy")</f>
        <v>01/01/2014</v>
      </c>
      <c r="B42" t="str">
        <f>IF(ISNUMBER('State and Local Taxes'!I55),TEXT('State and Local Taxes'!I55, "0.000"), "")</f>
        <v>0.051</v>
      </c>
      <c r="C42">
        <f>IF(ISNUMBER('State and Local Taxes'!J55),'State and Local Taxes'!J55, "")</f>
        <v>0</v>
      </c>
    </row>
    <row r="43" spans="1:3">
      <c r="A43" t="str">
        <f>TEXT(IF('State and Local Taxes'!B56&lt;&gt;0,DATE(YEAR('State and Local Taxes'!B56), MONTH('State and Local Taxes'!B56)-2, 1), ""), "mm/dd/yyyy")</f>
        <v>04/01/2014</v>
      </c>
      <c r="B43" t="str">
        <f>IF(ISNUMBER('State and Local Taxes'!I56),TEXT('State and Local Taxes'!I56, "0.000"), "")</f>
        <v>0.032</v>
      </c>
      <c r="C43">
        <f>IF(ISNUMBER('State and Local Taxes'!J56),'State and Local Taxes'!J56, "")</f>
        <v>0</v>
      </c>
    </row>
    <row r="44" spans="1:3">
      <c r="A44" t="str">
        <f>TEXT(IF('State and Local Taxes'!B57&lt;&gt;0,DATE(YEAR('State and Local Taxes'!B57), MONTH('State and Local Taxes'!B57)-2, 1), ""), "mm/dd/yyyy")</f>
        <v>07/01/2014</v>
      </c>
      <c r="B44" t="str">
        <f>IF(ISNUMBER('State and Local Taxes'!I57),TEXT('State and Local Taxes'!I57, "0.000"), "")</f>
        <v>0.020</v>
      </c>
      <c r="C44">
        <f>IF(ISNUMBER('State and Local Taxes'!J57),'State and Local Taxes'!J57, "")</f>
        <v>0</v>
      </c>
    </row>
    <row r="45" spans="1:3">
      <c r="A45" t="str">
        <f>TEXT(IF('State and Local Taxes'!B58&lt;&gt;0,DATE(YEAR('State and Local Taxes'!B58), MONTH('State and Local Taxes'!B58)-2, 1), ""), "mm/dd/yyyy")</f>
        <v>10/01/2014</v>
      </c>
      <c r="B45" t="str">
        <f>IF(ISNUMBER('State and Local Taxes'!I58),TEXT('State and Local Taxes'!I58, "0.000"), "")</f>
        <v>0.028</v>
      </c>
      <c r="C45">
        <f>IF(ISNUMBER('State and Local Taxes'!J58),'State and Local Taxes'!J58, "")</f>
        <v>0</v>
      </c>
    </row>
    <row r="46" spans="1:3">
      <c r="A46" t="str">
        <f>TEXT(IF('State and Local Taxes'!B59&lt;&gt;0,DATE(YEAR('State and Local Taxes'!B59), MONTH('State and Local Taxes'!B59)-2, 1), ""), "mm/dd/yyyy")</f>
        <v>01/01/2015</v>
      </c>
      <c r="B46" t="str">
        <f>IF(ISNUMBER('State and Local Taxes'!I59),TEXT('State and Local Taxes'!I59, "0.000"), "")</f>
        <v>0.034</v>
      </c>
      <c r="C46">
        <f>IF(ISNUMBER('State and Local Taxes'!J59),'State and Local Taxes'!J59, "")</f>
        <v>0</v>
      </c>
    </row>
    <row r="47" spans="1:3">
      <c r="A47" t="str">
        <f>TEXT(IF('State and Local Taxes'!B60&lt;&gt;0,DATE(YEAR('State and Local Taxes'!B60), MONTH('State and Local Taxes'!B60)-2, 1), ""), "mm/dd/yyyy")</f>
        <v>04/01/2015</v>
      </c>
      <c r="B47" t="str">
        <f>IF(ISNUMBER('State and Local Taxes'!I60),TEXT('State and Local Taxes'!I60, "0.000"), "")</f>
        <v>0.051</v>
      </c>
      <c r="C47">
        <f>IF(ISNUMBER('State and Local Taxes'!J60),'State and Local Taxes'!J60, "")</f>
        <v>0</v>
      </c>
    </row>
    <row r="48" spans="1:3">
      <c r="A48" t="str">
        <f>TEXT(IF('State and Local Taxes'!B61&lt;&gt;0,DATE(YEAR('State and Local Taxes'!B61), MONTH('State and Local Taxes'!B61)-2, 1), ""), "mm/dd/yyyy")</f>
        <v>07/01/2015</v>
      </c>
      <c r="B48" t="str">
        <f>IF(ISNUMBER('State and Local Taxes'!I61),TEXT('State and Local Taxes'!I61, "0.000"), "")</f>
        <v>0.059</v>
      </c>
      <c r="C48">
        <f>IF(ISNUMBER('State and Local Taxes'!J61),'State and Local Taxes'!J61, "")</f>
        <v>0</v>
      </c>
    </row>
    <row r="49" spans="1:3">
      <c r="A49" t="str">
        <f>TEXT(IF('State and Local Taxes'!B62&lt;&gt;0,DATE(YEAR('State and Local Taxes'!B62), MONTH('State and Local Taxes'!B62)-2, 1), ""), "mm/dd/yyyy")</f>
        <v>10/01/2015</v>
      </c>
      <c r="B49" t="str">
        <f>IF(ISNUMBER('State and Local Taxes'!I62),TEXT('State and Local Taxes'!I62, "0.000"), "")</f>
        <v>0.056</v>
      </c>
      <c r="C49">
        <f>IF(ISNUMBER('State and Local Taxes'!J62),'State and Local Taxes'!J62, "")</f>
        <v>0</v>
      </c>
    </row>
    <row r="50" spans="1:3">
      <c r="A50" t="str">
        <f>TEXT(IF('State and Local Taxes'!B63&lt;&gt;0,DATE(YEAR('State and Local Taxes'!B63), MONTH('State and Local Taxes'!B63)-2, 1), ""), "mm/dd/yyyy")</f>
        <v>01/01/2016</v>
      </c>
      <c r="B50" t="str">
        <f>IF(ISNUMBER('State and Local Taxes'!I63),TEXT('State and Local Taxes'!I63, "0.000"), "")</f>
        <v>0.053</v>
      </c>
      <c r="C50">
        <f>IF(ISNUMBER('State and Local Taxes'!J63),'State and Local Taxes'!J63, "")</f>
        <v>0</v>
      </c>
    </row>
    <row r="51" spans="1:3">
      <c r="A51" t="str">
        <f>TEXT(IF('State and Local Taxes'!B64&lt;&gt;0,DATE(YEAR('State and Local Taxes'!B64), MONTH('State and Local Taxes'!B64)-2, 1), ""), "mm/dd/yyyy")</f>
        <v>04/01/2016</v>
      </c>
      <c r="B51" t="str">
        <f>IF(ISNUMBER('State and Local Taxes'!I64),TEXT('State and Local Taxes'!I64, "0.000"), "")</f>
        <v>0.034</v>
      </c>
      <c r="C51">
        <f>IF(ISNUMBER('State and Local Taxes'!J64),'State and Local Taxes'!J64, "")</f>
        <v>0</v>
      </c>
    </row>
    <row r="52" spans="1:3">
      <c r="A52" t="str">
        <f>TEXT(IF('State and Local Taxes'!B65&lt;&gt;0,DATE(YEAR('State and Local Taxes'!B65), MONTH('State and Local Taxes'!B65)-2, 1), ""), "mm/dd/yyyy")</f>
        <v>07/01/2016</v>
      </c>
      <c r="B52" t="str">
        <f>IF(ISNUMBER('State and Local Taxes'!I65),TEXT('State and Local Taxes'!I65, "0.000"), "")</f>
        <v>0.026</v>
      </c>
      <c r="C52">
        <f>IF(ISNUMBER('State and Local Taxes'!J65),'State and Local Taxes'!J65, "")</f>
        <v>0</v>
      </c>
    </row>
    <row r="53" spans="1:3">
      <c r="A53" t="str">
        <f>TEXT(IF('State and Local Taxes'!B66&lt;&gt;0,DATE(YEAR('State and Local Taxes'!B66), MONTH('State and Local Taxes'!B66)-2, 1), ""), "mm/dd/yyyy")</f>
        <v>10/01/2016</v>
      </c>
      <c r="B53" t="str">
        <f>IF(ISNUMBER('State and Local Taxes'!I66),TEXT('State and Local Taxes'!I66, "0.000"), "")</f>
        <v>0.019</v>
      </c>
      <c r="C53">
        <f>IF(ISNUMBER('State and Local Taxes'!J66),'State and Local Taxes'!J66, "")</f>
        <v>0</v>
      </c>
    </row>
    <row r="54" spans="1:3">
      <c r="A54" t="str">
        <f>TEXT(IF('State and Local Taxes'!B67&lt;&gt;0,DATE(YEAR('State and Local Taxes'!B67), MONTH('State and Local Taxes'!B67)-2, 1), ""), "mm/dd/yyyy")</f>
        <v>01/01/2017</v>
      </c>
      <c r="B54" t="str">
        <f>IF(ISNUMBER('State and Local Taxes'!I67),TEXT('State and Local Taxes'!I67, "0.000"), "")</f>
        <v>0.022</v>
      </c>
      <c r="C54">
        <f>IF(ISNUMBER('State and Local Taxes'!J67),'State and Local Taxes'!J67, "")</f>
        <v>0</v>
      </c>
    </row>
    <row r="55" spans="1:3">
      <c r="A55" t="str">
        <f>TEXT(IF('State and Local Taxes'!B68&lt;&gt;0,DATE(YEAR('State and Local Taxes'!B68), MONTH('State and Local Taxes'!B68)-2, 1), ""), "mm/dd/yyyy")</f>
        <v>04/01/2017</v>
      </c>
      <c r="B55" t="str">
        <f>IF(ISNUMBER('State and Local Taxes'!I68),TEXT('State and Local Taxes'!I68, "0.000"), "")</f>
        <v>0.026</v>
      </c>
      <c r="C55">
        <f>IF(ISNUMBER('State and Local Taxes'!J68),'State and Local Taxes'!J68, "")</f>
        <v>0</v>
      </c>
    </row>
    <row r="56" spans="1:3">
      <c r="A56" t="str">
        <f>TEXT(IF('State and Local Taxes'!B69&lt;&gt;0,DATE(YEAR('State and Local Taxes'!B69), MONTH('State and Local Taxes'!B69)-2, 1), ""), "mm/dd/yyyy")</f>
        <v>07/01/2017</v>
      </c>
      <c r="B56" t="str">
        <f>IF(ISNUMBER('State and Local Taxes'!I69),TEXT('State and Local Taxes'!I69, "0.000"), "")</f>
        <v>0.030</v>
      </c>
      <c r="C56">
        <f>IF(ISNUMBER('State and Local Taxes'!J69),'State and Local Taxes'!J69, "")</f>
        <v>0</v>
      </c>
    </row>
    <row r="57" spans="1:3">
      <c r="A57" t="str">
        <f>TEXT(IF('State and Local Taxes'!B70&lt;&gt;0,DATE(YEAR('State and Local Taxes'!B70), MONTH('State and Local Taxes'!B70)-2, 1), ""), "mm/dd/yyyy")</f>
        <v>10/01/2017</v>
      </c>
      <c r="B57" t="str">
        <f>IF(ISNUMBER('State and Local Taxes'!I70),TEXT('State and Local Taxes'!I70, "0.000"), "")</f>
        <v>0.048</v>
      </c>
      <c r="C57">
        <f>IF(ISNUMBER('State and Local Taxes'!J70),'State and Local Taxes'!J70, "")</f>
        <v>0</v>
      </c>
    </row>
    <row r="58" spans="1:3">
      <c r="A58" t="str">
        <f>TEXT(IF('State and Local Taxes'!B71&lt;&gt;0,DATE(YEAR('State and Local Taxes'!B71), MONTH('State and Local Taxes'!B71)-2, 1), ""), "mm/dd/yyyy")</f>
        <v>01/01/2018</v>
      </c>
      <c r="B58" t="str">
        <f>IF(ISNUMBER('State and Local Taxes'!I71),TEXT('State and Local Taxes'!I71, "0.000"), "")</f>
        <v>0.054</v>
      </c>
      <c r="C58">
        <f>IF(ISNUMBER('State and Local Taxes'!J71),'State and Local Taxes'!J71, "")</f>
        <v>0</v>
      </c>
    </row>
    <row r="59" spans="1:3">
      <c r="A59" t="str">
        <f>TEXT(IF('State and Local Taxes'!B72&lt;&gt;0,DATE(YEAR('State and Local Taxes'!B72), MONTH('State and Local Taxes'!B72)-2, 1), ""), "mm/dd/yyyy")</f>
        <v>04/01/2018</v>
      </c>
      <c r="B59" t="str">
        <f>IF(ISNUMBER('State and Local Taxes'!I72),TEXT('State and Local Taxes'!I72, "0.000"), "")</f>
        <v>0.065</v>
      </c>
      <c r="C59">
        <f>IF(ISNUMBER('State and Local Taxes'!J72),'State and Local Taxes'!J72, "")</f>
        <v>0</v>
      </c>
    </row>
    <row r="60" spans="1:3">
      <c r="A60" t="str">
        <f>TEXT(IF('State and Local Taxes'!B73&lt;&gt;0,DATE(YEAR('State and Local Taxes'!B73), MONTH('State and Local Taxes'!B73)-2, 1), ""), "mm/dd/yyyy")</f>
        <v>07/01/2018</v>
      </c>
      <c r="B60" t="str">
        <f>IF(ISNUMBER('State and Local Taxes'!I73),TEXT('State and Local Taxes'!I73, "0.000"), "")</f>
        <v>0.067</v>
      </c>
      <c r="C60">
        <f>IF(ISNUMBER('State and Local Taxes'!J73),'State and Local Taxes'!J73, "")</f>
        <v>0</v>
      </c>
    </row>
    <row r="61" spans="1:3">
      <c r="A61" t="str">
        <f>TEXT(IF('State and Local Taxes'!B74&lt;&gt;0,DATE(YEAR('State and Local Taxes'!B74), MONTH('State and Local Taxes'!B74)-2, 1), ""), "mm/dd/yyyy")</f>
        <v/>
      </c>
      <c r="B61" t="str">
        <f>IF(ISNUMBER('State and Local Taxes'!I74),TEXT('State and Local Taxes'!I74, "0.000"), "")</f>
        <v/>
      </c>
      <c r="C61" t="str">
        <f>IF(ISNUMBER('State and Local Taxes'!J74),'State and Local Taxes'!J74, "")</f>
        <v/>
      </c>
    </row>
    <row r="62" spans="1:3">
      <c r="A62" t="str">
        <f>TEXT(IF('State and Local Taxes'!B75&lt;&gt;0,DATE(YEAR('State and Local Taxes'!B75), MONTH('State and Local Taxes'!B75)-2, 1), ""), "mm/dd/yyyy")</f>
        <v/>
      </c>
      <c r="B62" t="str">
        <f>IF(ISNUMBER('State and Local Taxes'!I75),TEXT('State and Local Taxes'!I75, "0.000"), "")</f>
        <v/>
      </c>
      <c r="C62" t="str">
        <f>IF(ISNUMBER('State and Local Taxes'!J75),'State and Local Taxes'!J75, "")</f>
        <v/>
      </c>
    </row>
    <row r="63" spans="1:3">
      <c r="A63" t="str">
        <f>TEXT(IF('State and Local Taxes'!B76&lt;&gt;0,DATE(YEAR('State and Local Taxes'!B76), MONTH('State and Local Taxes'!B76)-2, 1), ""), "mm/dd/yyyy")</f>
        <v/>
      </c>
      <c r="B63" t="str">
        <f>IF(ISNUMBER('State and Local Taxes'!I76),TEXT('State and Local Taxes'!I76, "0.000"), "")</f>
        <v/>
      </c>
      <c r="C63" t="str">
        <f>IF(ISNUMBER('State and Local Taxes'!J76),'State and Local Taxes'!J76, "")</f>
        <v/>
      </c>
    </row>
    <row r="64" spans="1:3">
      <c r="A64" t="str">
        <f>TEXT(IF('State and Local Taxes'!B77&lt;&gt;0,DATE(YEAR('State and Local Taxes'!B77), MONTH('State and Local Taxes'!B77)-2, 1), ""), "mm/dd/yyyy")</f>
        <v/>
      </c>
      <c r="B64" t="str">
        <f>IF(ISNUMBER('State and Local Taxes'!I77),TEXT('State and Local Taxes'!I77, "0.000"), "")</f>
        <v/>
      </c>
      <c r="C64" t="str">
        <f>IF(ISNUMBER('State and Local Taxes'!J77),'State and Local Taxes'!J77, "")</f>
        <v/>
      </c>
    </row>
    <row r="65" spans="1:3">
      <c r="A65" t="str">
        <f>TEXT(IF('State and Local Taxes'!B78&lt;&gt;0,DATE(YEAR('State and Local Taxes'!B78), MONTH('State and Local Taxes'!B78)-2, 1), ""), "mm/dd/yyyy")</f>
        <v/>
      </c>
      <c r="B65" t="str">
        <f>IF(ISNUMBER('State and Local Taxes'!I78),TEXT('State and Local Taxes'!I78, "0.000"), "")</f>
        <v/>
      </c>
      <c r="C65" t="str">
        <f>IF(ISNUMBER('State and Local Taxes'!J78),'State and Local Taxes'!J78, "")</f>
        <v/>
      </c>
    </row>
    <row r="66" spans="1:3">
      <c r="A66" t="str">
        <f>TEXT(IF('State and Local Taxes'!B79&lt;&gt;0,DATE(YEAR('State and Local Taxes'!B79), MONTH('State and Local Taxes'!B79)-2, 1), ""), "mm/dd/yyyy")</f>
        <v/>
      </c>
      <c r="B66" t="str">
        <f>IF(ISNUMBER('State and Local Taxes'!I79),TEXT('State and Local Taxes'!I79, "0.000"), "")</f>
        <v/>
      </c>
      <c r="C66" t="str">
        <f>IF(ISNUMBER('State and Local Taxes'!J79),'State and Local Taxes'!J79, "")</f>
        <v/>
      </c>
    </row>
    <row r="67" spans="1:3">
      <c r="A67" t="str">
        <f>TEXT(IF('State and Local Taxes'!B80&lt;&gt;0,DATE(YEAR('State and Local Taxes'!B80), MONTH('State and Local Taxes'!B80)-2, 1), ""), "mm/dd/yyyy")</f>
        <v/>
      </c>
      <c r="B67" t="str">
        <f>IF(ISNUMBER('State and Local Taxes'!I80),TEXT('State and Local Taxes'!I80, "0.000"), "")</f>
        <v/>
      </c>
      <c r="C67" t="str">
        <f>IF(ISNUMBER('State and Local Taxes'!J80),'State and Local Taxes'!J80, "")</f>
        <v/>
      </c>
    </row>
    <row r="68" spans="1:3">
      <c r="A68" t="str">
        <f>TEXT(IF('State and Local Taxes'!B81&lt;&gt;0,DATE(YEAR('State and Local Taxes'!B81), MONTH('State and Local Taxes'!B81)-2, 1), ""), "mm/dd/yyyy")</f>
        <v/>
      </c>
      <c r="B68" t="str">
        <f>IF(ISNUMBER('State and Local Taxes'!I81),TEXT('State and Local Taxes'!I81, "0.000"), "")</f>
        <v/>
      </c>
      <c r="C68" t="str">
        <f>IF(ISNUMBER('State and Local Taxes'!J81),'State and Local Taxes'!J81, "")</f>
        <v/>
      </c>
    </row>
    <row r="69" spans="1:3">
      <c r="A69" t="str">
        <f>TEXT(IF('State and Local Taxes'!B82&lt;&gt;0,DATE(YEAR('State and Local Taxes'!B82), MONTH('State and Local Taxes'!B82)-2, 1), ""), "mm/dd/yyyy")</f>
        <v/>
      </c>
      <c r="B69" t="str">
        <f>IF(ISNUMBER('State and Local Taxes'!I82),TEXT('State and Local Taxes'!I82, "0.000"), "")</f>
        <v/>
      </c>
      <c r="C69" t="str">
        <f>IF(ISNUMBER('State and Local Taxes'!J82),'State and Local Taxes'!J82, "")</f>
        <v/>
      </c>
    </row>
    <row r="70" spans="1:3">
      <c r="A70" t="str">
        <f>TEXT(IF('State and Local Taxes'!B83&lt;&gt;0,DATE(YEAR('State and Local Taxes'!B83), MONTH('State and Local Taxes'!B83)-2, 1), ""), "mm/dd/yyyy")</f>
        <v/>
      </c>
      <c r="B70" t="str">
        <f>IF(ISNUMBER('State and Local Taxes'!I83),TEXT('State and Local Taxes'!I83, "0.000"), "")</f>
        <v/>
      </c>
      <c r="C70" t="str">
        <f>IF(ISNUMBER('State and Local Taxes'!J83),'State and Local Taxes'!J83, "")</f>
        <v/>
      </c>
    </row>
    <row r="71" spans="1:3">
      <c r="A71" t="str">
        <f>TEXT(IF('State and Local Taxes'!B84&lt;&gt;0,DATE(YEAR('State and Local Taxes'!B84), MONTH('State and Local Taxes'!B84)-2, 1), ""), "mm/dd/yyyy")</f>
        <v/>
      </c>
      <c r="B71" t="str">
        <f>IF(ISNUMBER('State and Local Taxes'!I84),TEXT('State and Local Taxes'!I84, "0.000"), "")</f>
        <v/>
      </c>
      <c r="C71" t="str">
        <f>IF(ISNUMBER('State and Local Taxes'!J84),'State and Local Taxes'!J84, "")</f>
        <v/>
      </c>
    </row>
    <row r="72" spans="1:3">
      <c r="A72" t="str">
        <f>TEXT(IF('State and Local Taxes'!B85&lt;&gt;0,DATE(YEAR('State and Local Taxes'!B85), MONTH('State and Local Taxes'!B85)-2, 1), ""), "mm/dd/yyyy")</f>
        <v/>
      </c>
      <c r="B72" t="str">
        <f>IF(ISNUMBER('State and Local Taxes'!I85),TEXT('State and Local Taxes'!I85, "0.000"), "")</f>
        <v/>
      </c>
      <c r="C72" t="str">
        <f>IF(ISNUMBER('State and Local Taxes'!J85),'State and Local Taxes'!J85, "")</f>
        <v/>
      </c>
    </row>
    <row r="73" spans="1:3">
      <c r="A73" t="str">
        <f>TEXT(IF('State and Local Taxes'!B86&lt;&gt;0,DATE(YEAR('State and Local Taxes'!B86), MONTH('State and Local Taxes'!B86)-2, 1), ""), "mm/dd/yyyy")</f>
        <v/>
      </c>
      <c r="B73" t="str">
        <f>IF(ISNUMBER('State and Local Taxes'!I86),TEXT('State and Local Taxes'!I86, "0.000"), "")</f>
        <v/>
      </c>
      <c r="C73" t="str">
        <f>IF(ISNUMBER('State and Local Taxes'!J86),'State and Local Taxes'!J86, "")</f>
        <v/>
      </c>
    </row>
    <row r="74" spans="1:3">
      <c r="A74" t="str">
        <f>TEXT(IF('State and Local Taxes'!B87&lt;&gt;0,DATE(YEAR('State and Local Taxes'!B87), MONTH('State and Local Taxes'!B87)-2, 1), ""), "mm/dd/yyyy")</f>
        <v/>
      </c>
      <c r="B74" t="str">
        <f>IF(ISNUMBER('State and Local Taxes'!I87),TEXT('State and Local Taxes'!I87, "0.000"), "")</f>
        <v/>
      </c>
      <c r="C74" t="str">
        <f>IF(ISNUMBER('State and Local Taxes'!J87),'State and Local Taxes'!J87, "")</f>
        <v/>
      </c>
    </row>
    <row r="75" spans="1:3">
      <c r="A75" t="str">
        <f>TEXT(IF('State and Local Taxes'!B88&lt;&gt;0,DATE(YEAR('State and Local Taxes'!B88), MONTH('State and Local Taxes'!B88)-2, 1), ""), "mm/dd/yyyy")</f>
        <v/>
      </c>
      <c r="B75" t="str">
        <f>IF(ISNUMBER('State and Local Taxes'!I88),TEXT('State and Local Taxes'!I88, "0.000"), "")</f>
        <v/>
      </c>
      <c r="C75" t="str">
        <f>IF(ISNUMBER('State and Local Taxes'!J88),'State and Local Taxes'!J88, "")</f>
        <v/>
      </c>
    </row>
    <row r="76" spans="1:3">
      <c r="A76" t="str">
        <f>TEXT(IF('State and Local Taxes'!B89&lt;&gt;0,DATE(YEAR('State and Local Taxes'!B89), MONTH('State and Local Taxes'!B89)-2, 1), ""), "mm/dd/yyyy")</f>
        <v/>
      </c>
      <c r="B76" t="str">
        <f>IF(ISNUMBER('State and Local Taxes'!I89),TEXT('State and Local Taxes'!I89, "0.000"), "")</f>
        <v/>
      </c>
      <c r="C76" t="str">
        <f>IF(ISNUMBER('State and Local Taxes'!J89),'State and Local Taxes'!J89, "")</f>
        <v/>
      </c>
    </row>
    <row r="77" spans="1:3">
      <c r="A77" t="str">
        <f>TEXT(IF('State and Local Taxes'!B90&lt;&gt;0,DATE(YEAR('State and Local Taxes'!B90), MONTH('State and Local Taxes'!B90)-2, 1), ""), "mm/dd/yyyy")</f>
        <v/>
      </c>
      <c r="B77" t="str">
        <f>IF(ISNUMBER('State and Local Taxes'!I90),TEXT('State and Local Taxes'!I90, "0.000"), "")</f>
        <v/>
      </c>
      <c r="C77" t="str">
        <f>IF(ISNUMBER('State and Local Taxes'!J90),'State and Local Taxes'!J90, "")</f>
        <v/>
      </c>
    </row>
    <row r="78" spans="1:3">
      <c r="A78" t="str">
        <f>TEXT(IF('State and Local Taxes'!B91&lt;&gt;0,DATE(YEAR('State and Local Taxes'!B91), MONTH('State and Local Taxes'!B91)-2, 1), ""), "mm/dd/yyyy")</f>
        <v/>
      </c>
      <c r="B78" t="str">
        <f>IF(ISNUMBER('State and Local Taxes'!I91),TEXT('State and Local Taxes'!I91, "0.000"), "")</f>
        <v/>
      </c>
      <c r="C78" t="str">
        <f>IF(ISNUMBER('State and Local Taxes'!J91),'State and Local Taxes'!J91, "")</f>
        <v/>
      </c>
    </row>
    <row r="79" spans="1:3">
      <c r="A79" t="str">
        <f>TEXT(IF('State and Local Taxes'!B92&lt;&gt;0,DATE(YEAR('State and Local Taxes'!B92), MONTH('State and Local Taxes'!B92)-2, 1), ""), "mm/dd/yyyy")</f>
        <v/>
      </c>
      <c r="B79" t="str">
        <f>IF(ISNUMBER('State and Local Taxes'!I92),TEXT('State and Local Taxes'!I92, "0.000"), "")</f>
        <v/>
      </c>
      <c r="C79" t="str">
        <f>IF(ISNUMBER('State and Local Taxes'!J92),'State and Local Taxes'!J92, "")</f>
        <v/>
      </c>
    </row>
    <row r="80" spans="1:3">
      <c r="A80" t="str">
        <f>TEXT(IF('State and Local Taxes'!B93&lt;&gt;0,DATE(YEAR('State and Local Taxes'!B93), MONTH('State and Local Taxes'!B93)-2, 1), ""), "mm/dd/yyyy")</f>
        <v/>
      </c>
      <c r="B80" t="str">
        <f>IF(ISNUMBER('State and Local Taxes'!I93),TEXT('State and Local Taxes'!I93, "0.000"), "")</f>
        <v/>
      </c>
      <c r="C80" t="str">
        <f>IF(ISNUMBER('State and Local Taxes'!J93),'State and Local Taxes'!J93, "")</f>
        <v/>
      </c>
    </row>
    <row r="81" spans="1:3">
      <c r="A81" t="str">
        <f>TEXT(IF('State and Local Taxes'!B94&lt;&gt;0,DATE(YEAR('State and Local Taxes'!B94), MONTH('State and Local Taxes'!B94)-2, 1), ""), "mm/dd/yyyy")</f>
        <v/>
      </c>
      <c r="B81" t="str">
        <f>IF(ISNUMBER('State and Local Taxes'!I94),TEXT('State and Local Taxes'!I94, "0.000"), "")</f>
        <v/>
      </c>
      <c r="C81" t="str">
        <f>IF(ISNUMBER('State and Local Taxes'!J94),'State and Local Taxes'!J94, "")</f>
        <v/>
      </c>
    </row>
    <row r="82" spans="1:3">
      <c r="A82" t="str">
        <f>TEXT(IF('State and Local Taxes'!B95&lt;&gt;0,DATE(YEAR('State and Local Taxes'!B95), MONTH('State and Local Taxes'!B95)-2, 1), ""), "mm/dd/yyyy")</f>
        <v/>
      </c>
      <c r="B82" t="str">
        <f>IF(ISNUMBER('State and Local Taxes'!I95),TEXT('State and Local Taxes'!I95, "0.000"), "")</f>
        <v/>
      </c>
      <c r="C82" t="str">
        <f>IF(ISNUMBER('State and Local Taxes'!J95),'State and Local Taxes'!J95, "")</f>
        <v/>
      </c>
    </row>
    <row r="83" spans="1:3">
      <c r="A83" t="str">
        <f>TEXT(IF('State and Local Taxes'!B96&lt;&gt;0,DATE(YEAR('State and Local Taxes'!B96), MONTH('State and Local Taxes'!B96)-2, 1), ""), "mm/dd/yyyy")</f>
        <v/>
      </c>
      <c r="B83" t="str">
        <f>IF(ISNUMBER('State and Local Taxes'!I96),TEXT('State and Local Taxes'!I96, "0.000"), "")</f>
        <v/>
      </c>
      <c r="C83" t="str">
        <f>IF(ISNUMBER('State and Local Taxes'!J96),'State and Local Taxes'!J96, "")</f>
        <v/>
      </c>
    </row>
    <row r="84" spans="1:3">
      <c r="A84" t="str">
        <f>TEXT(IF('State and Local Taxes'!B97&lt;&gt;0,DATE(YEAR('State and Local Taxes'!B97), MONTH('State and Local Taxes'!B97)-2, 1), ""), "mm/dd/yyyy")</f>
        <v/>
      </c>
      <c r="B84" t="str">
        <f>IF(ISNUMBER('State and Local Taxes'!I97),TEXT('State and Local Taxes'!I97, "0.000"), "")</f>
        <v/>
      </c>
      <c r="C84" t="str">
        <f>IF(ISNUMBER('State and Local Taxes'!J97),'State and Local Taxes'!J97, "")</f>
        <v/>
      </c>
    </row>
    <row r="85" spans="1:3">
      <c r="A85" t="str">
        <f>TEXT(IF('State and Local Taxes'!B98&lt;&gt;0,DATE(YEAR('State and Local Taxes'!B98), MONTH('State and Local Taxes'!B98)-2, 1), ""), "mm/dd/yyyy")</f>
        <v/>
      </c>
      <c r="B85" t="str">
        <f>IF(ISNUMBER('State and Local Taxes'!I98),TEXT('State and Local Taxes'!I98, "0.000"), "")</f>
        <v/>
      </c>
      <c r="C85" t="str">
        <f>IF(ISNUMBER('State and Local Taxes'!J98),'State and Local Taxes'!J98, "")</f>
        <v/>
      </c>
    </row>
    <row r="86" spans="1:3">
      <c r="A86" t="str">
        <f>TEXT(IF('State and Local Taxes'!B99&lt;&gt;0,DATE(YEAR('State and Local Taxes'!B99), MONTH('State and Local Taxes'!B99)-2, 1), ""), "mm/dd/yyyy")</f>
        <v/>
      </c>
      <c r="B86" t="str">
        <f>IF(ISNUMBER('State and Local Taxes'!I99),TEXT('State and Local Taxes'!I99, "0.000"), "")</f>
        <v/>
      </c>
      <c r="C86" t="str">
        <f>IF(ISNUMBER('State and Local Taxes'!J99),'State and Local Taxes'!J99, "")</f>
        <v/>
      </c>
    </row>
    <row r="87" spans="1:3">
      <c r="A87" t="str">
        <f>TEXT(IF('State and Local Taxes'!B100&lt;&gt;0,DATE(YEAR('State and Local Taxes'!B100), MONTH('State and Local Taxes'!B100)-2, 1), ""), "mm/dd/yyyy")</f>
        <v/>
      </c>
      <c r="B87" t="str">
        <f>IF(ISNUMBER('State and Local Taxes'!I100),TEXT('State and Local Taxes'!I100, "0.000"), "")</f>
        <v/>
      </c>
      <c r="C87" t="str">
        <f>IF(ISNUMBER('State and Local Taxes'!J100),'State and Local Taxes'!J100, "")</f>
        <v/>
      </c>
    </row>
    <row r="88" spans="1:3">
      <c r="A88" t="str">
        <f>TEXT(IF('State and Local Taxes'!B101&lt;&gt;0,DATE(YEAR('State and Local Taxes'!B101), MONTH('State and Local Taxes'!B101)-2, 1), ""), "mm/dd/yyyy")</f>
        <v/>
      </c>
      <c r="B88" t="str">
        <f>IF(ISNUMBER('State and Local Taxes'!I101),TEXT('State and Local Taxes'!I101, "0.000"), "")</f>
        <v/>
      </c>
      <c r="C88" t="str">
        <f>IF(ISNUMBER('State and Local Taxes'!J101),'State and Local Taxes'!J101, "")</f>
        <v/>
      </c>
    </row>
    <row r="89" spans="1:3">
      <c r="A89" t="str">
        <f>TEXT(IF('State and Local Taxes'!B102&lt;&gt;0,DATE(YEAR('State and Local Taxes'!B102), MONTH('State and Local Taxes'!B102)-2, 1), ""), "mm/dd/yyyy")</f>
        <v/>
      </c>
      <c r="B89" t="str">
        <f>IF(ISNUMBER('State and Local Taxes'!I102),TEXT('State and Local Taxes'!I102, "0.000"), "")</f>
        <v/>
      </c>
      <c r="C89" t="str">
        <f>IF(ISNUMBER('State and Local Taxes'!J102),'State and Local Taxes'!J102, "")</f>
        <v/>
      </c>
    </row>
    <row r="90" spans="1:3">
      <c r="A90" t="str">
        <f>TEXT(IF('State and Local Taxes'!B103&lt;&gt;0,DATE(YEAR('State and Local Taxes'!B103), MONTH('State and Local Taxes'!B103)-2, 1), ""), "mm/dd/yyyy")</f>
        <v/>
      </c>
      <c r="B90" t="str">
        <f>IF(ISNUMBER('State and Local Taxes'!I103),TEXT('State and Local Taxes'!I103, "0.000"), "")</f>
        <v/>
      </c>
      <c r="C90" t="str">
        <f>IF(ISNUMBER('State and Local Taxes'!J103),'State and Local Taxes'!J103, "")</f>
        <v/>
      </c>
    </row>
    <row r="91" spans="1:3">
      <c r="A91" t="str">
        <f>TEXT(IF('State and Local Taxes'!B104&lt;&gt;0,DATE(YEAR('State and Local Taxes'!B104), MONTH('State and Local Taxes'!B104)-2, 1), ""), "mm/dd/yyyy")</f>
        <v/>
      </c>
      <c r="B91" t="str">
        <f>IF(ISNUMBER('State and Local Taxes'!I104),TEXT('State and Local Taxes'!I104, "0.000"), "")</f>
        <v/>
      </c>
      <c r="C91" t="str">
        <f>IF(ISNUMBER('State and Local Taxes'!J104),'State and Local Taxes'!J104, "")</f>
        <v/>
      </c>
    </row>
    <row r="92" spans="1:3">
      <c r="A92" t="str">
        <f>TEXT(IF('State and Local Taxes'!B105&lt;&gt;0,DATE(YEAR('State and Local Taxes'!B105), MONTH('State and Local Taxes'!B105)-2, 1), ""), "mm/dd/yyyy")</f>
        <v/>
      </c>
      <c r="B92" t="str">
        <f>IF(ISNUMBER('State and Local Taxes'!I105),TEXT('State and Local Taxes'!I105, "0.000"), "")</f>
        <v/>
      </c>
      <c r="C92" t="str">
        <f>IF(ISNUMBER('State and Local Taxes'!J105),'State and Local Taxes'!J105, "")</f>
        <v/>
      </c>
    </row>
    <row r="93" spans="1:3">
      <c r="A93" t="str">
        <f>TEXT(IF('State and Local Taxes'!B106&lt;&gt;0,DATE(YEAR('State and Local Taxes'!B106), MONTH('State and Local Taxes'!B106)-2, 1), ""), "mm/dd/yyyy")</f>
        <v/>
      </c>
      <c r="B93" t="str">
        <f>IF(ISNUMBER('State and Local Taxes'!I106),TEXT('State and Local Taxes'!I106, "0.000"), "")</f>
        <v/>
      </c>
      <c r="C93" t="str">
        <f>IF(ISNUMBER('State and Local Taxes'!J106),'State and Local Taxes'!J106, "")</f>
        <v/>
      </c>
    </row>
    <row r="94" spans="1:3">
      <c r="A94" t="str">
        <f>TEXT(IF('State and Local Taxes'!B107&lt;&gt;0,DATE(YEAR('State and Local Taxes'!B107), MONTH('State and Local Taxes'!B107)-2, 1), ""), "mm/dd/yyyy")</f>
        <v/>
      </c>
      <c r="B94" t="str">
        <f>IF(ISNUMBER('State and Local Taxes'!I107),TEXT('State and Local Taxes'!I107, "0.000"), "")</f>
        <v/>
      </c>
      <c r="C94" t="str">
        <f>IF(ISNUMBER('State and Local Taxes'!J107),'State and Local Taxes'!J107, "")</f>
        <v/>
      </c>
    </row>
    <row r="95" spans="1:3">
      <c r="A95" t="str">
        <f>TEXT(IF('State and Local Taxes'!B108&lt;&gt;0,DATE(YEAR('State and Local Taxes'!B108), MONTH('State and Local Taxes'!B108)-2, 1), ""), "mm/dd/yyyy")</f>
        <v/>
      </c>
      <c r="B95" t="str">
        <f>IF(ISNUMBER('State and Local Taxes'!I108),TEXT('State and Local Taxes'!I108, "0.000"), "")</f>
        <v/>
      </c>
      <c r="C95" t="str">
        <f>IF(ISNUMBER('State and Local Taxes'!J108),'State and Local Taxes'!J108, "")</f>
        <v/>
      </c>
    </row>
    <row r="96" spans="1:3">
      <c r="A96" t="str">
        <f>TEXT(IF('State and Local Taxes'!B109&lt;&gt;0,DATE(YEAR('State and Local Taxes'!B109), MONTH('State and Local Taxes'!B109)-2, 1), ""), "mm/dd/yyyy")</f>
        <v/>
      </c>
      <c r="B96" t="str">
        <f>IF(ISNUMBER('State and Local Taxes'!I109),TEXT('State and Local Taxes'!I109, "0.000"), "")</f>
        <v/>
      </c>
      <c r="C96" t="str">
        <f>IF(ISNUMBER('State and Local Taxes'!J109),'State and Local Taxes'!J109, "")</f>
        <v/>
      </c>
    </row>
    <row r="97" spans="1:3">
      <c r="A97" t="str">
        <f>TEXT(IF('State and Local Taxes'!B110&lt;&gt;0,DATE(YEAR('State and Local Taxes'!B110), MONTH('State and Local Taxes'!B110)-2, 1), ""), "mm/dd/yyyy")</f>
        <v/>
      </c>
      <c r="B97" t="str">
        <f>IF(ISNUMBER('State and Local Taxes'!I110),TEXT('State and Local Taxes'!I110, "0.000"), "")</f>
        <v/>
      </c>
      <c r="C97" t="str">
        <f>IF(ISNUMBER('State and Local Taxes'!J110),'State and Local Taxes'!J110, "")</f>
        <v/>
      </c>
    </row>
    <row r="98" spans="1:3">
      <c r="A98" t="str">
        <f>TEXT(IF('State and Local Taxes'!B111&lt;&gt;0,DATE(YEAR('State and Local Taxes'!B111), MONTH('State and Local Taxes'!B111)-2, 1), ""), "mm/dd/yyyy")</f>
        <v/>
      </c>
      <c r="B98" t="str">
        <f>IF(ISNUMBER('State and Local Taxes'!I111),TEXT('State and Local Taxes'!I111, "0.000"), "")</f>
        <v/>
      </c>
      <c r="C98" t="str">
        <f>IF(ISNUMBER('State and Local Taxes'!J111),'State and Local Taxes'!J111, "")</f>
        <v/>
      </c>
    </row>
    <row r="99" spans="1:3">
      <c r="A99" t="str">
        <f>TEXT(IF('State and Local Taxes'!B112&lt;&gt;0,DATE(YEAR('State and Local Taxes'!B112), MONTH('State and Local Taxes'!B112)-2, 1), ""), "mm/dd/yyyy")</f>
        <v/>
      </c>
      <c r="B99" t="str">
        <f>IF(ISNUMBER('State and Local Taxes'!I112),TEXT('State and Local Taxes'!I112, "0.000"), "")</f>
        <v/>
      </c>
      <c r="C99" t="str">
        <f>IF(ISNUMBER('State and Local Taxes'!J112),'State and Local Taxes'!J112, "")</f>
        <v/>
      </c>
    </row>
    <row r="100" spans="1:3">
      <c r="A100" t="str">
        <f>TEXT(IF('State and Local Taxes'!B113&lt;&gt;0,DATE(YEAR('State and Local Taxes'!B113), MONTH('State and Local Taxes'!B113)-2, 1), ""), "mm/dd/yyyy")</f>
        <v/>
      </c>
      <c r="B100" t="str">
        <f>IF(ISNUMBER('State and Local Taxes'!I113),TEXT('State and Local Taxes'!I113, "0.000"), "")</f>
        <v/>
      </c>
      <c r="C100" t="str">
        <f>IF(ISNUMBER('State and Local Taxes'!J113),'State and Local Taxes'!J113, "")</f>
        <v/>
      </c>
    </row>
    <row r="101" spans="1:3">
      <c r="A101" t="str">
        <f>TEXT(IF('State and Local Taxes'!B114&lt;&gt;0,DATE(YEAR('State and Local Taxes'!B114), MONTH('State and Local Taxes'!B114)-2, 1), ""), "mm/dd/yyyy")</f>
        <v/>
      </c>
      <c r="B101" t="str">
        <f>IF(ISNUMBER('State and Local Taxes'!I114),TEXT('State and Local Taxes'!I114, "0.000"), "")</f>
        <v/>
      </c>
      <c r="C101" t="str">
        <f>IF(ISNUMBER('State and Local Taxes'!J114),'State and Local Taxes'!J114, "")</f>
        <v/>
      </c>
    </row>
    <row r="102" spans="1:3">
      <c r="A102" t="str">
        <f>TEXT(IF('State and Local Taxes'!B115&lt;&gt;0,DATE(YEAR('State and Local Taxes'!B115), MONTH('State and Local Taxes'!B115)-2, 1), ""), "mm/dd/yyyy")</f>
        <v/>
      </c>
      <c r="B102" t="str">
        <f>IF(ISNUMBER('State and Local Taxes'!I115),TEXT('State and Local Taxes'!I115, "0.000"), "")</f>
        <v/>
      </c>
      <c r="C102" t="str">
        <f>IF(ISNUMBER('State and Local Taxes'!J115),'State and Local Taxes'!J115, "")</f>
        <v/>
      </c>
    </row>
    <row r="103" spans="1:3">
      <c r="A103" t="str">
        <f>TEXT(IF('State and Local Taxes'!B116&lt;&gt;0,DATE(YEAR('State and Local Taxes'!B116), MONTH('State and Local Taxes'!B116)-2, 1), ""), "mm/dd/yyyy")</f>
        <v/>
      </c>
      <c r="B103" t="str">
        <f>IF(ISNUMBER('State and Local Taxes'!I116),TEXT('State and Local Taxes'!I116, "0.000"), "")</f>
        <v/>
      </c>
      <c r="C103" t="str">
        <f>IF(ISNUMBER('State and Local Taxes'!J116),'State and Local Taxes'!J116, "")</f>
        <v/>
      </c>
    </row>
    <row r="104" spans="1:3">
      <c r="A104" t="str">
        <f>TEXT(IF('State and Local Taxes'!B117&lt;&gt;0,DATE(YEAR('State and Local Taxes'!B117), MONTH('State and Local Taxes'!B117)-2, 1), ""), "mm/dd/yyyy")</f>
        <v/>
      </c>
      <c r="B104" t="str">
        <f>IF(ISNUMBER('State and Local Taxes'!I117),TEXT('State and Local Taxes'!I117, "0.000"), "")</f>
        <v/>
      </c>
      <c r="C104" t="str">
        <f>IF(ISNUMBER('State and Local Taxes'!J117),'State and Local Taxes'!J117, "")</f>
        <v/>
      </c>
    </row>
    <row r="105" spans="1:3">
      <c r="A105" t="str">
        <f>TEXT(IF('State and Local Taxes'!B118&lt;&gt;0,DATE(YEAR('State and Local Taxes'!B118), MONTH('State and Local Taxes'!B118)-2, 1), ""), "mm/dd/yyyy")</f>
        <v/>
      </c>
      <c r="B105" t="str">
        <f>IF(ISNUMBER('State and Local Taxes'!I118),TEXT('State and Local Taxes'!I118, "0.000"), "")</f>
        <v/>
      </c>
      <c r="C105" t="str">
        <f>IF(ISNUMBER('State and Local Taxes'!J118),'State and Local Taxes'!J118, "")</f>
        <v/>
      </c>
    </row>
    <row r="106" spans="1:3">
      <c r="A106" t="str">
        <f>TEXT(IF('State and Local Taxes'!B119&lt;&gt;0,DATE(YEAR('State and Local Taxes'!B119), MONTH('State and Local Taxes'!B119)-2, 1), ""), "mm/dd/yyyy")</f>
        <v/>
      </c>
      <c r="B106" t="str">
        <f>IF(ISNUMBER('State and Local Taxes'!I119),TEXT('State and Local Taxes'!I119, "0.000"), "")</f>
        <v/>
      </c>
      <c r="C106" t="str">
        <f>IF(ISNUMBER('State and Local Taxes'!J119),'State and Local Taxes'!J119, "")</f>
        <v/>
      </c>
    </row>
    <row r="107" spans="1:3">
      <c r="A107" t="str">
        <f>TEXT(IF('State and Local Taxes'!B120&lt;&gt;0,DATE(YEAR('State and Local Taxes'!B120), MONTH('State and Local Taxes'!B120)-2, 1), ""), "mm/dd/yyyy")</f>
        <v/>
      </c>
      <c r="B107" t="str">
        <f>IF(ISNUMBER('State and Local Taxes'!I120),TEXT('State and Local Taxes'!I120, "0.000"), "")</f>
        <v/>
      </c>
      <c r="C107" t="str">
        <f>IF(ISNUMBER('State and Local Taxes'!J120),'State and Local Taxes'!J120, "")</f>
        <v/>
      </c>
    </row>
    <row r="108" spans="1:3">
      <c r="A108" t="str">
        <f>TEXT(IF('State and Local Taxes'!B121&lt;&gt;0,DATE(YEAR('State and Local Taxes'!B121), MONTH('State and Local Taxes'!B121)-2, 1), ""), "mm/dd/yyyy")</f>
        <v/>
      </c>
      <c r="B108" t="str">
        <f>IF(ISNUMBER('State and Local Taxes'!I121),TEXT('State and Local Taxes'!I121, "0.000"), "")</f>
        <v/>
      </c>
      <c r="C108" t="str">
        <f>IF(ISNUMBER('State and Local Taxes'!J121),'State and Local Taxes'!J121, "")</f>
        <v/>
      </c>
    </row>
    <row r="109" spans="1:3">
      <c r="A109" t="str">
        <f>TEXT(IF('State and Local Taxes'!B122&lt;&gt;0,DATE(YEAR('State and Local Taxes'!B122), MONTH('State and Local Taxes'!B122)-2, 1), ""), "mm/dd/yyyy")</f>
        <v/>
      </c>
      <c r="B109" t="str">
        <f>IF(ISNUMBER('State and Local Taxes'!I122),TEXT('State and Local Taxes'!I122, "0.000"), "")</f>
        <v/>
      </c>
      <c r="C109" t="str">
        <f>IF(ISNUMBER('State and Local Taxes'!J122),'State and Local Taxes'!J122, "")</f>
        <v/>
      </c>
    </row>
    <row r="110" spans="1:3">
      <c r="A110" t="str">
        <f>TEXT(IF('State and Local Taxes'!B123&lt;&gt;0,DATE(YEAR('State and Local Taxes'!B123), MONTH('State and Local Taxes'!B123)-2, 1), ""), "mm/dd/yyyy")</f>
        <v/>
      </c>
      <c r="B110" t="str">
        <f>IF(ISNUMBER('State and Local Taxes'!I123),TEXT('State and Local Taxes'!I123, "0.000"), "")</f>
        <v/>
      </c>
      <c r="C110" t="str">
        <f>IF(ISNUMBER('State and Local Taxes'!J123),'State and Local Taxes'!J123, "")</f>
        <v/>
      </c>
    </row>
    <row r="111" spans="1:3">
      <c r="A111" t="str">
        <f>TEXT(IF('State and Local Taxes'!B124&lt;&gt;0,DATE(YEAR('State and Local Taxes'!B124), MONTH('State and Local Taxes'!B124)-2, 1), ""), "mm/dd/yyyy")</f>
        <v/>
      </c>
      <c r="B111" t="str">
        <f>IF(ISNUMBER('State and Local Taxes'!I124),TEXT('State and Local Taxes'!I124, "0.000"), "")</f>
        <v/>
      </c>
      <c r="C111" t="str">
        <f>IF(ISNUMBER('State and Local Taxes'!J124),'State and Local Taxes'!J124, "")</f>
        <v/>
      </c>
    </row>
    <row r="112" spans="1:3">
      <c r="A112" t="str">
        <f>TEXT(IF('State and Local Taxes'!B125&lt;&gt;0,DATE(YEAR('State and Local Taxes'!B125), MONTH('State and Local Taxes'!B125)-2, 1), ""), "mm/dd/yyyy")</f>
        <v/>
      </c>
      <c r="B112" t="str">
        <f>IF(ISNUMBER('State and Local Taxes'!I125),TEXT('State and Local Taxes'!I125, "0.000"), "")</f>
        <v/>
      </c>
      <c r="C112" t="str">
        <f>IF(ISNUMBER('State and Local Taxes'!J125),'State and Local Taxes'!J125, "")</f>
        <v/>
      </c>
    </row>
    <row r="113" spans="1:3">
      <c r="A113" t="str">
        <f>TEXT(IF('State and Local Taxes'!B126&lt;&gt;0,DATE(YEAR('State and Local Taxes'!B126), MONTH('State and Local Taxes'!B126)-2, 1), ""), "mm/dd/yyyy")</f>
        <v/>
      </c>
      <c r="B113" t="str">
        <f>IF(ISNUMBER('State and Local Taxes'!I126),TEXT('State and Local Taxes'!I126, "0.000"), "")</f>
        <v/>
      </c>
      <c r="C113" t="str">
        <f>IF(ISNUMBER('State and Local Taxes'!J126),'State and Local Taxes'!J126, "")</f>
        <v/>
      </c>
    </row>
    <row r="114" spans="1:3">
      <c r="A114" t="str">
        <f>TEXT(IF('State and Local Taxes'!B127&lt;&gt;0,DATE(YEAR('State and Local Taxes'!B127), MONTH('State and Local Taxes'!B127)-2, 1), ""), "mm/dd/yyyy")</f>
        <v/>
      </c>
      <c r="B114" t="str">
        <f>IF(ISNUMBER('State and Local Taxes'!I127),TEXT('State and Local Taxes'!I127, "0.000"), "")</f>
        <v/>
      </c>
      <c r="C114" t="str">
        <f>IF(ISNUMBER('State and Local Taxes'!J127),'State and Local Taxes'!J127, "")</f>
        <v/>
      </c>
    </row>
    <row r="115" spans="1:3">
      <c r="A115" t="str">
        <f>TEXT(IF('State and Local Taxes'!B128&lt;&gt;0,DATE(YEAR('State and Local Taxes'!B128), MONTH('State and Local Taxes'!B128)-2, 1), ""), "mm/dd/yyyy")</f>
        <v/>
      </c>
      <c r="B115" t="str">
        <f>IF(ISNUMBER('State and Local Taxes'!I128),TEXT('State and Local Taxes'!I128, "0.000"), "")</f>
        <v/>
      </c>
      <c r="C115" t="str">
        <f>IF(ISNUMBER('State and Local Taxes'!J128),'State and Local Taxes'!J128, "")</f>
        <v/>
      </c>
    </row>
    <row r="116" spans="1:3">
      <c r="A116" t="str">
        <f>TEXT(IF('State and Local Taxes'!B129&lt;&gt;0,DATE(YEAR('State and Local Taxes'!B129), MONTH('State and Local Taxes'!B129)-2, 1), ""), "mm/dd/yyyy")</f>
        <v/>
      </c>
      <c r="B116" t="str">
        <f>IF(ISNUMBER('State and Local Taxes'!I129),TEXT('State and Local Taxes'!I129, "0.000"), "")</f>
        <v/>
      </c>
      <c r="C116" t="str">
        <f>IF(ISNUMBER('State and Local Taxes'!J129),'State and Local Taxes'!J129, "")</f>
        <v/>
      </c>
    </row>
    <row r="117" spans="1:3">
      <c r="A117" t="str">
        <f>TEXT(IF('State and Local Taxes'!B130&lt;&gt;0,DATE(YEAR('State and Local Taxes'!B130), MONTH('State and Local Taxes'!B130)-2, 1), ""), "mm/dd/yyyy")</f>
        <v/>
      </c>
      <c r="B117" t="str">
        <f>IF(ISNUMBER('State and Local Taxes'!I130),TEXT('State and Local Taxes'!I130, "0.000"), "")</f>
        <v/>
      </c>
      <c r="C117" t="str">
        <f>IF(ISNUMBER('State and Local Taxes'!J130),'State and Local Taxes'!J130, "")</f>
        <v/>
      </c>
    </row>
    <row r="118" spans="1:3">
      <c r="A118" t="str">
        <f>TEXT(IF('State and Local Taxes'!B131&lt;&gt;0,DATE(YEAR('State and Local Taxes'!B131), MONTH('State and Local Taxes'!B131)-2, 1), ""), "mm/dd/yyyy")</f>
        <v/>
      </c>
      <c r="B118" t="str">
        <f>IF(ISNUMBER('State and Local Taxes'!I131),TEXT('State and Local Taxes'!I131, "0.000"), "")</f>
        <v/>
      </c>
      <c r="C118" t="str">
        <f>IF(ISNUMBER('State and Local Taxes'!J131),'State and Local Taxes'!J131, "")</f>
        <v/>
      </c>
    </row>
    <row r="119" spans="1:3">
      <c r="A119" t="str">
        <f>TEXT(IF('State and Local Taxes'!B132&lt;&gt;0,DATE(YEAR('State and Local Taxes'!B132), MONTH('State and Local Taxes'!B132)-2, 1), ""), "mm/dd/yyyy")</f>
        <v/>
      </c>
      <c r="B119" t="str">
        <f>IF(ISNUMBER('State and Local Taxes'!I132),TEXT('State and Local Taxes'!I132, "0.000"), "")</f>
        <v/>
      </c>
      <c r="C119" t="str">
        <f>IF(ISNUMBER('State and Local Taxes'!J132),'State and Local Taxes'!J132, "")</f>
        <v/>
      </c>
    </row>
    <row r="120" spans="1:3">
      <c r="A120" t="str">
        <f>TEXT(IF('State and Local Taxes'!B133&lt;&gt;0,DATE(YEAR('State and Local Taxes'!B133), MONTH('State and Local Taxes'!B133)-2, 1), ""), "mm/dd/yyyy")</f>
        <v/>
      </c>
      <c r="B120" t="str">
        <f>IF(ISNUMBER('State and Local Taxes'!I133),TEXT('State and Local Taxes'!I133, "0.000"), "")</f>
        <v/>
      </c>
      <c r="C120" t="str">
        <f>IF(ISNUMBER('State and Local Taxes'!J133),'State and Local Taxes'!J133, "")</f>
        <v/>
      </c>
    </row>
    <row r="121" spans="1:3">
      <c r="A121" t="str">
        <f>TEXT(IF('State and Local Taxes'!B134&lt;&gt;0,DATE(YEAR('State and Local Taxes'!B134), MONTH('State and Local Taxes'!B134)-2, 1), ""), "mm/dd/yyyy")</f>
        <v/>
      </c>
      <c r="B121" t="str">
        <f>IF(ISNUMBER('State and Local Taxes'!I134),TEXT('State and Local Taxes'!I134, "0.000"), "")</f>
        <v/>
      </c>
      <c r="C121" t="str">
        <f>IF(ISNUMBER('State and Local Taxes'!J134),'State and Local Taxes'!J134, "")</f>
        <v/>
      </c>
    </row>
    <row r="122" spans="1:3">
      <c r="A122" t="str">
        <f>TEXT(IF('State and Local Taxes'!B135&lt;&gt;0,DATE(YEAR('State and Local Taxes'!B135), MONTH('State and Local Taxes'!B135)-2, 1), ""), "mm/dd/yyyy")</f>
        <v/>
      </c>
      <c r="B122" t="str">
        <f>IF(ISNUMBER('State and Local Taxes'!I135),TEXT('State and Local Taxes'!I135, "0.000"), "")</f>
        <v/>
      </c>
      <c r="C122" t="str">
        <f>IF(ISNUMBER('State and Local Taxes'!J135),'State and Local Taxes'!J135, "")</f>
        <v/>
      </c>
    </row>
    <row r="123" spans="1:3">
      <c r="A123" t="str">
        <f>TEXT(IF('State and Local Taxes'!B136&lt;&gt;0,DATE(YEAR('State and Local Taxes'!B136), MONTH('State and Local Taxes'!B136)-2, 1), ""), "mm/dd/yyyy")</f>
        <v/>
      </c>
      <c r="B123" t="str">
        <f>IF(ISNUMBER('State and Local Taxes'!I136),TEXT('State and Local Taxes'!I136, "0.000"), "")</f>
        <v/>
      </c>
      <c r="C123" t="str">
        <f>IF(ISNUMBER('State and Local Taxes'!J136),'State and Local Taxes'!J136, "")</f>
        <v/>
      </c>
    </row>
    <row r="124" spans="1:3">
      <c r="A124" t="str">
        <f>TEXT(IF('State and Local Taxes'!B137&lt;&gt;0,DATE(YEAR('State and Local Taxes'!B137), MONTH('State and Local Taxes'!B137)-2, 1), ""), "mm/dd/yyyy")</f>
        <v/>
      </c>
      <c r="B124" t="str">
        <f>IF(ISNUMBER('State and Local Taxes'!I137),TEXT('State and Local Taxes'!I137, "0.000"), "")</f>
        <v/>
      </c>
      <c r="C124" t="str">
        <f>IF(ISNUMBER('State and Local Taxes'!J137),'State and Local Taxes'!J137, "")</f>
        <v/>
      </c>
    </row>
    <row r="125" spans="1:3">
      <c r="A125" t="str">
        <f>TEXT(IF('State and Local Taxes'!B138&lt;&gt;0,DATE(YEAR('State and Local Taxes'!B138), MONTH('State and Local Taxes'!B138)-2, 1), ""), "mm/dd/yyyy")</f>
        <v/>
      </c>
      <c r="B125" t="str">
        <f>IF(ISNUMBER('State and Local Taxes'!I138),TEXT('State and Local Taxes'!I138, "0.000"), "")</f>
        <v/>
      </c>
      <c r="C125" t="str">
        <f>IF(ISNUMBER('State and Local Taxes'!J138),'State and Local Taxes'!J138, "")</f>
        <v/>
      </c>
    </row>
    <row r="126" spans="1:3">
      <c r="A126" t="str">
        <f>TEXT(IF('State and Local Taxes'!B139&lt;&gt;0,DATE(YEAR('State and Local Taxes'!B139), MONTH('State and Local Taxes'!B139)-2, 1), ""), "mm/dd/yyyy")</f>
        <v/>
      </c>
      <c r="B126" t="str">
        <f>IF(ISNUMBER('State and Local Taxes'!I139),TEXT('State and Local Taxes'!I139, "0.000"), "")</f>
        <v/>
      </c>
      <c r="C126" t="str">
        <f>IF(ISNUMBER('State and Local Taxes'!J139),'State and Local Taxes'!J139, "")</f>
        <v/>
      </c>
    </row>
    <row r="127" spans="1:3">
      <c r="A127" t="str">
        <f>TEXT(IF('State and Local Taxes'!B140&lt;&gt;0,DATE(YEAR('State and Local Taxes'!B140), MONTH('State and Local Taxes'!B140)-2, 1), ""), "mm/dd/yyyy")</f>
        <v/>
      </c>
      <c r="B127" t="str">
        <f>IF(ISNUMBER('State and Local Taxes'!I140),TEXT('State and Local Taxes'!I140, "0.000"), "")</f>
        <v/>
      </c>
      <c r="C127" t="str">
        <f>IF(ISNUMBER('State and Local Taxes'!J140),'State and Local Taxes'!J140, "")</f>
        <v/>
      </c>
    </row>
    <row r="128" spans="1:3">
      <c r="A128" t="str">
        <f>TEXT(IF('State and Local Taxes'!B141&lt;&gt;0,DATE(YEAR('State and Local Taxes'!B141), MONTH('State and Local Taxes'!B141)-2, 1), ""), "mm/dd/yyyy")</f>
        <v/>
      </c>
      <c r="B128" t="str">
        <f>IF(ISNUMBER('State and Local Taxes'!I141),TEXT('State and Local Taxes'!I141, "0.000"), "")</f>
        <v/>
      </c>
      <c r="C128" t="str">
        <f>IF(ISNUMBER('State and Local Taxes'!J141),'State and Local Taxes'!J141, "")</f>
        <v/>
      </c>
    </row>
    <row r="129" spans="1:3">
      <c r="A129" t="str">
        <f>TEXT(IF('State and Local Taxes'!B142&lt;&gt;0,DATE(YEAR('State and Local Taxes'!B142), MONTH('State and Local Taxes'!B142)-2, 1), ""), "mm/dd/yyyy")</f>
        <v/>
      </c>
      <c r="B129" t="str">
        <f>IF(ISNUMBER('State and Local Taxes'!I142),TEXT('State and Local Taxes'!I142, "0.000"), "")</f>
        <v/>
      </c>
      <c r="C129" t="str">
        <f>IF(ISNUMBER('State and Local Taxes'!J142),'State and Local Taxes'!J142, "")</f>
        <v/>
      </c>
    </row>
    <row r="130" spans="1:3">
      <c r="A130" t="str">
        <f>TEXT(IF('State and Local Taxes'!B143&lt;&gt;0,DATE(YEAR('State and Local Taxes'!B143), MONTH('State and Local Taxes'!B143)-2, 1), ""), "mm/dd/yyyy")</f>
        <v/>
      </c>
      <c r="B130" t="str">
        <f>IF(ISNUMBER('State and Local Taxes'!I143),TEXT('State and Local Taxes'!I143, "0.000"), "")</f>
        <v/>
      </c>
      <c r="C130" t="str">
        <f>IF(ISNUMBER('State and Local Taxes'!J143),'State and Local Taxes'!J143, "")</f>
        <v/>
      </c>
    </row>
    <row r="131" spans="1:3">
      <c r="A131" t="str">
        <f>TEXT(IF('State and Local Taxes'!B144&lt;&gt;0,DATE(YEAR('State and Local Taxes'!B144), MONTH('State and Local Taxes'!B144)-2, 1), ""), "mm/dd/yyyy")</f>
        <v/>
      </c>
      <c r="B131" t="str">
        <f>IF(ISNUMBER('State and Local Taxes'!I144),TEXT('State and Local Taxes'!I144, "0.000"), "")</f>
        <v/>
      </c>
      <c r="C131" t="str">
        <f>IF(ISNUMBER('State and Local Taxes'!J144),'State and Local Taxes'!J144, "")</f>
        <v/>
      </c>
    </row>
    <row r="132" spans="1:3">
      <c r="A132" t="str">
        <f>TEXT(IF('State and Local Taxes'!B145&lt;&gt;0,DATE(YEAR('State and Local Taxes'!B145), MONTH('State and Local Taxes'!B145)-2, 1), ""), "mm/dd/yyyy")</f>
        <v/>
      </c>
      <c r="B132" t="str">
        <f>IF(ISNUMBER('State and Local Taxes'!I145),TEXT('State and Local Taxes'!I145, "0.000"), "")</f>
        <v/>
      </c>
      <c r="C132" t="str">
        <f>IF(ISNUMBER('State and Local Taxes'!J145),'State and Local Taxes'!J145, "")</f>
        <v/>
      </c>
    </row>
    <row r="133" spans="1:3">
      <c r="A133" t="str">
        <f>TEXT(IF('State and Local Taxes'!B146&lt;&gt;0,DATE(YEAR('State and Local Taxes'!B146), MONTH('State and Local Taxes'!B146)-2, 1), ""), "mm/dd/yyyy")</f>
        <v/>
      </c>
      <c r="B133" t="str">
        <f>IF(ISNUMBER('State and Local Taxes'!I146),TEXT('State and Local Taxes'!I146, "0.000"), "")</f>
        <v/>
      </c>
      <c r="C133" t="str">
        <f>IF(ISNUMBER('State and Local Taxes'!J146),'State and Local Taxes'!J146, "")</f>
        <v/>
      </c>
    </row>
    <row r="134" spans="1:3">
      <c r="A134" t="str">
        <f>TEXT(IF('State and Local Taxes'!B147&lt;&gt;0,DATE(YEAR('State and Local Taxes'!B147), MONTH('State and Local Taxes'!B147)-2, 1), ""), "mm/dd/yyyy")</f>
        <v/>
      </c>
      <c r="B134" t="str">
        <f>IF(ISNUMBER('State and Local Taxes'!I147),TEXT('State and Local Taxes'!I147, "0.000"), "")</f>
        <v/>
      </c>
      <c r="C134" t="str">
        <f>IF(ISNUMBER('State and Local Taxes'!J147),'State and Local Taxes'!J147, "")</f>
        <v/>
      </c>
    </row>
    <row r="135" spans="1:3">
      <c r="A135" t="str">
        <f>TEXT(IF('State and Local Taxes'!B148&lt;&gt;0,DATE(YEAR('State and Local Taxes'!B148), MONTH('State and Local Taxes'!B148)-2, 1), ""), "mm/dd/yyyy")</f>
        <v/>
      </c>
      <c r="B135" t="str">
        <f>IF(ISNUMBER('State and Local Taxes'!I148),TEXT('State and Local Taxes'!I148, "0.000"), "")</f>
        <v/>
      </c>
      <c r="C135" t="str">
        <f>IF(ISNUMBER('State and Local Taxes'!J148),'State and Local Taxes'!J148, "")</f>
        <v/>
      </c>
    </row>
    <row r="136" spans="1:3">
      <c r="A136" t="str">
        <f>TEXT(IF('State and Local Taxes'!B149&lt;&gt;0,DATE(YEAR('State and Local Taxes'!B149), MONTH('State and Local Taxes'!B149)-2, 1), ""), "mm/dd/yyyy")</f>
        <v/>
      </c>
      <c r="B136" t="str">
        <f>IF(ISNUMBER('State and Local Taxes'!I149),TEXT('State and Local Taxes'!I149, "0.000"), "")</f>
        <v/>
      </c>
      <c r="C136" t="str">
        <f>IF(ISNUMBER('State and Local Taxes'!J149),'State and Local Taxes'!J149, "")</f>
        <v/>
      </c>
    </row>
    <row r="137" spans="1:3">
      <c r="A137" t="str">
        <f>TEXT(IF('State and Local Taxes'!B150&lt;&gt;0,DATE(YEAR('State and Local Taxes'!B150), MONTH('State and Local Taxes'!B150)-2, 1), ""), "mm/dd/yyyy")</f>
        <v/>
      </c>
      <c r="B137" t="str">
        <f>IF(ISNUMBER('State and Local Taxes'!I150),TEXT('State and Local Taxes'!I150, "0.000"), "")</f>
        <v/>
      </c>
      <c r="C137" t="str">
        <f>IF(ISNUMBER('State and Local Taxes'!J150),'State and Local Taxes'!J150, "")</f>
        <v/>
      </c>
    </row>
    <row r="138" spans="1:3">
      <c r="A138" t="str">
        <f>TEXT(IF('State and Local Taxes'!B151&lt;&gt;0,DATE(YEAR('State and Local Taxes'!B151), MONTH('State and Local Taxes'!B151)-2, 1), ""), "mm/dd/yyyy")</f>
        <v/>
      </c>
      <c r="B138" t="str">
        <f>IF(ISNUMBER('State and Local Taxes'!I151),TEXT('State and Local Taxes'!I151, "0.000"), "")</f>
        <v/>
      </c>
      <c r="C138" t="str">
        <f>IF(ISNUMBER('State and Local Taxes'!J151),'State and Local Taxes'!J151, "")</f>
        <v/>
      </c>
    </row>
    <row r="139" spans="1:3">
      <c r="A139" t="str">
        <f>TEXT(IF('State and Local Taxes'!B152&lt;&gt;0,DATE(YEAR('State and Local Taxes'!B152), MONTH('State and Local Taxes'!B152)-2, 1), ""), "mm/dd/yyyy")</f>
        <v/>
      </c>
      <c r="B139" t="str">
        <f>IF(ISNUMBER('State and Local Taxes'!I152),TEXT('State and Local Taxes'!I152, "0.000"), "")</f>
        <v/>
      </c>
      <c r="C139" t="str">
        <f>IF(ISNUMBER('State and Local Taxes'!J152),'State and Local Taxes'!J152, "")</f>
        <v/>
      </c>
    </row>
    <row r="140" spans="1:3">
      <c r="A140" t="str">
        <f>TEXT(IF('State and Local Taxes'!B153&lt;&gt;0,DATE(YEAR('State and Local Taxes'!B153), MONTH('State and Local Taxes'!B153)-2, 1), ""), "mm/dd/yyyy")</f>
        <v/>
      </c>
      <c r="B140" t="str">
        <f>IF(ISNUMBER('State and Local Taxes'!I153),TEXT('State and Local Taxes'!I153, "0.000"), "")</f>
        <v/>
      </c>
      <c r="C140" t="str">
        <f>IF(ISNUMBER('State and Local Taxes'!J153),'State and Local Taxes'!J153, "")</f>
        <v/>
      </c>
    </row>
    <row r="141" spans="1:3">
      <c r="A141" t="str">
        <f>TEXT(IF('State and Local Taxes'!B154&lt;&gt;0,DATE(YEAR('State and Local Taxes'!B154), MONTH('State and Local Taxes'!B154)-2, 1), ""), "mm/dd/yyyy")</f>
        <v/>
      </c>
      <c r="B141" t="str">
        <f>IF(ISNUMBER('State and Local Taxes'!I154),TEXT('State and Local Taxes'!I154, "0.000"), "")</f>
        <v/>
      </c>
      <c r="C141" t="str">
        <f>IF(ISNUMBER('State and Local Taxes'!J154),'State and Local Taxes'!J154, "")</f>
        <v/>
      </c>
    </row>
    <row r="142" spans="1:3">
      <c r="A142" t="str">
        <f>TEXT(IF('State and Local Taxes'!B155&lt;&gt;0,DATE(YEAR('State and Local Taxes'!B155), MONTH('State and Local Taxes'!B155)-2, 1), ""), "mm/dd/yyyy")</f>
        <v/>
      </c>
      <c r="B142" t="str">
        <f>IF(ISNUMBER('State and Local Taxes'!I155),TEXT('State and Local Taxes'!I155, "0.000"), "")</f>
        <v/>
      </c>
      <c r="C142" t="str">
        <f>IF(ISNUMBER('State and Local Taxes'!J155),'State and Local Taxes'!J155, "")</f>
        <v/>
      </c>
    </row>
    <row r="143" spans="1:3">
      <c r="A143" t="str">
        <f>TEXT(IF('State and Local Taxes'!B156&lt;&gt;0,DATE(YEAR('State and Local Taxes'!B156), MONTH('State and Local Taxes'!B156)-2, 1), ""), "mm/dd/yyyy")</f>
        <v/>
      </c>
      <c r="B143" t="str">
        <f>IF(ISNUMBER('State and Local Taxes'!I156),TEXT('State and Local Taxes'!I156, "0.000"), "")</f>
        <v/>
      </c>
      <c r="C143" t="str">
        <f>IF(ISNUMBER('State and Local Taxes'!J156),'State and Local Taxes'!J156, "")</f>
        <v/>
      </c>
    </row>
    <row r="144" spans="1:3">
      <c r="A144" t="str">
        <f>TEXT(IF('State and Local Taxes'!B157&lt;&gt;0,DATE(YEAR('State and Local Taxes'!B157), MONTH('State and Local Taxes'!B157)-2, 1), ""), "mm/dd/yyyy")</f>
        <v/>
      </c>
      <c r="B144" t="str">
        <f>IF(ISNUMBER('State and Local Taxes'!I157),TEXT('State and Local Taxes'!I157, "0.000"), "")</f>
        <v/>
      </c>
      <c r="C144" t="str">
        <f>IF(ISNUMBER('State and Local Taxes'!J157),'State and Local Taxes'!J157, "")</f>
        <v/>
      </c>
    </row>
    <row r="145" spans="1:3">
      <c r="A145" t="str">
        <f>TEXT(IF('State and Local Taxes'!B158&lt;&gt;0,DATE(YEAR('State and Local Taxes'!B158), MONTH('State and Local Taxes'!B158)-2, 1), ""), "mm/dd/yyyy")</f>
        <v/>
      </c>
      <c r="B145" t="str">
        <f>IF(ISNUMBER('State and Local Taxes'!I158),TEXT('State and Local Taxes'!I158, "0.000"), "")</f>
        <v/>
      </c>
      <c r="C145" t="str">
        <f>IF(ISNUMBER('State and Local Taxes'!J158),'State and Local Taxes'!J158, "")</f>
        <v/>
      </c>
    </row>
    <row r="146" spans="1:3">
      <c r="A146" t="str">
        <f>TEXT(IF('State and Local Taxes'!B159&lt;&gt;0,DATE(YEAR('State and Local Taxes'!B159), MONTH('State and Local Taxes'!B159)-2, 1), ""), "mm/dd/yyyy")</f>
        <v/>
      </c>
      <c r="B146" t="str">
        <f>IF(ISNUMBER('State and Local Taxes'!I159),TEXT('State and Local Taxes'!I159, "0.000"), "")</f>
        <v/>
      </c>
      <c r="C146" t="str">
        <f>IF(ISNUMBER('State and Local Taxes'!J159),'State and Local Taxes'!J159, "")</f>
        <v/>
      </c>
    </row>
    <row r="147" spans="1:3">
      <c r="A147" t="str">
        <f>TEXT(IF('State and Local Taxes'!B160&lt;&gt;0,DATE(YEAR('State and Local Taxes'!B160), MONTH('State and Local Taxes'!B160)-2, 1), ""), "mm/dd/yyyy")</f>
        <v/>
      </c>
      <c r="B147" t="str">
        <f>IF(ISNUMBER('State and Local Taxes'!I160),TEXT('State and Local Taxes'!I160, "0.000"), "")</f>
        <v/>
      </c>
      <c r="C147" t="str">
        <f>IF(ISNUMBER('State and Local Taxes'!J160),'State and Local Taxes'!J160, "")</f>
        <v/>
      </c>
    </row>
    <row r="148" spans="1:3">
      <c r="A148" t="str">
        <f>TEXT(IF('State and Local Taxes'!B161&lt;&gt;0,DATE(YEAR('State and Local Taxes'!B161), MONTH('State and Local Taxes'!B161)-2, 1), ""), "mm/dd/yyyy")</f>
        <v/>
      </c>
      <c r="B148" t="str">
        <f>IF(ISNUMBER('State and Local Taxes'!I161),TEXT('State and Local Taxes'!I161, "0.000"), "")</f>
        <v/>
      </c>
      <c r="C148" t="str">
        <f>IF(ISNUMBER('State and Local Taxes'!J161),'State and Local Taxes'!J161, "")</f>
        <v/>
      </c>
    </row>
    <row r="149" spans="1:3">
      <c r="A149" t="str">
        <f>TEXT(IF('State and Local Taxes'!B162&lt;&gt;0,DATE(YEAR('State and Local Taxes'!B162), MONTH('State and Local Taxes'!B162)-2, 1), ""), "mm/dd/yyyy")</f>
        <v/>
      </c>
      <c r="B149" t="str">
        <f>IF(ISNUMBER('State and Local Taxes'!I162),TEXT('State and Local Taxes'!I162, "0.000"), "")</f>
        <v/>
      </c>
      <c r="C149" t="str">
        <f>IF(ISNUMBER('State and Local Taxes'!J162),'State and Local Taxes'!J162, "")</f>
        <v/>
      </c>
    </row>
    <row r="150" spans="1:3">
      <c r="A150" t="str">
        <f>TEXT(IF('State and Local Taxes'!B163&lt;&gt;0,DATE(YEAR('State and Local Taxes'!B163), MONTH('State and Local Taxes'!B163)-2, 1), ""), "mm/dd/yyyy")</f>
        <v/>
      </c>
      <c r="B150" t="str">
        <f>IF(ISNUMBER('State and Local Taxes'!I163),TEXT('State and Local Taxes'!I163, "0.000"), "")</f>
        <v/>
      </c>
      <c r="C150" t="str">
        <f>IF(ISNUMBER('State and Local Taxes'!J163),'State and Local Taxes'!J163, "")</f>
        <v/>
      </c>
    </row>
    <row r="151" spans="1:3">
      <c r="A151" t="str">
        <f>TEXT(IF('State and Local Taxes'!B164&lt;&gt;0,DATE(YEAR('State and Local Taxes'!B164), MONTH('State and Local Taxes'!B164)-2, 1), ""), "mm/dd/yyyy")</f>
        <v/>
      </c>
      <c r="B151" t="str">
        <f>IF(ISNUMBER('State and Local Taxes'!I164),TEXT('State and Local Taxes'!I164, "0.000"), "")</f>
        <v/>
      </c>
      <c r="C151" t="str">
        <f>IF(ISNUMBER('State and Local Taxes'!J164),'State and Local Taxes'!J164, "")</f>
        <v/>
      </c>
    </row>
    <row r="152" spans="1:3">
      <c r="A152" t="str">
        <f>TEXT(IF('State and Local Taxes'!B165&lt;&gt;0,DATE(YEAR('State and Local Taxes'!B165), MONTH('State and Local Taxes'!B165)-2, 1), ""), "mm/dd/yyyy")</f>
        <v/>
      </c>
      <c r="B152" t="str">
        <f>IF(ISNUMBER('State and Local Taxes'!I165),TEXT('State and Local Taxes'!I165, "0.000"), "")</f>
        <v/>
      </c>
      <c r="C152" t="str">
        <f>IF(ISNUMBER('State and Local Taxes'!J165),'State and Local Taxes'!J165, "")</f>
        <v/>
      </c>
    </row>
    <row r="153" spans="1:3">
      <c r="A153" t="str">
        <f>TEXT(IF('State and Local Taxes'!B166&lt;&gt;0,DATE(YEAR('State and Local Taxes'!B166), MONTH('State and Local Taxes'!B166)-2, 1), ""), "mm/dd/yyyy")</f>
        <v/>
      </c>
      <c r="B153" t="str">
        <f>IF(ISNUMBER('State and Local Taxes'!I166),TEXT('State and Local Taxes'!I166, "0.000"), "")</f>
        <v/>
      </c>
      <c r="C153" t="str">
        <f>IF(ISNUMBER('State and Local Taxes'!J166),'State and Local Taxes'!J166, "")</f>
        <v/>
      </c>
    </row>
    <row r="154" spans="1:3">
      <c r="A154" t="str">
        <f>TEXT(IF('State and Local Taxes'!B167&lt;&gt;0,DATE(YEAR('State and Local Taxes'!B167), MONTH('State and Local Taxes'!B167)-2, 1), ""), "mm/dd/yyyy")</f>
        <v/>
      </c>
      <c r="B154" t="str">
        <f>IF(ISNUMBER('State and Local Taxes'!I167),TEXT('State and Local Taxes'!I167, "0.000"), "")</f>
        <v/>
      </c>
      <c r="C154" t="str">
        <f>IF(ISNUMBER('State and Local Taxes'!J167),'State and Local Taxes'!J167, "")</f>
        <v/>
      </c>
    </row>
    <row r="155" spans="1:3">
      <c r="A155" t="str">
        <f>TEXT(IF('State and Local Taxes'!B168&lt;&gt;0,DATE(YEAR('State and Local Taxes'!B168), MONTH('State and Local Taxes'!B168)-2, 1), ""), "mm/dd/yyyy")</f>
        <v/>
      </c>
      <c r="B155" t="str">
        <f>IF(ISNUMBER('State and Local Taxes'!I168),TEXT('State and Local Taxes'!I168, "0.000"), "")</f>
        <v/>
      </c>
      <c r="C155" t="str">
        <f>IF(ISNUMBER('State and Local Taxes'!J168),'State and Local Taxes'!J168, "")</f>
        <v/>
      </c>
    </row>
    <row r="156" spans="1:3">
      <c r="A156" t="str">
        <f>TEXT(IF('State and Local Taxes'!B169&lt;&gt;0,DATE(YEAR('State and Local Taxes'!B169), MONTH('State and Local Taxes'!B169)-2, 1), ""), "mm/dd/yyyy")</f>
        <v/>
      </c>
      <c r="B156" t="str">
        <f>IF(ISNUMBER('State and Local Taxes'!I169),TEXT('State and Local Taxes'!I169, "0.000"), "")</f>
        <v/>
      </c>
      <c r="C156" t="str">
        <f>IF(ISNUMBER('State and Local Taxes'!J169),'State and Local Taxes'!J169, "")</f>
        <v/>
      </c>
    </row>
    <row r="157" spans="1:3">
      <c r="A157" t="str">
        <f>TEXT(IF('State and Local Taxes'!B170&lt;&gt;0,DATE(YEAR('State and Local Taxes'!B170), MONTH('State and Local Taxes'!B170)-2, 1), ""), "mm/dd/yyyy")</f>
        <v/>
      </c>
      <c r="B157" t="str">
        <f>IF(ISNUMBER('State and Local Taxes'!I170),TEXT('State and Local Taxes'!I170, "0.000"), "")</f>
        <v/>
      </c>
      <c r="C157" t="str">
        <f>IF(ISNUMBER('State and Local Taxes'!J170),'State and Local Taxes'!J170, "")</f>
        <v/>
      </c>
    </row>
    <row r="158" spans="1:3">
      <c r="A158" t="str">
        <f>TEXT(IF('State and Local Taxes'!B171&lt;&gt;0,DATE(YEAR('State and Local Taxes'!B171), MONTH('State and Local Taxes'!B171)-2, 1), ""), "mm/dd/yyyy")</f>
        <v/>
      </c>
      <c r="B158" t="str">
        <f>IF(ISNUMBER('State and Local Taxes'!I171),TEXT('State and Local Taxes'!I171, "0.000"), "")</f>
        <v/>
      </c>
      <c r="C158" t="str">
        <f>IF(ISNUMBER('State and Local Taxes'!J171),'State and Local Taxes'!J171, "")</f>
        <v/>
      </c>
    </row>
    <row r="159" spans="1:3">
      <c r="A159" t="str">
        <f>TEXT(IF('State and Local Taxes'!B172&lt;&gt;0,DATE(YEAR('State and Local Taxes'!B172), MONTH('State and Local Taxes'!B172)-2, 1), ""), "mm/dd/yyyy")</f>
        <v/>
      </c>
      <c r="B159" t="str">
        <f>IF(ISNUMBER('State and Local Taxes'!I172),TEXT('State and Local Taxes'!I172, "0.000"), "")</f>
        <v/>
      </c>
      <c r="C159" t="str">
        <f>IF(ISNUMBER('State and Local Taxes'!J172),'State and Local Taxes'!J172, "")</f>
        <v/>
      </c>
    </row>
    <row r="160" spans="1:3">
      <c r="A160" t="str">
        <f>TEXT(IF('State and Local Taxes'!B173&lt;&gt;0,DATE(YEAR('State and Local Taxes'!B173), MONTH('State and Local Taxes'!B173)-2, 1), ""), "mm/dd/yyyy")</f>
        <v/>
      </c>
      <c r="B160" t="str">
        <f>IF(ISNUMBER('State and Local Taxes'!I173),TEXT('State and Local Taxes'!I173, "0.000"), "")</f>
        <v/>
      </c>
      <c r="C160" t="str">
        <f>IF(ISNUMBER('State and Local Taxes'!J173),'State and Local Taxes'!J173, "")</f>
        <v/>
      </c>
    </row>
    <row r="161" spans="1:3">
      <c r="A161" t="str">
        <f>TEXT(IF('State and Local Taxes'!B174&lt;&gt;0,DATE(YEAR('State and Local Taxes'!B174), MONTH('State and Local Taxes'!B174)-2, 1), ""), "mm/dd/yyyy")</f>
        <v/>
      </c>
      <c r="B161" t="str">
        <f>IF(ISNUMBER('State and Local Taxes'!I174),TEXT('State and Local Taxes'!I174, "0.000"), "")</f>
        <v/>
      </c>
      <c r="C161" t="str">
        <f>IF(ISNUMBER('State and Local Taxes'!J174),'State and Local Taxes'!J174, "")</f>
        <v/>
      </c>
    </row>
    <row r="162" spans="1:3">
      <c r="A162" t="str">
        <f>TEXT(IF('State and Local Taxes'!B175&lt;&gt;0,DATE(YEAR('State and Local Taxes'!B175), MONTH('State and Local Taxes'!B175)-2, 1), ""), "mm/dd/yyyy")</f>
        <v/>
      </c>
      <c r="B162" t="str">
        <f>IF(ISNUMBER('State and Local Taxes'!I175),TEXT('State and Local Taxes'!I175, "0.000"), "")</f>
        <v/>
      </c>
      <c r="C162" t="str">
        <f>IF(ISNUMBER('State and Local Taxes'!J175),'State and Local Taxes'!J175, "")</f>
        <v/>
      </c>
    </row>
    <row r="163" spans="1:3">
      <c r="A163" t="str">
        <f>TEXT(IF('State and Local Taxes'!B176&lt;&gt;0,DATE(YEAR('State and Local Taxes'!B176), MONTH('State and Local Taxes'!B176)-2, 1), ""), "mm/dd/yyyy")</f>
        <v/>
      </c>
      <c r="B163" t="str">
        <f>IF(ISNUMBER('State and Local Taxes'!I176),TEXT('State and Local Taxes'!I176, "0.000"), "")</f>
        <v/>
      </c>
      <c r="C163" t="str">
        <f>IF(ISNUMBER('State and Local Taxes'!J176),'State and Local Taxes'!J176, "")</f>
        <v/>
      </c>
    </row>
    <row r="164" spans="1:3">
      <c r="A164" t="str">
        <f>TEXT(IF('State and Local Taxes'!B177&lt;&gt;0,DATE(YEAR('State and Local Taxes'!B177), MONTH('State and Local Taxes'!B177)-2, 1), ""), "mm/dd/yyyy")</f>
        <v/>
      </c>
      <c r="B164" t="str">
        <f>IF(ISNUMBER('State and Local Taxes'!I177),TEXT('State and Local Taxes'!I177, "0.000"), "")</f>
        <v/>
      </c>
      <c r="C164" t="str">
        <f>IF(ISNUMBER('State and Local Taxes'!J177),'State and Local Taxes'!J177, "")</f>
        <v/>
      </c>
    </row>
    <row r="165" spans="1:3">
      <c r="A165" t="str">
        <f>TEXT(IF('State and Local Taxes'!B178&lt;&gt;0,DATE(YEAR('State and Local Taxes'!B178), MONTH('State and Local Taxes'!B178)-2, 1), ""), "mm/dd/yyyy")</f>
        <v/>
      </c>
      <c r="B165" t="str">
        <f>IF(ISNUMBER('State and Local Taxes'!I178),TEXT('State and Local Taxes'!I178, "0.000"), "")</f>
        <v/>
      </c>
      <c r="C165" t="str">
        <f>IF(ISNUMBER('State and Local Taxes'!J178),'State and Local Taxes'!J178, "")</f>
        <v/>
      </c>
    </row>
    <row r="166" spans="1:3">
      <c r="A166" t="str">
        <f>TEXT(IF('State and Local Taxes'!B179&lt;&gt;0,DATE(YEAR('State and Local Taxes'!B179), MONTH('State and Local Taxes'!B179)-2, 1), ""), "mm/dd/yyyy")</f>
        <v/>
      </c>
      <c r="B166" t="str">
        <f>IF(ISNUMBER('State and Local Taxes'!I179),TEXT('State and Local Taxes'!I179, "0.000"), "")</f>
        <v/>
      </c>
      <c r="C166" t="str">
        <f>IF(ISNUMBER('State and Local Taxes'!J179),'State and Local Taxes'!J179, "")</f>
        <v/>
      </c>
    </row>
    <row r="167" spans="1:3">
      <c r="A167" t="str">
        <f>TEXT(IF('State and Local Taxes'!B180&lt;&gt;0,DATE(YEAR('State and Local Taxes'!B180), MONTH('State and Local Taxes'!B180)-2, 1), ""), "mm/dd/yyyy")</f>
        <v/>
      </c>
      <c r="B167" t="str">
        <f>IF(ISNUMBER('State and Local Taxes'!I180),TEXT('State and Local Taxes'!I180, "0.000"), "")</f>
        <v/>
      </c>
      <c r="C167" t="str">
        <f>IF(ISNUMBER('State and Local Taxes'!J180),'State and Local Taxes'!J180, "")</f>
        <v/>
      </c>
    </row>
    <row r="168" spans="1:3">
      <c r="A168" t="str">
        <f>TEXT(IF('State and Local Taxes'!B181&lt;&gt;0,DATE(YEAR('State and Local Taxes'!B181), MONTH('State and Local Taxes'!B181)-2, 1), ""), "mm/dd/yyyy")</f>
        <v/>
      </c>
      <c r="B168" t="str">
        <f>IF(ISNUMBER('State and Local Taxes'!I181),TEXT('State and Local Taxes'!I181, "0.000"), "")</f>
        <v/>
      </c>
      <c r="C168" t="str">
        <f>IF(ISNUMBER('State and Local Taxes'!J181),'State and Local Taxes'!J181, "")</f>
        <v/>
      </c>
    </row>
    <row r="169" spans="1:3">
      <c r="A169" t="str">
        <f>TEXT(IF('State and Local Taxes'!B182&lt;&gt;0,DATE(YEAR('State and Local Taxes'!B182), MONTH('State and Local Taxes'!B182)-2, 1), ""), "mm/dd/yyyy")</f>
        <v/>
      </c>
      <c r="B169" t="str">
        <f>IF(ISNUMBER('State and Local Taxes'!I182),TEXT('State and Local Taxes'!I182, "0.000"), "")</f>
        <v/>
      </c>
      <c r="C169" t="str">
        <f>IF(ISNUMBER('State and Local Taxes'!J182),'State and Local Taxes'!J182, "")</f>
        <v/>
      </c>
    </row>
    <row r="170" spans="1:3">
      <c r="A170" t="str">
        <f>TEXT(IF('State and Local Taxes'!B183&lt;&gt;0,DATE(YEAR('State and Local Taxes'!B183), MONTH('State and Local Taxes'!B183)-2, 1), ""), "mm/dd/yyyy")</f>
        <v/>
      </c>
      <c r="B170" t="str">
        <f>IF(ISNUMBER('State and Local Taxes'!I183),TEXT('State and Local Taxes'!I183, "0.000"), "")</f>
        <v/>
      </c>
      <c r="C170" t="str">
        <f>IF(ISNUMBER('State and Local Taxes'!J183),'State and Local Taxes'!J183, "")</f>
        <v/>
      </c>
    </row>
    <row r="171" spans="1:3">
      <c r="A171" t="str">
        <f>TEXT(IF('State and Local Taxes'!B184&lt;&gt;0,DATE(YEAR('State and Local Taxes'!B184), MONTH('State and Local Taxes'!B184)-2, 1), ""), "mm/dd/yyyy")</f>
        <v/>
      </c>
      <c r="B171" t="str">
        <f>IF(ISNUMBER('State and Local Taxes'!I184),TEXT('State and Local Taxes'!I184, "0.000"), "")</f>
        <v/>
      </c>
      <c r="C171" t="str">
        <f>IF(ISNUMBER('State and Local Taxes'!J184),'State and Local Taxes'!J184, "")</f>
        <v/>
      </c>
    </row>
    <row r="172" spans="1:3">
      <c r="A172" t="str">
        <f>TEXT(IF('State and Local Taxes'!B185&lt;&gt;0,DATE(YEAR('State and Local Taxes'!B185), MONTH('State and Local Taxes'!B185)-2, 1), ""), "mm/dd/yyyy")</f>
        <v/>
      </c>
      <c r="B172" t="str">
        <f>IF(ISNUMBER('State and Local Taxes'!I185),TEXT('State and Local Taxes'!I185, "0.000"), "")</f>
        <v/>
      </c>
      <c r="C172" t="str">
        <f>IF(ISNUMBER('State and Local Taxes'!J185),'State and Local Taxes'!J185, "")</f>
        <v/>
      </c>
    </row>
    <row r="173" spans="1:3">
      <c r="A173" t="str">
        <f>TEXT(IF('State and Local Taxes'!B186&lt;&gt;0,DATE(YEAR('State and Local Taxes'!B186), MONTH('State and Local Taxes'!B186)-2, 1), ""), "mm/dd/yyyy")</f>
        <v/>
      </c>
      <c r="B173" t="str">
        <f>IF(ISNUMBER('State and Local Taxes'!I186),TEXT('State and Local Taxes'!I186, "0.000"), "")</f>
        <v/>
      </c>
      <c r="C173" t="str">
        <f>IF(ISNUMBER('State and Local Taxes'!J186),'State and Local Taxes'!J186, "")</f>
        <v/>
      </c>
    </row>
    <row r="174" spans="1:3">
      <c r="A174" t="str">
        <f>TEXT(IF('State and Local Taxes'!B187&lt;&gt;0,DATE(YEAR('State and Local Taxes'!B187), MONTH('State and Local Taxes'!B187)-2, 1), ""), "mm/dd/yyyy")</f>
        <v/>
      </c>
      <c r="B174" t="str">
        <f>IF(ISNUMBER('State and Local Taxes'!I187),TEXT('State and Local Taxes'!I187, "0.000"), "")</f>
        <v/>
      </c>
      <c r="C174" t="str">
        <f>IF(ISNUMBER('State and Local Taxes'!J187),'State and Local Taxes'!J187, "")</f>
        <v/>
      </c>
    </row>
    <row r="175" spans="1:3">
      <c r="A175" t="str">
        <f>TEXT(IF('State and Local Taxes'!B188&lt;&gt;0,DATE(YEAR('State and Local Taxes'!B188), MONTH('State and Local Taxes'!B188)-2, 1), ""), "mm/dd/yyyy")</f>
        <v/>
      </c>
      <c r="B175" t="str">
        <f>IF(ISNUMBER('State and Local Taxes'!I188),TEXT('State and Local Taxes'!I188, "0.000"), "")</f>
        <v/>
      </c>
      <c r="C175" t="str">
        <f>IF(ISNUMBER('State and Local Taxes'!J188),'State and Local Taxes'!J188, "")</f>
        <v/>
      </c>
    </row>
    <row r="176" spans="1:3">
      <c r="A176" t="str">
        <f>TEXT(IF('State and Local Taxes'!B189&lt;&gt;0,DATE(YEAR('State and Local Taxes'!B189), MONTH('State and Local Taxes'!B189)-2, 1), ""), "mm/dd/yyyy")</f>
        <v/>
      </c>
      <c r="B176" t="str">
        <f>IF(ISNUMBER('State and Local Taxes'!I189),TEXT('State and Local Taxes'!I189, "0.000"), "")</f>
        <v/>
      </c>
      <c r="C176" t="str">
        <f>IF(ISNUMBER('State and Local Taxes'!J189),'State and Local Taxes'!J189, "")</f>
        <v/>
      </c>
    </row>
    <row r="177" spans="1:3">
      <c r="A177" t="str">
        <f>TEXT(IF('State and Local Taxes'!B190&lt;&gt;0,DATE(YEAR('State and Local Taxes'!B190), MONTH('State and Local Taxes'!B190)-2, 1), ""), "mm/dd/yyyy")</f>
        <v/>
      </c>
      <c r="B177" t="str">
        <f>IF(ISNUMBER('State and Local Taxes'!I190),TEXT('State and Local Taxes'!I190, "0.000"), "")</f>
        <v/>
      </c>
      <c r="C177" t="str">
        <f>IF(ISNUMBER('State and Local Taxes'!J190),'State and Local Taxes'!J190, "")</f>
        <v/>
      </c>
    </row>
    <row r="178" spans="1:3">
      <c r="A178" t="str">
        <f>TEXT(IF('State and Local Taxes'!B191&lt;&gt;0,DATE(YEAR('State and Local Taxes'!B191), MONTH('State and Local Taxes'!B191)-2, 1), ""), "mm/dd/yyyy")</f>
        <v/>
      </c>
      <c r="B178" t="str">
        <f>IF(ISNUMBER('State and Local Taxes'!I191),TEXT('State and Local Taxes'!I191, "0.000"), "")</f>
        <v/>
      </c>
      <c r="C178" t="str">
        <f>IF(ISNUMBER('State and Local Taxes'!J191),'State and Local Taxes'!J191, "")</f>
        <v/>
      </c>
    </row>
    <row r="179" spans="1:3">
      <c r="A179" t="str">
        <f>TEXT(IF('State and Local Taxes'!B192&lt;&gt;0,DATE(YEAR('State and Local Taxes'!B192), MONTH('State and Local Taxes'!B192)-2, 1), ""), "mm/dd/yyyy")</f>
        <v/>
      </c>
      <c r="B179" t="str">
        <f>IF(ISNUMBER('State and Local Taxes'!I192),TEXT('State and Local Taxes'!I192, "0.000"), "")</f>
        <v/>
      </c>
      <c r="C179" t="str">
        <f>IF(ISNUMBER('State and Local Taxes'!J192),'State and Local Taxes'!J192, "")</f>
        <v/>
      </c>
    </row>
    <row r="180" spans="1:3">
      <c r="A180" t="str">
        <f>TEXT(IF('State and Local Taxes'!B193&lt;&gt;0,DATE(YEAR('State and Local Taxes'!B193), MONTH('State and Local Taxes'!B193)-2, 1), ""), "mm/dd/yyyy")</f>
        <v/>
      </c>
      <c r="B180" t="str">
        <f>IF(ISNUMBER('State and Local Taxes'!I193),TEXT('State and Local Taxes'!I193, "0.000"), "")</f>
        <v/>
      </c>
      <c r="C180" t="str">
        <f>IF(ISNUMBER('State and Local Taxes'!J193),'State and Local Taxes'!J193, "")</f>
        <v/>
      </c>
    </row>
    <row r="181" spans="1:3">
      <c r="A181" t="str">
        <f>TEXT(IF('State and Local Taxes'!B194&lt;&gt;0,DATE(YEAR('State and Local Taxes'!B194), MONTH('State and Local Taxes'!B194)-2, 1), ""), "mm/dd/yyyy")</f>
        <v/>
      </c>
      <c r="B181" t="str">
        <f>IF(ISNUMBER('State and Local Taxes'!I194),TEXT('State and Local Taxes'!I194, "0.000"), "")</f>
        <v/>
      </c>
      <c r="C181" t="str">
        <f>IF(ISNUMBER('State and Local Taxes'!J194),'State and Local Taxes'!J194, "")</f>
        <v/>
      </c>
    </row>
    <row r="182" spans="1:3">
      <c r="A182" t="str">
        <f>TEXT(IF('State and Local Taxes'!B195&lt;&gt;0,DATE(YEAR('State and Local Taxes'!B195), MONTH('State and Local Taxes'!B195)-2, 1), ""), "mm/dd/yyyy")</f>
        <v/>
      </c>
      <c r="B182" t="str">
        <f>IF(ISNUMBER('State and Local Taxes'!I195),TEXT('State and Local Taxes'!I195, "0.000"), "")</f>
        <v/>
      </c>
      <c r="C182" t="str">
        <f>IF(ISNUMBER('State and Local Taxes'!J195),'State and Local Taxes'!J195, "")</f>
        <v/>
      </c>
    </row>
    <row r="183" spans="1:3">
      <c r="A183" t="str">
        <f>TEXT(IF('State and Local Taxes'!B196&lt;&gt;0,DATE(YEAR('State and Local Taxes'!B196), MONTH('State and Local Taxes'!B196)-2, 1), ""), "mm/dd/yyyy")</f>
        <v/>
      </c>
      <c r="B183" t="str">
        <f>IF(ISNUMBER('State and Local Taxes'!I196),TEXT('State and Local Taxes'!I196, "0.000"), "")</f>
        <v/>
      </c>
      <c r="C183" t="str">
        <f>IF(ISNUMBER('State and Local Taxes'!J196),'State and Local Taxes'!J196, "")</f>
        <v/>
      </c>
    </row>
    <row r="184" spans="1:3">
      <c r="A184" t="str">
        <f>TEXT(IF('State and Local Taxes'!B197&lt;&gt;0,DATE(YEAR('State and Local Taxes'!B197), MONTH('State and Local Taxes'!B197)-2, 1), ""), "mm/dd/yyyy")</f>
        <v/>
      </c>
      <c r="B184" t="str">
        <f>IF(ISNUMBER('State and Local Taxes'!I197),TEXT('State and Local Taxes'!I197, "0.000"), "")</f>
        <v/>
      </c>
      <c r="C184" t="str">
        <f>IF(ISNUMBER('State and Local Taxes'!J197),'State and Local Taxes'!J197, "")</f>
        <v/>
      </c>
    </row>
    <row r="185" spans="1:3">
      <c r="A185" t="str">
        <f>TEXT(IF('State and Local Taxes'!B198&lt;&gt;0,DATE(YEAR('State and Local Taxes'!B198), MONTH('State and Local Taxes'!B198)-2, 1), ""), "mm/dd/yyyy")</f>
        <v/>
      </c>
      <c r="B185" t="str">
        <f>IF(ISNUMBER('State and Local Taxes'!I198),TEXT('State and Local Taxes'!I198, "0.000"), "")</f>
        <v/>
      </c>
      <c r="C185" t="str">
        <f>IF(ISNUMBER('State and Local Taxes'!J198),'State and Local Taxes'!J198, "")</f>
        <v/>
      </c>
    </row>
    <row r="186" spans="1:3">
      <c r="A186" t="str">
        <f>TEXT(IF('State and Local Taxes'!B199&lt;&gt;0,DATE(YEAR('State and Local Taxes'!B199), MONTH('State and Local Taxes'!B199)-2, 1), ""), "mm/dd/yyyy")</f>
        <v/>
      </c>
      <c r="B186" t="str">
        <f>IF(ISNUMBER('State and Local Taxes'!I199),TEXT('State and Local Taxes'!I199, "0.000"), "")</f>
        <v/>
      </c>
      <c r="C186" t="str">
        <f>IF(ISNUMBER('State and Local Taxes'!J199),'State and Local Taxes'!J199, "")</f>
        <v/>
      </c>
    </row>
    <row r="187" spans="1:3">
      <c r="A187" t="str">
        <f>TEXT(IF('State and Local Taxes'!B200&lt;&gt;0,DATE(YEAR('State and Local Taxes'!B200), MONTH('State and Local Taxes'!B200)-2, 1), ""), "mm/dd/yyyy")</f>
        <v/>
      </c>
      <c r="B187" t="str">
        <f>IF(ISNUMBER('State and Local Taxes'!I200),TEXT('State and Local Taxes'!I200, "0.000"), "")</f>
        <v/>
      </c>
      <c r="C187" t="str">
        <f>IF(ISNUMBER('State and Local Taxes'!J200),'State and Local Taxes'!J200, "")</f>
        <v/>
      </c>
    </row>
    <row r="188" spans="1:3">
      <c r="A188" t="str">
        <f>TEXT(IF('State and Local Taxes'!B201&lt;&gt;0,DATE(YEAR('State and Local Taxes'!B201), MONTH('State and Local Taxes'!B201)-2, 1), ""), "mm/dd/yyyy")</f>
        <v/>
      </c>
      <c r="B188" t="str">
        <f>IF(ISNUMBER('State and Local Taxes'!I201),TEXT('State and Local Taxes'!I201, "0.000"), "")</f>
        <v/>
      </c>
      <c r="C188" t="str">
        <f>IF(ISNUMBER('State and Local Taxes'!J201),'State and Local Taxes'!J201, "")</f>
        <v/>
      </c>
    </row>
    <row r="189" spans="1:3">
      <c r="A189" t="str">
        <f>TEXT(IF('State and Local Taxes'!B202&lt;&gt;0,DATE(YEAR('State and Local Taxes'!B202), MONTH('State and Local Taxes'!B202)-2, 1), ""), "mm/dd/yyyy")</f>
        <v/>
      </c>
      <c r="B189" t="str">
        <f>IF(ISNUMBER('State and Local Taxes'!I202),TEXT('State and Local Taxes'!I202, "0.000"), "")</f>
        <v/>
      </c>
      <c r="C189" t="str">
        <f>IF(ISNUMBER('State and Local Taxes'!J202),'State and Local Taxes'!J202, "")</f>
        <v/>
      </c>
    </row>
    <row r="190" spans="1:3">
      <c r="A190" t="str">
        <f>TEXT(IF('State and Local Taxes'!B203&lt;&gt;0,DATE(YEAR('State and Local Taxes'!B203), MONTH('State and Local Taxes'!B203)-2, 1), ""), "mm/dd/yyyy")</f>
        <v/>
      </c>
      <c r="B190" t="str">
        <f>IF(ISNUMBER('State and Local Taxes'!I203),TEXT('State and Local Taxes'!I203, "0.000"), "")</f>
        <v/>
      </c>
      <c r="C190" t="str">
        <f>IF(ISNUMBER('State and Local Taxes'!J203),'State and Local Taxes'!J203, "")</f>
        <v/>
      </c>
    </row>
    <row r="191" spans="1:3">
      <c r="A191" t="str">
        <f>TEXT(IF('State and Local Taxes'!B204&lt;&gt;0,DATE(YEAR('State and Local Taxes'!B204), MONTH('State and Local Taxes'!B204)-2, 1), ""), "mm/dd/yyyy")</f>
        <v/>
      </c>
      <c r="B191" t="str">
        <f>IF(ISNUMBER('State and Local Taxes'!I204),TEXT('State and Local Taxes'!I204, "0.000"), "")</f>
        <v/>
      </c>
      <c r="C191" t="str">
        <f>IF(ISNUMBER('State and Local Taxes'!J204),'State and Local Taxes'!J204, "")</f>
        <v/>
      </c>
    </row>
    <row r="192" spans="1:3">
      <c r="A192" t="str">
        <f>TEXT(IF('State and Local Taxes'!B205&lt;&gt;0,DATE(YEAR('State and Local Taxes'!B205), MONTH('State and Local Taxes'!B205)-2, 1), ""), "mm/dd/yyyy")</f>
        <v/>
      </c>
      <c r="B192" t="str">
        <f>IF(ISNUMBER('State and Local Taxes'!I205),TEXT('State and Local Taxes'!I205, "0.000"), "")</f>
        <v/>
      </c>
      <c r="C192" t="str">
        <f>IF(ISNUMBER('State and Local Taxes'!J205),'State and Local Taxes'!J205, "")</f>
        <v/>
      </c>
    </row>
    <row r="193" spans="1:3">
      <c r="A193" t="str">
        <f>TEXT(IF('State and Local Taxes'!B206&lt;&gt;0,DATE(YEAR('State and Local Taxes'!B206), MONTH('State and Local Taxes'!B206)-2, 1), ""), "mm/dd/yyyy")</f>
        <v/>
      </c>
      <c r="B193" t="str">
        <f>IF(ISNUMBER('State and Local Taxes'!I206),TEXT('State and Local Taxes'!I206, "0.000"), "")</f>
        <v/>
      </c>
      <c r="C193" t="str">
        <f>IF(ISNUMBER('State and Local Taxes'!J206),'State and Local Taxes'!J206, "")</f>
        <v/>
      </c>
    </row>
    <row r="194" spans="1:3">
      <c r="A194" t="str">
        <f>TEXT(IF('State and Local Taxes'!B207&lt;&gt;0,DATE(YEAR('State and Local Taxes'!B207), MONTH('State and Local Taxes'!B207)-2, 1), ""), "mm/dd/yyyy")</f>
        <v/>
      </c>
      <c r="B194" t="str">
        <f>IF(ISNUMBER('State and Local Taxes'!I207),TEXT('State and Local Taxes'!I207, "0.000"), "")</f>
        <v/>
      </c>
      <c r="C194" t="str">
        <f>IF(ISNUMBER('State and Local Taxes'!J207),'State and Local Taxes'!J207, "")</f>
        <v/>
      </c>
    </row>
    <row r="195" spans="1:3">
      <c r="A195" t="str">
        <f>TEXT(IF('State and Local Taxes'!B208&lt;&gt;0,DATE(YEAR('State and Local Taxes'!B208), MONTH('State and Local Taxes'!B208)-2, 1), ""), "mm/dd/yyyy")</f>
        <v/>
      </c>
      <c r="B195" t="str">
        <f>IF(ISNUMBER('State and Local Taxes'!I208),TEXT('State and Local Taxes'!I208, "0.000"), "")</f>
        <v/>
      </c>
      <c r="C195" t="str">
        <f>IF(ISNUMBER('State and Local Taxes'!J208),'State and Local Taxes'!J208, "")</f>
        <v/>
      </c>
    </row>
    <row r="196" spans="1:3">
      <c r="A196" t="str">
        <f>TEXT(IF('State and Local Taxes'!B209&lt;&gt;0,DATE(YEAR('State and Local Taxes'!B209), MONTH('State and Local Taxes'!B209)-2, 1), ""), "mm/dd/yyyy")</f>
        <v/>
      </c>
      <c r="B196" t="str">
        <f>IF(ISNUMBER('State and Local Taxes'!I209),TEXT('State and Local Taxes'!I209, "0.000"), "")</f>
        <v/>
      </c>
      <c r="C196" t="str">
        <f>IF(ISNUMBER('State and Local Taxes'!J209),'State and Local Taxes'!J209, "")</f>
        <v/>
      </c>
    </row>
    <row r="197" spans="1:3">
      <c r="A197" t="str">
        <f>TEXT(IF('State and Local Taxes'!B210&lt;&gt;0,DATE(YEAR('State and Local Taxes'!B210), MONTH('State and Local Taxes'!B210)-2, 1), ""), "mm/dd/yyyy")</f>
        <v/>
      </c>
      <c r="B197" t="str">
        <f>IF(ISNUMBER('State and Local Taxes'!I210),TEXT('State and Local Taxes'!I210, "0.000"), "")</f>
        <v/>
      </c>
      <c r="C197" t="str">
        <f>IF(ISNUMBER('State and Local Taxes'!J210),'State and Local Taxes'!J210, "")</f>
        <v/>
      </c>
    </row>
    <row r="198" spans="1:3">
      <c r="A198" t="str">
        <f>TEXT(IF('State and Local Taxes'!B211&lt;&gt;0,DATE(YEAR('State and Local Taxes'!B211), MONTH('State and Local Taxes'!B211)-2, 1), ""), "mm/dd/yyyy")</f>
        <v/>
      </c>
      <c r="B198" t="str">
        <f>IF(ISNUMBER('State and Local Taxes'!I211),TEXT('State and Local Taxes'!I211, "0.000"), "")</f>
        <v/>
      </c>
      <c r="C198" t="str">
        <f>IF(ISNUMBER('State and Local Taxes'!J211),'State and Local Taxes'!J211, "")</f>
        <v/>
      </c>
    </row>
    <row r="199" spans="1:3">
      <c r="A199" t="str">
        <f>TEXT(IF('State and Local Taxes'!B212&lt;&gt;0,DATE(YEAR('State and Local Taxes'!B212), MONTH('State and Local Taxes'!B212)-2, 1), ""), "mm/dd/yyyy")</f>
        <v/>
      </c>
      <c r="B199" t="str">
        <f>IF(ISNUMBER('State and Local Taxes'!I212),TEXT('State and Local Taxes'!I212, "0.000"), "")</f>
        <v/>
      </c>
      <c r="C199" t="str">
        <f>IF(ISNUMBER('State and Local Taxes'!J212),'State and Local Taxes'!J212, "")</f>
        <v/>
      </c>
    </row>
    <row r="200" spans="1:3">
      <c r="A200" t="str">
        <f>TEXT(IF('State and Local Taxes'!B213&lt;&gt;0,DATE(YEAR('State and Local Taxes'!B213), MONTH('State and Local Taxes'!B213)-2, 1), ""), "mm/dd/yyyy")</f>
        <v/>
      </c>
      <c r="B200" t="str">
        <f>IF(ISNUMBER('State and Local Taxes'!I213),TEXT('State and Local Taxes'!I213, "0.000"), "")</f>
        <v/>
      </c>
      <c r="C200" t="str">
        <f>IF(ISNUMBER('State and Local Taxes'!J213),'State and Local Taxes'!J213, "")</f>
        <v/>
      </c>
    </row>
    <row r="201" spans="1:3">
      <c r="A201" t="str">
        <f>TEXT(IF('State and Local Taxes'!B214&lt;&gt;0,DATE(YEAR('State and Local Taxes'!B214), MONTH('State and Local Taxes'!B214)-2, 1), ""), "mm/dd/yyyy")</f>
        <v/>
      </c>
      <c r="B201" t="str">
        <f>IF(ISNUMBER('State and Local Taxes'!I214),TEXT('State and Local Taxes'!I214, "0.000"), "")</f>
        <v/>
      </c>
      <c r="C201" t="str">
        <f>IF(ISNUMBER('State and Local Taxes'!J214),'State and Local Taxes'!J214, "")</f>
        <v/>
      </c>
    </row>
    <row r="202" spans="1:3">
      <c r="A202" t="str">
        <f>TEXT(IF('State and Local Taxes'!B215&lt;&gt;0,DATE(YEAR('State and Local Taxes'!B215), MONTH('State and Local Taxes'!B215)-2, 1), ""), "mm/dd/yyyy")</f>
        <v/>
      </c>
      <c r="B202" t="str">
        <f>IF(ISNUMBER('State and Local Taxes'!I215),TEXT('State and Local Taxes'!I215, "0.000"), "")</f>
        <v/>
      </c>
      <c r="C202" t="str">
        <f>IF(ISNUMBER('State and Local Taxes'!J215),'State and Local Taxes'!J215, "")</f>
        <v/>
      </c>
    </row>
    <row r="203" spans="1:3">
      <c r="A203" t="str">
        <f>TEXT(IF('State and Local Taxes'!B216&lt;&gt;0,DATE(YEAR('State and Local Taxes'!B216), MONTH('State and Local Taxes'!B216)-2, 1), ""), "mm/dd/yyyy")</f>
        <v/>
      </c>
      <c r="B203" t="str">
        <f>IF(ISNUMBER('State and Local Taxes'!I216),TEXT('State and Local Taxes'!I216, "0.000"), "")</f>
        <v/>
      </c>
      <c r="C203" t="str">
        <f>IF(ISNUMBER('State and Local Taxes'!J216),'State and Local Taxes'!J216, "")</f>
        <v/>
      </c>
    </row>
    <row r="204" spans="1:3">
      <c r="A204" t="str">
        <f>TEXT(IF('State and Local Taxes'!B217&lt;&gt;0,DATE(YEAR('State and Local Taxes'!B217), MONTH('State and Local Taxes'!B217)-2, 1), ""), "mm/dd/yyyy")</f>
        <v/>
      </c>
      <c r="B204" t="str">
        <f>IF(ISNUMBER('State and Local Taxes'!I217),TEXT('State and Local Taxes'!I217, "0.000"), "")</f>
        <v/>
      </c>
      <c r="C204" t="str">
        <f>IF(ISNUMBER('State and Local Taxes'!J217),'State and Local Taxes'!J217, "")</f>
        <v/>
      </c>
    </row>
    <row r="205" spans="1:3">
      <c r="A205" t="str">
        <f>TEXT(IF('State and Local Taxes'!B218&lt;&gt;0,DATE(YEAR('State and Local Taxes'!B218), MONTH('State and Local Taxes'!B218)-2, 1), ""), "mm/dd/yyyy")</f>
        <v/>
      </c>
      <c r="B205" t="str">
        <f>IF(ISNUMBER('State and Local Taxes'!I218),TEXT('State and Local Taxes'!I218, "0.000"), "")</f>
        <v/>
      </c>
      <c r="C205" t="str">
        <f>IF(ISNUMBER('State and Local Taxes'!J218),'State and Local Taxes'!J218, "")</f>
        <v/>
      </c>
    </row>
    <row r="206" spans="1:3">
      <c r="A206" t="str">
        <f>TEXT(IF('State and Local Taxes'!B219&lt;&gt;0,DATE(YEAR('State and Local Taxes'!B219), MONTH('State and Local Taxes'!B219)-2, 1), ""), "mm/dd/yyyy")</f>
        <v/>
      </c>
      <c r="B206" t="str">
        <f>IF(ISNUMBER('State and Local Taxes'!I219),TEXT('State and Local Taxes'!I219, "0.000"), "")</f>
        <v/>
      </c>
      <c r="C206" t="str">
        <f>IF(ISNUMBER('State and Local Taxes'!J219),'State and Local Taxes'!J219, "")</f>
        <v/>
      </c>
    </row>
    <row r="207" spans="1:3">
      <c r="A207" t="str">
        <f>TEXT(IF('State and Local Taxes'!B220&lt;&gt;0,DATE(YEAR('State and Local Taxes'!B220), MONTH('State and Local Taxes'!B220)-2, 1), ""), "mm/dd/yyyy")</f>
        <v/>
      </c>
      <c r="B207" t="str">
        <f>IF(ISNUMBER('State and Local Taxes'!I220),TEXT('State and Local Taxes'!I220, "0.000"), "")</f>
        <v/>
      </c>
      <c r="C207" t="str">
        <f>IF(ISNUMBER('State and Local Taxes'!J220),'State and Local Taxes'!J220, "")</f>
        <v/>
      </c>
    </row>
    <row r="208" spans="1:3">
      <c r="A208" t="str">
        <f>TEXT(IF('State and Local Taxes'!B221&lt;&gt;0,DATE(YEAR('State and Local Taxes'!B221), MONTH('State and Local Taxes'!B221)-2, 1), ""), "mm/dd/yyyy")</f>
        <v/>
      </c>
      <c r="B208" t="str">
        <f>IF(ISNUMBER('State and Local Taxes'!I221),TEXT('State and Local Taxes'!I221, "0.000"), "")</f>
        <v/>
      </c>
      <c r="C208" t="str">
        <f>IF(ISNUMBER('State and Local Taxes'!J221),'State and Local Taxes'!J221, "")</f>
        <v/>
      </c>
    </row>
    <row r="209" spans="1:3">
      <c r="A209" t="str">
        <f>TEXT(IF('State and Local Taxes'!B222&lt;&gt;0,DATE(YEAR('State and Local Taxes'!B222), MONTH('State and Local Taxes'!B222)-2, 1), ""), "mm/dd/yyyy")</f>
        <v/>
      </c>
      <c r="B209" t="str">
        <f>IF(ISNUMBER('State and Local Taxes'!I222),TEXT('State and Local Taxes'!I222, "0.000"), "")</f>
        <v/>
      </c>
      <c r="C209" t="str">
        <f>IF(ISNUMBER('State and Local Taxes'!J222),'State and Local Taxes'!J222, "")</f>
        <v/>
      </c>
    </row>
    <row r="210" spans="1:3">
      <c r="A210" t="str">
        <f>TEXT(IF('State and Local Taxes'!B223&lt;&gt;0,DATE(YEAR('State and Local Taxes'!B223), MONTH('State and Local Taxes'!B223)-2, 1), ""), "mm/dd/yyyy")</f>
        <v/>
      </c>
      <c r="B210" t="str">
        <f>IF(ISNUMBER('State and Local Taxes'!I223),TEXT('State and Local Taxes'!I223, "0.000"), "")</f>
        <v/>
      </c>
      <c r="C210" t="str">
        <f>IF(ISNUMBER('State and Local Taxes'!J223),'State and Local Taxes'!J223, "")</f>
        <v/>
      </c>
    </row>
    <row r="211" spans="1:3">
      <c r="A211" t="str">
        <f>TEXT(IF('State and Local Taxes'!B224&lt;&gt;0,DATE(YEAR('State and Local Taxes'!B224), MONTH('State and Local Taxes'!B224)-2, 1), ""), "mm/dd/yyyy")</f>
        <v/>
      </c>
      <c r="B211" t="str">
        <f>IF(ISNUMBER('State and Local Taxes'!I224),TEXT('State and Local Taxes'!I224, "0.000"), "")</f>
        <v/>
      </c>
      <c r="C211" t="str">
        <f>IF(ISNUMBER('State and Local Taxes'!J224),'State and Local Taxes'!J224, "")</f>
        <v/>
      </c>
    </row>
    <row r="212" spans="1:3">
      <c r="A212" t="str">
        <f>TEXT(IF('State and Local Taxes'!B225&lt;&gt;0,DATE(YEAR('State and Local Taxes'!B225), MONTH('State and Local Taxes'!B225)-2, 1), ""), "mm/dd/yyyy")</f>
        <v/>
      </c>
      <c r="B212" t="str">
        <f>IF(ISNUMBER('State and Local Taxes'!I225),TEXT('State and Local Taxes'!I225, "0.000"), "")</f>
        <v/>
      </c>
      <c r="C212" t="str">
        <f>IF(ISNUMBER('State and Local Taxes'!J225),'State and Local Taxes'!J225, "")</f>
        <v/>
      </c>
    </row>
    <row r="213" spans="1:3">
      <c r="A213" t="str">
        <f>TEXT(IF('State and Local Taxes'!B226&lt;&gt;0,DATE(YEAR('State and Local Taxes'!B226), MONTH('State and Local Taxes'!B226)-2, 1), ""), "mm/dd/yyyy")</f>
        <v/>
      </c>
      <c r="B213" t="str">
        <f>IF(ISNUMBER('State and Local Taxes'!I226),TEXT('State and Local Taxes'!I226, "0.000"), "")</f>
        <v/>
      </c>
      <c r="C213" t="str">
        <f>IF(ISNUMBER('State and Local Taxes'!J226),'State and Local Taxes'!J226, "")</f>
        <v/>
      </c>
    </row>
    <row r="214" spans="1:3">
      <c r="A214" t="str">
        <f>TEXT(IF('State and Local Taxes'!B227&lt;&gt;0,DATE(YEAR('State and Local Taxes'!B227), MONTH('State and Local Taxes'!B227)-2, 1), ""), "mm/dd/yyyy")</f>
        <v/>
      </c>
      <c r="B214" t="str">
        <f>IF(ISNUMBER('State and Local Taxes'!I227),TEXT('State and Local Taxes'!I227, "0.000"), "")</f>
        <v/>
      </c>
      <c r="C214" t="str">
        <f>IF(ISNUMBER('State and Local Taxes'!J227),'State and Local Taxes'!J227, "")</f>
        <v/>
      </c>
    </row>
    <row r="215" spans="1:3">
      <c r="A215" t="str">
        <f>TEXT(IF('State and Local Taxes'!B228&lt;&gt;0,DATE(YEAR('State and Local Taxes'!B228), MONTH('State and Local Taxes'!B228)-2, 1), ""), "mm/dd/yyyy")</f>
        <v/>
      </c>
      <c r="B215" t="str">
        <f>IF(ISNUMBER('State and Local Taxes'!I228),TEXT('State and Local Taxes'!I228, "0.000"), "")</f>
        <v/>
      </c>
      <c r="C215" t="str">
        <f>IF(ISNUMBER('State and Local Taxes'!J228),'State and Local Taxes'!J228, "")</f>
        <v/>
      </c>
    </row>
    <row r="216" spans="1:3">
      <c r="A216" t="str">
        <f>TEXT(IF('State and Local Taxes'!B229&lt;&gt;0,DATE(YEAR('State and Local Taxes'!B229), MONTH('State and Local Taxes'!B229)-2, 1), ""), "mm/dd/yyyy")</f>
        <v/>
      </c>
      <c r="B216" t="str">
        <f>IF(ISNUMBER('State and Local Taxes'!I229),TEXT('State and Local Taxes'!I229, "0.000"), "")</f>
        <v/>
      </c>
      <c r="C216" t="str">
        <f>IF(ISNUMBER('State and Local Taxes'!J229),'State and Local Taxes'!J229, "")</f>
        <v/>
      </c>
    </row>
    <row r="217" spans="1:3">
      <c r="A217" t="str">
        <f>TEXT(IF('State and Local Taxes'!B230&lt;&gt;0,DATE(YEAR('State and Local Taxes'!B230), MONTH('State and Local Taxes'!B230)-2, 1), ""), "mm/dd/yyyy")</f>
        <v/>
      </c>
      <c r="B217" t="str">
        <f>IF(ISNUMBER('State and Local Taxes'!I230),TEXT('State and Local Taxes'!I230, "0.000"), "")</f>
        <v/>
      </c>
      <c r="C217" t="str">
        <f>IF(ISNUMBER('State and Local Taxes'!J230),'State and Local Taxes'!J230, "")</f>
        <v/>
      </c>
    </row>
    <row r="218" spans="1:3">
      <c r="A218" t="str">
        <f>TEXT(IF('State and Local Taxes'!B231&lt;&gt;0,DATE(YEAR('State and Local Taxes'!B231), MONTH('State and Local Taxes'!B231)-2, 1), ""), "mm/dd/yyyy")</f>
        <v/>
      </c>
      <c r="B218" t="str">
        <f>IF(ISNUMBER('State and Local Taxes'!I231),TEXT('State and Local Taxes'!I231, "0.000"), "")</f>
        <v/>
      </c>
      <c r="C218" t="str">
        <f>IF(ISNUMBER('State and Local Taxes'!J231),'State and Local Taxes'!J231, "")</f>
        <v/>
      </c>
    </row>
    <row r="219" spans="1:3">
      <c r="A219" t="str">
        <f>TEXT(IF('State and Local Taxes'!B232&lt;&gt;0,DATE(YEAR('State and Local Taxes'!B232), MONTH('State and Local Taxes'!B232)-2, 1), ""), "mm/dd/yyyy")</f>
        <v/>
      </c>
      <c r="B219" t="str">
        <f>IF(ISNUMBER('State and Local Taxes'!I232),TEXT('State and Local Taxes'!I232, "0.000"), "")</f>
        <v/>
      </c>
      <c r="C219" t="str">
        <f>IF(ISNUMBER('State and Local Taxes'!J232),'State and Local Taxes'!J232, "")</f>
        <v/>
      </c>
    </row>
    <row r="220" spans="1:3">
      <c r="A220" t="str">
        <f>TEXT(IF('State and Local Taxes'!B233&lt;&gt;0,DATE(YEAR('State and Local Taxes'!B233), MONTH('State and Local Taxes'!B233)-2, 1), ""), "mm/dd/yyyy")</f>
        <v/>
      </c>
      <c r="B220" t="str">
        <f>IF(ISNUMBER('State and Local Taxes'!I233),TEXT('State and Local Taxes'!I233, "0.000"), "")</f>
        <v/>
      </c>
      <c r="C220" t="str">
        <f>IF(ISNUMBER('State and Local Taxes'!J233),'State and Local Taxes'!J233, "")</f>
        <v/>
      </c>
    </row>
    <row r="221" spans="1:3">
      <c r="A221" t="str">
        <f>TEXT(IF('State and Local Taxes'!B234&lt;&gt;0,DATE(YEAR('State and Local Taxes'!B234), MONTH('State and Local Taxes'!B234)-2, 1), ""), "mm/dd/yyyy")</f>
        <v/>
      </c>
      <c r="B221" t="str">
        <f>IF(ISNUMBER('State and Local Taxes'!I234),TEXT('State and Local Taxes'!I234, "0.000"), "")</f>
        <v/>
      </c>
      <c r="C221" t="str">
        <f>IF(ISNUMBER('State and Local Taxes'!J234),'State and Local Taxes'!J234, "")</f>
        <v/>
      </c>
    </row>
    <row r="222" spans="1:3">
      <c r="A222" t="str">
        <f>TEXT(IF('State and Local Taxes'!B235&lt;&gt;0,DATE(YEAR('State and Local Taxes'!B235), MONTH('State and Local Taxes'!B235)-2, 1), ""), "mm/dd/yyyy")</f>
        <v/>
      </c>
      <c r="B222" t="str">
        <f>IF(ISNUMBER('State and Local Taxes'!I235),TEXT('State and Local Taxes'!I235, "0.000"), "")</f>
        <v/>
      </c>
      <c r="C222" t="str">
        <f>IF(ISNUMBER('State and Local Taxes'!J235),'State and Local Taxes'!J235, "")</f>
        <v/>
      </c>
    </row>
    <row r="223" spans="1:3">
      <c r="A223" t="str">
        <f>TEXT(IF('State and Local Taxes'!B236&lt;&gt;0,DATE(YEAR('State and Local Taxes'!B236), MONTH('State and Local Taxes'!B236)-2, 1), ""), "mm/dd/yyyy")</f>
        <v/>
      </c>
      <c r="B223" t="str">
        <f>IF(ISNUMBER('State and Local Taxes'!I236),TEXT('State and Local Taxes'!I236, "0.000"), "")</f>
        <v/>
      </c>
      <c r="C223" t="str">
        <f>IF(ISNUMBER('State and Local Taxes'!J236),'State and Local Taxes'!J236, "")</f>
        <v/>
      </c>
    </row>
    <row r="224" spans="1:3">
      <c r="A224" t="str">
        <f>TEXT(IF('State and Local Taxes'!B237&lt;&gt;0,DATE(YEAR('State and Local Taxes'!B237), MONTH('State and Local Taxes'!B237)-2, 1), ""), "mm/dd/yyyy")</f>
        <v/>
      </c>
      <c r="B224" t="str">
        <f>IF(ISNUMBER('State and Local Taxes'!I237),TEXT('State and Local Taxes'!I237, "0.000"), "")</f>
        <v/>
      </c>
      <c r="C224" t="str">
        <f>IF(ISNUMBER('State and Local Taxes'!J237),'State and Local Taxes'!J237, "")</f>
        <v/>
      </c>
    </row>
    <row r="225" spans="1:3">
      <c r="A225" t="str">
        <f>TEXT(IF('State and Local Taxes'!B238&lt;&gt;0,DATE(YEAR('State and Local Taxes'!B238), MONTH('State and Local Taxes'!B238)-2, 1), ""), "mm/dd/yyyy")</f>
        <v/>
      </c>
      <c r="B225" t="str">
        <f>IF(ISNUMBER('State and Local Taxes'!I238),TEXT('State and Local Taxes'!I238, "0.000"), "")</f>
        <v/>
      </c>
      <c r="C225" t="str">
        <f>IF(ISNUMBER('State and Local Taxes'!J238),'State and Local Taxes'!J238, "")</f>
        <v/>
      </c>
    </row>
    <row r="226" spans="1:3">
      <c r="A226" t="str">
        <f>TEXT(IF('State and Local Taxes'!B239&lt;&gt;0,DATE(YEAR('State and Local Taxes'!B239), MONTH('State and Local Taxes'!B239)-2, 1), ""), "mm/dd/yyyy")</f>
        <v/>
      </c>
      <c r="B226" t="str">
        <f>IF(ISNUMBER('State and Local Taxes'!I239),TEXT('State and Local Taxes'!I239, "0.000"), "")</f>
        <v/>
      </c>
      <c r="C226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5"/>
  <cols>
    <col min="1" max="1" width="10.42578125" bestFit="1" customWidth="1"/>
  </cols>
  <sheetData>
    <row r="1" spans="1:6">
      <c r="A1" t="s">
        <v>103</v>
      </c>
      <c r="B1" t="s">
        <v>125</v>
      </c>
      <c r="C1" t="s">
        <v>126</v>
      </c>
      <c r="D1" t="s">
        <v>127</v>
      </c>
      <c r="E1" t="s">
        <v>128</v>
      </c>
      <c r="F1" t="s">
        <v>312</v>
      </c>
    </row>
    <row r="2" spans="1:6">
      <c r="A2" t="str">
        <f>TEXT(IF('Revenues &amp; Outlays in GDP'!B8&lt;&gt;0,'Revenues &amp; Outlays in GDP'!B8, ""), "mm/dd/yyyy")</f>
        <v>01/01/1977</v>
      </c>
      <c r="B2" t="str">
        <f>IFERROR(IF(ISNUMBER('Revenues &amp; Outlays in GDP'!G8),TEXT('Revenues &amp; Outlays in GDP'!G8, "0.00"),""), "")</f>
        <v>17.56</v>
      </c>
      <c r="C2" t="str">
        <f ca="1">IFERROR(IF(ISNUMBER('Revenues &amp; Outlays in GDP'!C8),TEXT('Revenues &amp; Outlays in GDP'!C8, "0.00"),""), "")</f>
        <v/>
      </c>
      <c r="D2" t="str">
        <f>IFERROR(IF(ISNUMBER('Revenues &amp; Outlays in GDP'!H8),TEXT('Revenues &amp; Outlays in GDP'!H8, "0.00"),""), "")</f>
        <v>20.22</v>
      </c>
      <c r="E2" t="str">
        <f ca="1">IFERROR(IF(ISNUMBER('Revenues &amp; Outlays in GDP'!D8),TEXT('Revenues &amp; Outlays in GDP'!D8, "0.00"),""), "")</f>
        <v/>
      </c>
      <c r="F2">
        <f>IFERROR(IF(ISNUMBER('Revenues &amp; Outlays in GDP'!B8), 'Revenues &amp; Outlays in GDP'!J8, ""), "")</f>
        <v>0</v>
      </c>
    </row>
    <row r="3" spans="1:6">
      <c r="A3" t="str">
        <f>TEXT(IF('Revenues &amp; Outlays in GDP'!B9&lt;&gt;0,'Revenues &amp; Outlays in GDP'!B9, ""), "mm/dd/yyyy")</f>
        <v>01/01/1978</v>
      </c>
      <c r="B3" t="str">
        <f>IFERROR(IF(ISNUMBER('Revenues &amp; Outlays in GDP'!G9),TEXT('Revenues &amp; Outlays in GDP'!G9, "0.00"),""), "")</f>
        <v>17.58</v>
      </c>
      <c r="C3" t="str">
        <f ca="1">IFERROR(IF(ISNUMBER('Revenues &amp; Outlays in GDP'!C9),TEXT('Revenues &amp; Outlays in GDP'!C9, "0.00"),""), "")</f>
        <v/>
      </c>
      <c r="D3" t="str">
        <f>IFERROR(IF(ISNUMBER('Revenues &amp; Outlays in GDP'!H9),TEXT('Revenues &amp; Outlays in GDP'!H9, "0.00"),""), "")</f>
        <v>20.18</v>
      </c>
      <c r="E3" t="str">
        <f ca="1">IFERROR(IF(ISNUMBER('Revenues &amp; Outlays in GDP'!D9),TEXT('Revenues &amp; Outlays in GDP'!D9, "0.00"),""), "")</f>
        <v/>
      </c>
      <c r="F3">
        <f>IFERROR(IF(ISNUMBER('Revenues &amp; Outlays in GDP'!B9), 'Revenues &amp; Outlays in GDP'!J9, ""), "")</f>
        <v>0</v>
      </c>
    </row>
    <row r="4" spans="1:6">
      <c r="A4" t="str">
        <f>TEXT(IF('Revenues &amp; Outlays in GDP'!B10&lt;&gt;0,'Revenues &amp; Outlays in GDP'!B10, ""), "mm/dd/yyyy")</f>
        <v>01/01/1979</v>
      </c>
      <c r="B4" t="str">
        <f>IFERROR(IF(ISNUMBER('Revenues &amp; Outlays in GDP'!G10),TEXT('Revenues &amp; Outlays in GDP'!G10, "0.00"),""), "")</f>
        <v>18.06</v>
      </c>
      <c r="C4" t="str">
        <f ca="1">IFERROR(IF(ISNUMBER('Revenues &amp; Outlays in GDP'!C10),TEXT('Revenues &amp; Outlays in GDP'!C10, "0.00"),""), "")</f>
        <v/>
      </c>
      <c r="D4" t="str">
        <f>IFERROR(IF(ISNUMBER('Revenues &amp; Outlays in GDP'!H10),TEXT('Revenues &amp; Outlays in GDP'!H10, "0.00"),""), "")</f>
        <v>19.65</v>
      </c>
      <c r="E4" t="str">
        <f ca="1">IFERROR(IF(ISNUMBER('Revenues &amp; Outlays in GDP'!D10),TEXT('Revenues &amp; Outlays in GDP'!D10, "0.00"),""), "")</f>
        <v/>
      </c>
      <c r="F4">
        <f>IFERROR(IF(ISNUMBER('Revenues &amp; Outlays in GDP'!B10), 'Revenues &amp; Outlays in GDP'!J10, ""), "")</f>
        <v>0</v>
      </c>
    </row>
    <row r="5" spans="1:6">
      <c r="A5" t="str">
        <f>TEXT(IF('Revenues &amp; Outlays in GDP'!B11&lt;&gt;0,'Revenues &amp; Outlays in GDP'!B11, ""), "mm/dd/yyyy")</f>
        <v>01/01/1980</v>
      </c>
      <c r="B5" t="str">
        <f>IFERROR(IF(ISNUMBER('Revenues &amp; Outlays in GDP'!G11),TEXT('Revenues &amp; Outlays in GDP'!G11, "0.00"),""), "")</f>
        <v>18.52</v>
      </c>
      <c r="C5" t="str">
        <f ca="1">IFERROR(IF(ISNUMBER('Revenues &amp; Outlays in GDP'!C11),TEXT('Revenues &amp; Outlays in GDP'!C11, "0.00"),""), "")</f>
        <v/>
      </c>
      <c r="D5" t="str">
        <f>IFERROR(IF(ISNUMBER('Revenues &amp; Outlays in GDP'!H11),TEXT('Revenues &amp; Outlays in GDP'!H11, "0.00"),""), "")</f>
        <v>21.17</v>
      </c>
      <c r="E5" t="str">
        <f ca="1">IFERROR(IF(ISNUMBER('Revenues &amp; Outlays in GDP'!D11),TEXT('Revenues &amp; Outlays in GDP'!D11, "0.00"),""), "")</f>
        <v/>
      </c>
      <c r="F5">
        <f>IFERROR(IF(ISNUMBER('Revenues &amp; Outlays in GDP'!B11), 'Revenues &amp; Outlays in GDP'!J11, ""), "")</f>
        <v>1</v>
      </c>
    </row>
    <row r="6" spans="1:6">
      <c r="A6" t="str">
        <f>TEXT(IF('Revenues &amp; Outlays in GDP'!B12&lt;&gt;0,'Revenues &amp; Outlays in GDP'!B12, ""), "mm/dd/yyyy")</f>
        <v>01/01/1981</v>
      </c>
      <c r="B6" t="str">
        <f>IFERROR(IF(ISNUMBER('Revenues &amp; Outlays in GDP'!G12),TEXT('Revenues &amp; Outlays in GDP'!G12, "0.00"),""), "")</f>
        <v>19.13</v>
      </c>
      <c r="C6" t="str">
        <f ca="1">IFERROR(IF(ISNUMBER('Revenues &amp; Outlays in GDP'!C12),TEXT('Revenues &amp; Outlays in GDP'!C12, "0.00"),""), "")</f>
        <v/>
      </c>
      <c r="D6" t="str">
        <f>IFERROR(IF(ISNUMBER('Revenues &amp; Outlays in GDP'!H12),TEXT('Revenues &amp; Outlays in GDP'!H12, "0.00"),""), "")</f>
        <v>21.65</v>
      </c>
      <c r="E6" t="str">
        <f ca="1">IFERROR(IF(ISNUMBER('Revenues &amp; Outlays in GDP'!D12),TEXT('Revenues &amp; Outlays in GDP'!D12, "0.00"),""), "")</f>
        <v/>
      </c>
      <c r="F6">
        <f>IFERROR(IF(ISNUMBER('Revenues &amp; Outlays in GDP'!B12), 'Revenues &amp; Outlays in GDP'!J12, ""), "")</f>
        <v>1</v>
      </c>
    </row>
    <row r="7" spans="1:6">
      <c r="A7" t="str">
        <f>TEXT(IF('Revenues &amp; Outlays in GDP'!B13&lt;&gt;0,'Revenues &amp; Outlays in GDP'!B13, ""), "mm/dd/yyyy")</f>
        <v>01/01/1982</v>
      </c>
      <c r="B7" t="str">
        <f>IFERROR(IF(ISNUMBER('Revenues &amp; Outlays in GDP'!G13),TEXT('Revenues &amp; Outlays in GDP'!G13, "0.00"),""), "")</f>
        <v>18.65</v>
      </c>
      <c r="C7" t="str">
        <f ca="1">IFERROR(IF(ISNUMBER('Revenues &amp; Outlays in GDP'!C13),TEXT('Revenues &amp; Outlays in GDP'!C13, "0.00"),""), "")</f>
        <v/>
      </c>
      <c r="D7" t="str">
        <f>IFERROR(IF(ISNUMBER('Revenues &amp; Outlays in GDP'!H13),TEXT('Revenues &amp; Outlays in GDP'!H13, "0.00"),""), "")</f>
        <v>22.51</v>
      </c>
      <c r="E7" t="str">
        <f ca="1">IFERROR(IF(ISNUMBER('Revenues &amp; Outlays in GDP'!D13),TEXT('Revenues &amp; Outlays in GDP'!D13, "0.00"),""), "")</f>
        <v/>
      </c>
      <c r="F7">
        <f>IFERROR(IF(ISNUMBER('Revenues &amp; Outlays in GDP'!B13), 'Revenues &amp; Outlays in GDP'!J13, ""), "")</f>
        <v>1</v>
      </c>
    </row>
    <row r="8" spans="1:6">
      <c r="A8" t="str">
        <f>TEXT(IF('Revenues &amp; Outlays in GDP'!B14&lt;&gt;0,'Revenues &amp; Outlays in GDP'!B14, ""), "mm/dd/yyyy")</f>
        <v>01/01/1983</v>
      </c>
      <c r="B8" t="str">
        <f>IFERROR(IF(ISNUMBER('Revenues &amp; Outlays in GDP'!G14),TEXT('Revenues &amp; Outlays in GDP'!G14, "0.00"),""), "")</f>
        <v>16.98</v>
      </c>
      <c r="C8" t="str">
        <f ca="1">IFERROR(IF(ISNUMBER('Revenues &amp; Outlays in GDP'!C14),TEXT('Revenues &amp; Outlays in GDP'!C14, "0.00"),""), "")</f>
        <v/>
      </c>
      <c r="D8" t="str">
        <f>IFERROR(IF(ISNUMBER('Revenues &amp; Outlays in GDP'!H14),TEXT('Revenues &amp; Outlays in GDP'!H14, "0.00"),""), "")</f>
        <v>22.86</v>
      </c>
      <c r="E8" t="str">
        <f ca="1">IFERROR(IF(ISNUMBER('Revenues &amp; Outlays in GDP'!D14),TEXT('Revenues &amp; Outlays in GDP'!D14, "0.00"),""), "")</f>
        <v/>
      </c>
      <c r="F8">
        <f>IFERROR(IF(ISNUMBER('Revenues &amp; Outlays in GDP'!B14), 'Revenues &amp; Outlays in GDP'!J14, ""), "")</f>
        <v>0</v>
      </c>
    </row>
    <row r="9" spans="1:6">
      <c r="A9" t="str">
        <f>TEXT(IF('Revenues &amp; Outlays in GDP'!B15&lt;&gt;0,'Revenues &amp; Outlays in GDP'!B15, ""), "mm/dd/yyyy")</f>
        <v>01/01/1984</v>
      </c>
      <c r="B9" t="str">
        <f>IFERROR(IF(ISNUMBER('Revenues &amp; Outlays in GDP'!G15),TEXT('Revenues &amp; Outlays in GDP'!G15, "0.00"),""), "")</f>
        <v>16.88</v>
      </c>
      <c r="C9" t="str">
        <f ca="1">IFERROR(IF(ISNUMBER('Revenues &amp; Outlays in GDP'!C15),TEXT('Revenues &amp; Outlays in GDP'!C15, "0.00"),""), "")</f>
        <v/>
      </c>
      <c r="D9" t="str">
        <f>IFERROR(IF(ISNUMBER('Revenues &amp; Outlays in GDP'!H15),TEXT('Revenues &amp; Outlays in GDP'!H15, "0.00"),""), "")</f>
        <v>21.57</v>
      </c>
      <c r="E9" t="str">
        <f ca="1">IFERROR(IF(ISNUMBER('Revenues &amp; Outlays in GDP'!D15),TEXT('Revenues &amp; Outlays in GDP'!D15, "0.00"),""), "")</f>
        <v/>
      </c>
      <c r="F9">
        <f>IFERROR(IF(ISNUMBER('Revenues &amp; Outlays in GDP'!B15), 'Revenues &amp; Outlays in GDP'!J15, ""), "")</f>
        <v>0</v>
      </c>
    </row>
    <row r="10" spans="1:6">
      <c r="A10" t="str">
        <f>TEXT(IF('Revenues &amp; Outlays in GDP'!B16&lt;&gt;0,'Revenues &amp; Outlays in GDP'!B16, ""), "mm/dd/yyyy")</f>
        <v>01/01/1985</v>
      </c>
      <c r="B10" t="str">
        <f>IFERROR(IF(ISNUMBER('Revenues &amp; Outlays in GDP'!G16),TEXT('Revenues &amp; Outlays in GDP'!G16, "0.00"),""), "")</f>
        <v>17.21</v>
      </c>
      <c r="C10" t="str">
        <f ca="1">IFERROR(IF(ISNUMBER('Revenues &amp; Outlays in GDP'!C16),TEXT('Revenues &amp; Outlays in GDP'!C16, "0.00"),""), "")</f>
        <v/>
      </c>
      <c r="D10" t="str">
        <f>IFERROR(IF(ISNUMBER('Revenues &amp; Outlays in GDP'!H16),TEXT('Revenues &amp; Outlays in GDP'!H16, "0.00"),""), "")</f>
        <v>22.19</v>
      </c>
      <c r="E10" t="str">
        <f ca="1">IFERROR(IF(ISNUMBER('Revenues &amp; Outlays in GDP'!D16),TEXT('Revenues &amp; Outlays in GDP'!D16, "0.00"),""), "")</f>
        <v/>
      </c>
      <c r="F10">
        <f>IFERROR(IF(ISNUMBER('Revenues &amp; Outlays in GDP'!B16), 'Revenues &amp; Outlays in GDP'!J16, ""), "")</f>
        <v>0</v>
      </c>
    </row>
    <row r="11" spans="1:6">
      <c r="A11" t="str">
        <f>TEXT(IF('Revenues &amp; Outlays in GDP'!B17&lt;&gt;0,'Revenues &amp; Outlays in GDP'!B17, ""), "mm/dd/yyyy")</f>
        <v>01/01/1986</v>
      </c>
      <c r="B11" t="str">
        <f>IFERROR(IF(ISNUMBER('Revenues &amp; Outlays in GDP'!G17),TEXT('Revenues &amp; Outlays in GDP'!G17, "0.00"),""), "")</f>
        <v>16.99</v>
      </c>
      <c r="C11" t="str">
        <f ca="1">IFERROR(IF(ISNUMBER('Revenues &amp; Outlays in GDP'!C17),TEXT('Revenues &amp; Outlays in GDP'!C17, "0.00"),""), "")</f>
        <v/>
      </c>
      <c r="D11" t="str">
        <f>IFERROR(IF(ISNUMBER('Revenues &amp; Outlays in GDP'!H17),TEXT('Revenues &amp; Outlays in GDP'!H17, "0.00"),""), "")</f>
        <v>21.88</v>
      </c>
      <c r="E11" t="str">
        <f ca="1">IFERROR(IF(ISNUMBER('Revenues &amp; Outlays in GDP'!D17),TEXT('Revenues &amp; Outlays in GDP'!D17, "0.00"),""), "")</f>
        <v/>
      </c>
      <c r="F11">
        <f>IFERROR(IF(ISNUMBER('Revenues &amp; Outlays in GDP'!B17), 'Revenues &amp; Outlays in GDP'!J17, ""), "")</f>
        <v>0</v>
      </c>
    </row>
    <row r="12" spans="1:6">
      <c r="A12" t="str">
        <f>TEXT(IF('Revenues &amp; Outlays in GDP'!B18&lt;&gt;0,'Revenues &amp; Outlays in GDP'!B18, ""), "mm/dd/yyyy")</f>
        <v>01/01/1987</v>
      </c>
      <c r="B12" t="str">
        <f>IFERROR(IF(ISNUMBER('Revenues &amp; Outlays in GDP'!G18),TEXT('Revenues &amp; Outlays in GDP'!G18, "0.00"),""), "")</f>
        <v>17.92</v>
      </c>
      <c r="C12" t="str">
        <f ca="1">IFERROR(IF(ISNUMBER('Revenues &amp; Outlays in GDP'!C18),TEXT('Revenues &amp; Outlays in GDP'!C18, "0.00"),""), "")</f>
        <v/>
      </c>
      <c r="D12" t="str">
        <f>IFERROR(IF(ISNUMBER('Revenues &amp; Outlays in GDP'!H18),TEXT('Revenues &amp; Outlays in GDP'!H18, "0.00"),""), "")</f>
        <v>21.06</v>
      </c>
      <c r="E12" t="str">
        <f ca="1">IFERROR(IF(ISNUMBER('Revenues &amp; Outlays in GDP'!D18),TEXT('Revenues &amp; Outlays in GDP'!D18, "0.00"),""), "")</f>
        <v/>
      </c>
      <c r="F12">
        <f>IFERROR(IF(ISNUMBER('Revenues &amp; Outlays in GDP'!B18), 'Revenues &amp; Outlays in GDP'!J18, ""), "")</f>
        <v>0</v>
      </c>
    </row>
    <row r="13" spans="1:6">
      <c r="A13" t="str">
        <f>TEXT(IF('Revenues &amp; Outlays in GDP'!B19&lt;&gt;0,'Revenues &amp; Outlays in GDP'!B19, ""), "mm/dd/yyyy")</f>
        <v>01/01/1988</v>
      </c>
      <c r="B13" t="str">
        <f>IFERROR(IF(ISNUMBER('Revenues &amp; Outlays in GDP'!G19),TEXT('Revenues &amp; Outlays in GDP'!G19, "0.00"),""), "")</f>
        <v>17.69</v>
      </c>
      <c r="C13" t="str">
        <f ca="1">IFERROR(IF(ISNUMBER('Revenues &amp; Outlays in GDP'!C19),TEXT('Revenues &amp; Outlays in GDP'!C19, "0.00"),""), "")</f>
        <v/>
      </c>
      <c r="D13" t="str">
        <f>IFERROR(IF(ISNUMBER('Revenues &amp; Outlays in GDP'!H19),TEXT('Revenues &amp; Outlays in GDP'!H19, "0.00"),""), "")</f>
        <v>20.71</v>
      </c>
      <c r="E13" t="str">
        <f ca="1">IFERROR(IF(ISNUMBER('Revenues &amp; Outlays in GDP'!D19),TEXT('Revenues &amp; Outlays in GDP'!D19, "0.00"),""), "")</f>
        <v/>
      </c>
      <c r="F13">
        <f>IFERROR(IF(ISNUMBER('Revenues &amp; Outlays in GDP'!B19), 'Revenues &amp; Outlays in GDP'!J19, ""), "")</f>
        <v>0</v>
      </c>
    </row>
    <row r="14" spans="1:6">
      <c r="A14" t="str">
        <f>TEXT(IF('Revenues &amp; Outlays in GDP'!B20&lt;&gt;0,'Revenues &amp; Outlays in GDP'!B20, ""), "mm/dd/yyyy")</f>
        <v>01/01/1989</v>
      </c>
      <c r="B14" t="str">
        <f>IFERROR(IF(ISNUMBER('Revenues &amp; Outlays in GDP'!G20),TEXT('Revenues &amp; Outlays in GDP'!G20, "0.00"),""), "")</f>
        <v>17.84</v>
      </c>
      <c r="C14" t="str">
        <f ca="1">IFERROR(IF(ISNUMBER('Revenues &amp; Outlays in GDP'!C20),TEXT('Revenues &amp; Outlays in GDP'!C20, "0.00"),""), "")</f>
        <v/>
      </c>
      <c r="D14" t="str">
        <f>IFERROR(IF(ISNUMBER('Revenues &amp; Outlays in GDP'!H20),TEXT('Revenues &amp; Outlays in GDP'!H20, "0.00"),""), "")</f>
        <v>20.59</v>
      </c>
      <c r="E14" t="str">
        <f ca="1">IFERROR(IF(ISNUMBER('Revenues &amp; Outlays in GDP'!D20),TEXT('Revenues &amp; Outlays in GDP'!D20, "0.00"),""), "")</f>
        <v/>
      </c>
      <c r="F14">
        <f>IFERROR(IF(ISNUMBER('Revenues &amp; Outlays in GDP'!B20), 'Revenues &amp; Outlays in GDP'!J20, ""), "")</f>
        <v>0</v>
      </c>
    </row>
    <row r="15" spans="1:6">
      <c r="A15" t="str">
        <f>TEXT(IF('Revenues &amp; Outlays in GDP'!B21&lt;&gt;0,'Revenues &amp; Outlays in GDP'!B21, ""), "mm/dd/yyyy")</f>
        <v>01/01/1990</v>
      </c>
      <c r="B15" t="str">
        <f>IFERROR(IF(ISNUMBER('Revenues &amp; Outlays in GDP'!G21),TEXT('Revenues &amp; Outlays in GDP'!G21, "0.00"),""), "")</f>
        <v>17.50</v>
      </c>
      <c r="C15" t="str">
        <f ca="1">IFERROR(IF(ISNUMBER('Revenues &amp; Outlays in GDP'!C21),TEXT('Revenues &amp; Outlays in GDP'!C21, "0.00"),""), "")</f>
        <v/>
      </c>
      <c r="D15" t="str">
        <f>IFERROR(IF(ISNUMBER('Revenues &amp; Outlays in GDP'!H21),TEXT('Revenues &amp; Outlays in GDP'!H21, "0.00"),""), "")</f>
        <v>21.24</v>
      </c>
      <c r="E15" t="str">
        <f ca="1">IFERROR(IF(ISNUMBER('Revenues &amp; Outlays in GDP'!D21),TEXT('Revenues &amp; Outlays in GDP'!D21, "0.00"),""), "")</f>
        <v/>
      </c>
      <c r="F15">
        <f>IFERROR(IF(ISNUMBER('Revenues &amp; Outlays in GDP'!B21), 'Revenues &amp; Outlays in GDP'!J21, ""), "")</f>
        <v>1</v>
      </c>
    </row>
    <row r="16" spans="1:6">
      <c r="A16" t="str">
        <f>TEXT(IF('Revenues &amp; Outlays in GDP'!B22&lt;&gt;0,'Revenues &amp; Outlays in GDP'!B22, ""), "mm/dd/yyyy")</f>
        <v>01/01/1991</v>
      </c>
      <c r="B16" t="str">
        <f>IFERROR(IF(ISNUMBER('Revenues &amp; Outlays in GDP'!G22),TEXT('Revenues &amp; Outlays in GDP'!G22, "0.00"),""), "")</f>
        <v>17.31</v>
      </c>
      <c r="C16" t="str">
        <f ca="1">IFERROR(IF(ISNUMBER('Revenues &amp; Outlays in GDP'!C22),TEXT('Revenues &amp; Outlays in GDP'!C22, "0.00"),""), "")</f>
        <v/>
      </c>
      <c r="D16" t="str">
        <f>IFERROR(IF(ISNUMBER('Revenues &amp; Outlays in GDP'!H22),TEXT('Revenues &amp; Outlays in GDP'!H22, "0.00"),""), "")</f>
        <v>21.73</v>
      </c>
      <c r="E16" t="str">
        <f ca="1">IFERROR(IF(ISNUMBER('Revenues &amp; Outlays in GDP'!D22),TEXT('Revenues &amp; Outlays in GDP'!D22, "0.00"),""), "")</f>
        <v/>
      </c>
      <c r="F16">
        <f>IFERROR(IF(ISNUMBER('Revenues &amp; Outlays in GDP'!B22), 'Revenues &amp; Outlays in GDP'!J22, ""), "")</f>
        <v>1</v>
      </c>
    </row>
    <row r="17" spans="1:6">
      <c r="A17" t="str">
        <f>TEXT(IF('Revenues &amp; Outlays in GDP'!B23&lt;&gt;0,'Revenues &amp; Outlays in GDP'!B23, ""), "mm/dd/yyyy")</f>
        <v>01/01/1992</v>
      </c>
      <c r="B17" t="str">
        <f>IFERROR(IF(ISNUMBER('Revenues &amp; Outlays in GDP'!G23),TEXT('Revenues &amp; Outlays in GDP'!G23, "0.00"),""), "")</f>
        <v>17.01</v>
      </c>
      <c r="C17" t="str">
        <f ca="1">IFERROR(IF(ISNUMBER('Revenues &amp; Outlays in GDP'!C23),TEXT('Revenues &amp; Outlays in GDP'!C23, "0.00"),""), "")</f>
        <v/>
      </c>
      <c r="D17" t="str">
        <f>IFERROR(IF(ISNUMBER('Revenues &amp; Outlays in GDP'!H23),TEXT('Revenues &amp; Outlays in GDP'!H23, "0.00"),""), "")</f>
        <v>21.53</v>
      </c>
      <c r="E17" t="str">
        <f ca="1">IFERROR(IF(ISNUMBER('Revenues &amp; Outlays in GDP'!D23),TEXT('Revenues &amp; Outlays in GDP'!D23, "0.00"),""), "")</f>
        <v/>
      </c>
      <c r="F17">
        <f>IFERROR(IF(ISNUMBER('Revenues &amp; Outlays in GDP'!B23), 'Revenues &amp; Outlays in GDP'!J23, ""), "")</f>
        <v>0</v>
      </c>
    </row>
    <row r="18" spans="1:6">
      <c r="A18" t="str">
        <f>TEXT(IF('Revenues &amp; Outlays in GDP'!B24&lt;&gt;0,'Revenues &amp; Outlays in GDP'!B24, ""), "mm/dd/yyyy")</f>
        <v>01/01/1993</v>
      </c>
      <c r="B18" t="str">
        <f>IFERROR(IF(ISNUMBER('Revenues &amp; Outlays in GDP'!G24),TEXT('Revenues &amp; Outlays in GDP'!G24, "0.00"),""), "")</f>
        <v>17.04</v>
      </c>
      <c r="C18" t="str">
        <f ca="1">IFERROR(IF(ISNUMBER('Revenues &amp; Outlays in GDP'!C24),TEXT('Revenues &amp; Outlays in GDP'!C24, "0.00"),""), "")</f>
        <v/>
      </c>
      <c r="D18" t="str">
        <f>IFERROR(IF(ISNUMBER('Revenues &amp; Outlays in GDP'!H24),TEXT('Revenues &amp; Outlays in GDP'!H24, "0.00"),""), "")</f>
        <v>20.80</v>
      </c>
      <c r="E18" t="str">
        <f ca="1">IFERROR(IF(ISNUMBER('Revenues &amp; Outlays in GDP'!D24),TEXT('Revenues &amp; Outlays in GDP'!D24, "0.00"),""), "")</f>
        <v/>
      </c>
      <c r="F18">
        <f>IFERROR(IF(ISNUMBER('Revenues &amp; Outlays in GDP'!B24), 'Revenues &amp; Outlays in GDP'!J24, ""), "")</f>
        <v>0</v>
      </c>
    </row>
    <row r="19" spans="1:6">
      <c r="A19" t="str">
        <f>TEXT(IF('Revenues &amp; Outlays in GDP'!B25&lt;&gt;0,'Revenues &amp; Outlays in GDP'!B25, ""), "mm/dd/yyyy")</f>
        <v>01/01/1994</v>
      </c>
      <c r="B19" t="str">
        <f>IFERROR(IF(ISNUMBER('Revenues &amp; Outlays in GDP'!G25),TEXT('Revenues &amp; Outlays in GDP'!G25, "0.00"),""), "")</f>
        <v>17.54</v>
      </c>
      <c r="C19" t="str">
        <f ca="1">IFERROR(IF(ISNUMBER('Revenues &amp; Outlays in GDP'!C25),TEXT('Revenues &amp; Outlays in GDP'!C25, "0.00"),""), "")</f>
        <v/>
      </c>
      <c r="D19" t="str">
        <f>IFERROR(IF(ISNUMBER('Revenues &amp; Outlays in GDP'!H25),TEXT('Revenues &amp; Outlays in GDP'!H25, "0.00"),""), "")</f>
        <v>20.37</v>
      </c>
      <c r="E19" t="str">
        <f ca="1">IFERROR(IF(ISNUMBER('Revenues &amp; Outlays in GDP'!D25),TEXT('Revenues &amp; Outlays in GDP'!D25, "0.00"),""), "")</f>
        <v/>
      </c>
      <c r="F19">
        <f>IFERROR(IF(ISNUMBER('Revenues &amp; Outlays in GDP'!B25), 'Revenues &amp; Outlays in GDP'!J25, ""), "")</f>
        <v>0</v>
      </c>
    </row>
    <row r="20" spans="1:6">
      <c r="A20" t="str">
        <f>TEXT(IF('Revenues &amp; Outlays in GDP'!B26&lt;&gt;0,'Revenues &amp; Outlays in GDP'!B26, ""), "mm/dd/yyyy")</f>
        <v>01/01/1995</v>
      </c>
      <c r="B20" t="str">
        <f>IFERROR(IF(ISNUMBER('Revenues &amp; Outlays in GDP'!G26),TEXT('Revenues &amp; Outlays in GDP'!G26, "0.00"),""), "")</f>
        <v>17.88</v>
      </c>
      <c r="C20" t="str">
        <f ca="1">IFERROR(IF(ISNUMBER('Revenues &amp; Outlays in GDP'!C26),TEXT('Revenues &amp; Outlays in GDP'!C26, "0.00"),""), "")</f>
        <v/>
      </c>
      <c r="D20" t="str">
        <f>IFERROR(IF(ISNUMBER('Revenues &amp; Outlays in GDP'!H26),TEXT('Revenues &amp; Outlays in GDP'!H26, "0.00"),""), "")</f>
        <v>20.05</v>
      </c>
      <c r="E20" t="str">
        <f ca="1">IFERROR(IF(ISNUMBER('Revenues &amp; Outlays in GDP'!D26),TEXT('Revenues &amp; Outlays in GDP'!D26, "0.00"),""), "")</f>
        <v/>
      </c>
      <c r="F20">
        <f>IFERROR(IF(ISNUMBER('Revenues &amp; Outlays in GDP'!B26), 'Revenues &amp; Outlays in GDP'!J26, ""), "")</f>
        <v>0</v>
      </c>
    </row>
    <row r="21" spans="1:6">
      <c r="A21" t="str">
        <f>TEXT(IF('Revenues &amp; Outlays in GDP'!B27&lt;&gt;0,'Revenues &amp; Outlays in GDP'!B27, ""), "mm/dd/yyyy")</f>
        <v>01/01/1996</v>
      </c>
      <c r="B21" t="str">
        <f>IFERROR(IF(ISNUMBER('Revenues &amp; Outlays in GDP'!G27),TEXT('Revenues &amp; Outlays in GDP'!G27, "0.00"),""), "")</f>
        <v>18.27</v>
      </c>
      <c r="C21" t="str">
        <f ca="1">IFERROR(IF(ISNUMBER('Revenues &amp; Outlays in GDP'!C27),TEXT('Revenues &amp; Outlays in GDP'!C27, "0.00"),""), "")</f>
        <v/>
      </c>
      <c r="D21" t="str">
        <f>IFERROR(IF(ISNUMBER('Revenues &amp; Outlays in GDP'!H27),TEXT('Revenues &amp; Outlays in GDP'!H27, "0.00"),""), "")</f>
        <v>19.63</v>
      </c>
      <c r="E21" t="str">
        <f ca="1">IFERROR(IF(ISNUMBER('Revenues &amp; Outlays in GDP'!D27),TEXT('Revenues &amp; Outlays in GDP'!D27, "0.00"),""), "")</f>
        <v/>
      </c>
      <c r="F21">
        <f>IFERROR(IF(ISNUMBER('Revenues &amp; Outlays in GDP'!B27), 'Revenues &amp; Outlays in GDP'!J27, ""), "")</f>
        <v>0</v>
      </c>
    </row>
    <row r="22" spans="1:6">
      <c r="A22" t="str">
        <f>TEXT(IF('Revenues &amp; Outlays in GDP'!B28&lt;&gt;0,'Revenues &amp; Outlays in GDP'!B28, ""), "mm/dd/yyyy")</f>
        <v>01/01/1997</v>
      </c>
      <c r="B22" t="str">
        <f>IFERROR(IF(ISNUMBER('Revenues &amp; Outlays in GDP'!G28),TEXT('Revenues &amp; Outlays in GDP'!G28, "0.00"),""), "")</f>
        <v>18.69</v>
      </c>
      <c r="C22" t="str">
        <f ca="1">IFERROR(IF(ISNUMBER('Revenues &amp; Outlays in GDP'!C28),TEXT('Revenues &amp; Outlays in GDP'!C28, "0.00"),""), "")</f>
        <v/>
      </c>
      <c r="D22" t="str">
        <f>IFERROR(IF(ISNUMBER('Revenues &amp; Outlays in GDP'!H28),TEXT('Revenues &amp; Outlays in GDP'!H28, "0.00"),""), "")</f>
        <v>18.95</v>
      </c>
      <c r="E22" t="str">
        <f ca="1">IFERROR(IF(ISNUMBER('Revenues &amp; Outlays in GDP'!D28),TEXT('Revenues &amp; Outlays in GDP'!D28, "0.00"),""), "")</f>
        <v/>
      </c>
      <c r="F22">
        <f>IFERROR(IF(ISNUMBER('Revenues &amp; Outlays in GDP'!B28), 'Revenues &amp; Outlays in GDP'!J28, ""), "")</f>
        <v>0</v>
      </c>
    </row>
    <row r="23" spans="1:6">
      <c r="A23" t="str">
        <f>TEXT(IF('Revenues &amp; Outlays in GDP'!B29&lt;&gt;0,'Revenues &amp; Outlays in GDP'!B29, ""), "mm/dd/yyyy")</f>
        <v>01/01/1998</v>
      </c>
      <c r="B23" t="str">
        <f>IFERROR(IF(ISNUMBER('Revenues &amp; Outlays in GDP'!G29),TEXT('Revenues &amp; Outlays in GDP'!G29, "0.00"),""), "")</f>
        <v>19.28</v>
      </c>
      <c r="C23" t="str">
        <f ca="1">IFERROR(IF(ISNUMBER('Revenues &amp; Outlays in GDP'!C29),TEXT('Revenues &amp; Outlays in GDP'!C29, "0.00"),""), "")</f>
        <v/>
      </c>
      <c r="D23" t="str">
        <f>IFERROR(IF(ISNUMBER('Revenues &amp; Outlays in GDP'!H29),TEXT('Revenues &amp; Outlays in GDP'!H29, "0.00"),""), "")</f>
        <v>18.50</v>
      </c>
      <c r="E23" t="str">
        <f ca="1">IFERROR(IF(ISNUMBER('Revenues &amp; Outlays in GDP'!D29),TEXT('Revenues &amp; Outlays in GDP'!D29, "0.00"),""), "")</f>
        <v/>
      </c>
      <c r="F23">
        <f>IFERROR(IF(ISNUMBER('Revenues &amp; Outlays in GDP'!B29), 'Revenues &amp; Outlays in GDP'!J29, ""), "")</f>
        <v>0</v>
      </c>
    </row>
    <row r="24" spans="1:6">
      <c r="A24" t="str">
        <f>TEXT(IF('Revenues &amp; Outlays in GDP'!B30&lt;&gt;0,'Revenues &amp; Outlays in GDP'!B30, ""), "mm/dd/yyyy")</f>
        <v>01/01/1999</v>
      </c>
      <c r="B24" t="str">
        <f>IFERROR(IF(ISNUMBER('Revenues &amp; Outlays in GDP'!G30),TEXT('Revenues &amp; Outlays in GDP'!G30, "0.00"),""), "")</f>
        <v>19.28</v>
      </c>
      <c r="C24" t="str">
        <f ca="1">IFERROR(IF(ISNUMBER('Revenues &amp; Outlays in GDP'!C30),TEXT('Revenues &amp; Outlays in GDP'!C30, "0.00"),""), "")</f>
        <v/>
      </c>
      <c r="D24" t="str">
        <f>IFERROR(IF(ISNUMBER('Revenues &amp; Outlays in GDP'!H30),TEXT('Revenues &amp; Outlays in GDP'!H30, "0.00"),""), "")</f>
        <v>17.95</v>
      </c>
      <c r="E24" t="str">
        <f ca="1">IFERROR(IF(ISNUMBER('Revenues &amp; Outlays in GDP'!D30),TEXT('Revenues &amp; Outlays in GDP'!D30, "0.00"),""), "")</f>
        <v/>
      </c>
      <c r="F24">
        <f>IFERROR(IF(ISNUMBER('Revenues &amp; Outlays in GDP'!B30), 'Revenues &amp; Outlays in GDP'!J30, ""), "")</f>
        <v>0</v>
      </c>
    </row>
    <row r="25" spans="1:6">
      <c r="A25" t="str">
        <f>TEXT(IF('Revenues &amp; Outlays in GDP'!B31&lt;&gt;0,'Revenues &amp; Outlays in GDP'!B31, ""), "mm/dd/yyyy")</f>
        <v>01/01/2000</v>
      </c>
      <c r="B25" t="str">
        <f>IFERROR(IF(ISNUMBER('Revenues &amp; Outlays in GDP'!G31),TEXT('Revenues &amp; Outlays in GDP'!G31, "0.00"),""), "")</f>
        <v>20.02</v>
      </c>
      <c r="C25" t="str">
        <f ca="1">IFERROR(IF(ISNUMBER('Revenues &amp; Outlays in GDP'!C31),TEXT('Revenues &amp; Outlays in GDP'!C31, "0.00"),""), "")</f>
        <v/>
      </c>
      <c r="D25" t="str">
        <f>IFERROR(IF(ISNUMBER('Revenues &amp; Outlays in GDP'!H31),TEXT('Revenues &amp; Outlays in GDP'!H31, "0.00"),""), "")</f>
        <v>17.68</v>
      </c>
      <c r="E25" t="str">
        <f ca="1">IFERROR(IF(ISNUMBER('Revenues &amp; Outlays in GDP'!D31),TEXT('Revenues &amp; Outlays in GDP'!D31, "0.00"),""), "")</f>
        <v/>
      </c>
      <c r="F25">
        <f>IFERROR(IF(ISNUMBER('Revenues &amp; Outlays in GDP'!B31), 'Revenues &amp; Outlays in GDP'!J31, ""), "")</f>
        <v>0</v>
      </c>
    </row>
    <row r="26" spans="1:6">
      <c r="A26" t="str">
        <f>TEXT(IF('Revenues &amp; Outlays in GDP'!B32&lt;&gt;0,'Revenues &amp; Outlays in GDP'!B32, ""), "mm/dd/yyyy")</f>
        <v>01/01/2001</v>
      </c>
      <c r="B26" t="str">
        <f>IFERROR(IF(ISNUMBER('Revenues &amp; Outlays in GDP'!G32),TEXT('Revenues &amp; Outlays in GDP'!G32, "0.00"),""), "")</f>
        <v>18.92</v>
      </c>
      <c r="C26" t="str">
        <f ca="1">IFERROR(IF(ISNUMBER('Revenues &amp; Outlays in GDP'!C32),TEXT('Revenues &amp; Outlays in GDP'!C32, "0.00"),""), "")</f>
        <v/>
      </c>
      <c r="D26" t="str">
        <f>IFERROR(IF(ISNUMBER('Revenues &amp; Outlays in GDP'!H32),TEXT('Revenues &amp; Outlays in GDP'!H32, "0.00"),""), "")</f>
        <v>17.70</v>
      </c>
      <c r="E26" t="str">
        <f ca="1">IFERROR(IF(ISNUMBER('Revenues &amp; Outlays in GDP'!D32),TEXT('Revenues &amp; Outlays in GDP'!D32, "0.00"),""), "")</f>
        <v/>
      </c>
      <c r="F26">
        <f>IFERROR(IF(ISNUMBER('Revenues &amp; Outlays in GDP'!B32), 'Revenues &amp; Outlays in GDP'!J32, ""), "")</f>
        <v>1</v>
      </c>
    </row>
    <row r="27" spans="1:6">
      <c r="A27" t="str">
        <f>TEXT(IF('Revenues &amp; Outlays in GDP'!B33&lt;&gt;0,'Revenues &amp; Outlays in GDP'!B33, ""), "mm/dd/yyyy")</f>
        <v>01/01/2002</v>
      </c>
      <c r="B27" t="str">
        <f>IFERROR(IF(ISNUMBER('Revenues &amp; Outlays in GDP'!G33),TEXT('Revenues &amp; Outlays in GDP'!G33, "0.00"),""), "")</f>
        <v>17.11</v>
      </c>
      <c r="C27" t="str">
        <f ca="1">IFERROR(IF(ISNUMBER('Revenues &amp; Outlays in GDP'!C33),TEXT('Revenues &amp; Outlays in GDP'!C33, "0.00"),""), "")</f>
        <v/>
      </c>
      <c r="D27" t="str">
        <f>IFERROR(IF(ISNUMBER('Revenues &amp; Outlays in GDP'!H33),TEXT('Revenues &amp; Outlays in GDP'!H33, "0.00"),""), "")</f>
        <v>18.56</v>
      </c>
      <c r="E27" t="str">
        <f ca="1">IFERROR(IF(ISNUMBER('Revenues &amp; Outlays in GDP'!D33),TEXT('Revenues &amp; Outlays in GDP'!D33, "0.00"),""), "")</f>
        <v/>
      </c>
      <c r="F27">
        <f>IFERROR(IF(ISNUMBER('Revenues &amp; Outlays in GDP'!B33), 'Revenues &amp; Outlays in GDP'!J33, ""), "")</f>
        <v>0</v>
      </c>
    </row>
    <row r="28" spans="1:6">
      <c r="A28" t="str">
        <f>TEXT(IF('Revenues &amp; Outlays in GDP'!B34&lt;&gt;0,'Revenues &amp; Outlays in GDP'!B34, ""), "mm/dd/yyyy")</f>
        <v>01/01/2003</v>
      </c>
      <c r="B28" t="str">
        <f>IFERROR(IF(ISNUMBER('Revenues &amp; Outlays in GDP'!G34),TEXT('Revenues &amp; Outlays in GDP'!G34, "0.00"),""), "")</f>
        <v>15.80</v>
      </c>
      <c r="C28" t="str">
        <f ca="1">IFERROR(IF(ISNUMBER('Revenues &amp; Outlays in GDP'!C34),TEXT('Revenues &amp; Outlays in GDP'!C34, "0.00"),""), "")</f>
        <v/>
      </c>
      <c r="D28" t="str">
        <f>IFERROR(IF(ISNUMBER('Revenues &amp; Outlays in GDP'!H34),TEXT('Revenues &amp; Outlays in GDP'!H34, "0.00"),""), "")</f>
        <v>19.14</v>
      </c>
      <c r="E28" t="str">
        <f ca="1">IFERROR(IF(ISNUMBER('Revenues &amp; Outlays in GDP'!D34),TEXT('Revenues &amp; Outlays in GDP'!D34, "0.00"),""), "")</f>
        <v/>
      </c>
      <c r="F28">
        <f>IFERROR(IF(ISNUMBER('Revenues &amp; Outlays in GDP'!B34), 'Revenues &amp; Outlays in GDP'!J34, ""), "")</f>
        <v>0</v>
      </c>
    </row>
    <row r="29" spans="1:6">
      <c r="A29" t="str">
        <f>TEXT(IF('Revenues &amp; Outlays in GDP'!B35&lt;&gt;0,'Revenues &amp; Outlays in GDP'!B35, ""), "mm/dd/yyyy")</f>
        <v>01/01/2004</v>
      </c>
      <c r="B29" t="str">
        <f>IFERROR(IF(ISNUMBER('Revenues &amp; Outlays in GDP'!G35),TEXT('Revenues &amp; Outlays in GDP'!G35, "0.00"),""), "")</f>
        <v>15.63</v>
      </c>
      <c r="C29" t="str">
        <f ca="1">IFERROR(IF(ISNUMBER('Revenues &amp; Outlays in GDP'!C35),TEXT('Revenues &amp; Outlays in GDP'!C35, "0.00"),""), "")</f>
        <v/>
      </c>
      <c r="D29" t="str">
        <f>IFERROR(IF(ISNUMBER('Revenues &amp; Outlays in GDP'!H35),TEXT('Revenues &amp; Outlays in GDP'!H35, "0.00"),""), "")</f>
        <v>19.07</v>
      </c>
      <c r="E29" t="str">
        <f ca="1">IFERROR(IF(ISNUMBER('Revenues &amp; Outlays in GDP'!D35),TEXT('Revenues &amp; Outlays in GDP'!D35, "0.00"),""), "")</f>
        <v/>
      </c>
      <c r="F29">
        <f>IFERROR(IF(ISNUMBER('Revenues &amp; Outlays in GDP'!B35), 'Revenues &amp; Outlays in GDP'!J35, ""), "")</f>
        <v>0</v>
      </c>
    </row>
    <row r="30" spans="1:6">
      <c r="A30" t="str">
        <f>TEXT(IF('Revenues &amp; Outlays in GDP'!B36&lt;&gt;0,'Revenues &amp; Outlays in GDP'!B36, ""), "mm/dd/yyyy")</f>
        <v>01/01/2005</v>
      </c>
      <c r="B30" t="str">
        <f>IFERROR(IF(ISNUMBER('Revenues &amp; Outlays in GDP'!G36),TEXT('Revenues &amp; Outlays in GDP'!G36, "0.00"),""), "")</f>
        <v>16.78</v>
      </c>
      <c r="C30" t="str">
        <f ca="1">IFERROR(IF(ISNUMBER('Revenues &amp; Outlays in GDP'!C36),TEXT('Revenues &amp; Outlays in GDP'!C36, "0.00"),""), "")</f>
        <v/>
      </c>
      <c r="D30" t="str">
        <f>IFERROR(IF(ISNUMBER('Revenues &amp; Outlays in GDP'!H36),TEXT('Revenues &amp; Outlays in GDP'!H36, "0.00"),""), "")</f>
        <v>19.26</v>
      </c>
      <c r="E30" t="str">
        <f ca="1">IFERROR(IF(ISNUMBER('Revenues &amp; Outlays in GDP'!D36),TEXT('Revenues &amp; Outlays in GDP'!D36, "0.00"),""), "")</f>
        <v/>
      </c>
      <c r="F30">
        <f>IFERROR(IF(ISNUMBER('Revenues &amp; Outlays in GDP'!B36), 'Revenues &amp; Outlays in GDP'!J36, ""), "")</f>
        <v>0</v>
      </c>
    </row>
    <row r="31" spans="1:6">
      <c r="A31" t="str">
        <f>TEXT(IF('Revenues &amp; Outlays in GDP'!B37&lt;&gt;0,'Revenues &amp; Outlays in GDP'!B37, ""), "mm/dd/yyyy")</f>
        <v>01/01/2006</v>
      </c>
      <c r="B31" t="str">
        <f>IFERROR(IF(ISNUMBER('Revenues &amp; Outlays in GDP'!G37),TEXT('Revenues &amp; Outlays in GDP'!G37, "0.00"),""), "")</f>
        <v>17.65</v>
      </c>
      <c r="C31" t="str">
        <f ca="1">IFERROR(IF(ISNUMBER('Revenues &amp; Outlays in GDP'!C37),TEXT('Revenues &amp; Outlays in GDP'!C37, "0.00"),""), "")</f>
        <v/>
      </c>
      <c r="D31" t="str">
        <f>IFERROR(IF(ISNUMBER('Revenues &amp; Outlays in GDP'!H37),TEXT('Revenues &amp; Outlays in GDP'!H37, "0.00"),""), "")</f>
        <v>19.47</v>
      </c>
      <c r="E31" t="str">
        <f ca="1">IFERROR(IF(ISNUMBER('Revenues &amp; Outlays in GDP'!D37),TEXT('Revenues &amp; Outlays in GDP'!D37, "0.00"),""), "")</f>
        <v/>
      </c>
      <c r="F31">
        <f>IFERROR(IF(ISNUMBER('Revenues &amp; Outlays in GDP'!B37), 'Revenues &amp; Outlays in GDP'!J37, ""), "")</f>
        <v>0</v>
      </c>
    </row>
    <row r="32" spans="1:6">
      <c r="A32" t="str">
        <f>TEXT(IF('Revenues &amp; Outlays in GDP'!B38&lt;&gt;0,'Revenues &amp; Outlays in GDP'!B38, ""), "mm/dd/yyyy")</f>
        <v>01/01/2007</v>
      </c>
      <c r="B32" t="str">
        <f>IFERROR(IF(ISNUMBER('Revenues &amp; Outlays in GDP'!G38),TEXT('Revenues &amp; Outlays in GDP'!G38, "0.00"),""), "")</f>
        <v>17.97</v>
      </c>
      <c r="C32" t="str">
        <f ca="1">IFERROR(IF(ISNUMBER('Revenues &amp; Outlays in GDP'!C38),TEXT('Revenues &amp; Outlays in GDP'!C38, "0.00"),""), "")</f>
        <v/>
      </c>
      <c r="D32" t="str">
        <f>IFERROR(IF(ISNUMBER('Revenues &amp; Outlays in GDP'!H38),TEXT('Revenues &amp; Outlays in GDP'!H38, "0.00"),""), "")</f>
        <v>19.09</v>
      </c>
      <c r="E32" t="str">
        <f ca="1">IFERROR(IF(ISNUMBER('Revenues &amp; Outlays in GDP'!D38),TEXT('Revenues &amp; Outlays in GDP'!D38, "0.00"),""), "")</f>
        <v/>
      </c>
      <c r="F32">
        <f>IFERROR(IF(ISNUMBER('Revenues &amp; Outlays in GDP'!B38), 'Revenues &amp; Outlays in GDP'!J38, ""), "")</f>
        <v>0</v>
      </c>
    </row>
    <row r="33" spans="1:6">
      <c r="A33" t="str">
        <f>TEXT(IF('Revenues &amp; Outlays in GDP'!B39&lt;&gt;0,'Revenues &amp; Outlays in GDP'!B39, ""), "mm/dd/yyyy")</f>
        <v>01/01/2008</v>
      </c>
      <c r="B33" t="str">
        <f>IFERROR(IF(ISNUMBER('Revenues &amp; Outlays in GDP'!G39),TEXT('Revenues &amp; Outlays in GDP'!G39, "0.00"),""), "")</f>
        <v>17.12</v>
      </c>
      <c r="C33" t="str">
        <f ca="1">IFERROR(IF(ISNUMBER('Revenues &amp; Outlays in GDP'!C39),TEXT('Revenues &amp; Outlays in GDP'!C39, "0.00"),""), "")</f>
        <v/>
      </c>
      <c r="D33" t="str">
        <f>IFERROR(IF(ISNUMBER('Revenues &amp; Outlays in GDP'!H39),TEXT('Revenues &amp; Outlays in GDP'!H39, "0.00"),""), "")</f>
        <v>20.23</v>
      </c>
      <c r="E33" t="str">
        <f ca="1">IFERROR(IF(ISNUMBER('Revenues &amp; Outlays in GDP'!D39),TEXT('Revenues &amp; Outlays in GDP'!D39, "0.00"),""), "")</f>
        <v/>
      </c>
      <c r="F33">
        <f>IFERROR(IF(ISNUMBER('Revenues &amp; Outlays in GDP'!B39), 'Revenues &amp; Outlays in GDP'!J39, ""), "")</f>
        <v>1</v>
      </c>
    </row>
    <row r="34" spans="1:6">
      <c r="A34" t="str">
        <f>TEXT(IF('Revenues &amp; Outlays in GDP'!B40&lt;&gt;0,'Revenues &amp; Outlays in GDP'!B40, ""), "mm/dd/yyyy")</f>
        <v>01/01/2009</v>
      </c>
      <c r="B34" t="str">
        <f>IFERROR(IF(ISNUMBER('Revenues &amp; Outlays in GDP'!G40),TEXT('Revenues &amp; Outlays in GDP'!G40, "0.00"),""), "")</f>
        <v>14.59</v>
      </c>
      <c r="C34" t="str">
        <f ca="1">IFERROR(IF(ISNUMBER('Revenues &amp; Outlays in GDP'!C40),TEXT('Revenues &amp; Outlays in GDP'!C40, "0.00"),""), "")</f>
        <v/>
      </c>
      <c r="D34" t="str">
        <f>IFERROR(IF(ISNUMBER('Revenues &amp; Outlays in GDP'!H40),TEXT('Revenues &amp; Outlays in GDP'!H40, "0.00"),""), "")</f>
        <v>24.37</v>
      </c>
      <c r="E34" t="str">
        <f ca="1">IFERROR(IF(ISNUMBER('Revenues &amp; Outlays in GDP'!D40),TEXT('Revenues &amp; Outlays in GDP'!D40, "0.00"),""), "")</f>
        <v/>
      </c>
      <c r="F34">
        <f>IFERROR(IF(ISNUMBER('Revenues &amp; Outlays in GDP'!B40), 'Revenues &amp; Outlays in GDP'!J40, ""), "")</f>
        <v>1</v>
      </c>
    </row>
    <row r="35" spans="1:6">
      <c r="A35" t="str">
        <f>TEXT(IF('Revenues &amp; Outlays in GDP'!B41&lt;&gt;0,'Revenues &amp; Outlays in GDP'!B41, ""), "mm/dd/yyyy")</f>
        <v>01/01/2010</v>
      </c>
      <c r="B35" t="str">
        <f>IFERROR(IF(ISNUMBER('Revenues &amp; Outlays in GDP'!G41),TEXT('Revenues &amp; Outlays in GDP'!G41, "0.00"),""), "")</f>
        <v>14.58</v>
      </c>
      <c r="C35" t="str">
        <f ca="1">IFERROR(IF(ISNUMBER('Revenues &amp; Outlays in GDP'!C41),TEXT('Revenues &amp; Outlays in GDP'!C41, "0.00"),""), "")</f>
        <v/>
      </c>
      <c r="D35" t="str">
        <f>IFERROR(IF(ISNUMBER('Revenues &amp; Outlays in GDP'!H41),TEXT('Revenues &amp; Outlays in GDP'!H41, "0.00"),""), "")</f>
        <v>23.30</v>
      </c>
      <c r="E35" t="str">
        <f ca="1">IFERROR(IF(ISNUMBER('Revenues &amp; Outlays in GDP'!D41),TEXT('Revenues &amp; Outlays in GDP'!D41, "0.00"),""), "")</f>
        <v/>
      </c>
      <c r="F35">
        <f>IFERROR(IF(ISNUMBER('Revenues &amp; Outlays in GDP'!B41), 'Revenues &amp; Outlays in GDP'!J41, ""), "")</f>
        <v>0</v>
      </c>
    </row>
    <row r="36" spans="1:6">
      <c r="A36" t="str">
        <f>TEXT(IF('Revenues &amp; Outlays in GDP'!B42&lt;&gt;0,'Revenues &amp; Outlays in GDP'!B42, ""), "mm/dd/yyyy")</f>
        <v>01/01/2011</v>
      </c>
      <c r="B36" t="str">
        <f>IFERROR(IF(ISNUMBER('Revenues &amp; Outlays in GDP'!G42),TEXT('Revenues &amp; Outlays in GDP'!G42, "0.00"),""), "")</f>
        <v>14.95</v>
      </c>
      <c r="C36" t="str">
        <f ca="1">IFERROR(IF(ISNUMBER('Revenues &amp; Outlays in GDP'!C42),TEXT('Revenues &amp; Outlays in GDP'!C42, "0.00"),""), "")</f>
        <v/>
      </c>
      <c r="D36" t="str">
        <f>IFERROR(IF(ISNUMBER('Revenues &amp; Outlays in GDP'!H42),TEXT('Revenues &amp; Outlays in GDP'!H42, "0.00"),""), "")</f>
        <v>23.39</v>
      </c>
      <c r="E36" t="str">
        <f ca="1">IFERROR(IF(ISNUMBER('Revenues &amp; Outlays in GDP'!D42),TEXT('Revenues &amp; Outlays in GDP'!D42, "0.00"),""), "")</f>
        <v/>
      </c>
      <c r="F36">
        <f>IFERROR(IF(ISNUMBER('Revenues &amp; Outlays in GDP'!B42), 'Revenues &amp; Outlays in GDP'!J42, ""), "")</f>
        <v>0</v>
      </c>
    </row>
    <row r="37" spans="1:6">
      <c r="A37" t="str">
        <f>TEXT(IF('Revenues &amp; Outlays in GDP'!B43&lt;&gt;0,'Revenues &amp; Outlays in GDP'!B43, ""), "mm/dd/yyyy")</f>
        <v>01/01/2012</v>
      </c>
      <c r="B37" t="str">
        <f>IFERROR(IF(ISNUMBER('Revenues &amp; Outlays in GDP'!G43),TEXT('Revenues &amp; Outlays in GDP'!G43, "0.00"),""), "")</f>
        <v>15.26</v>
      </c>
      <c r="C37" t="str">
        <f ca="1">IFERROR(IF(ISNUMBER('Revenues &amp; Outlays in GDP'!C43),TEXT('Revenues &amp; Outlays in GDP'!C43, "0.00"),""), "")</f>
        <v/>
      </c>
      <c r="D37" t="str">
        <f>IFERROR(IF(ISNUMBER('Revenues &amp; Outlays in GDP'!H43),TEXT('Revenues &amp; Outlays in GDP'!H43, "0.00"),""), "")</f>
        <v>22.03</v>
      </c>
      <c r="E37" t="str">
        <f ca="1">IFERROR(IF(ISNUMBER('Revenues &amp; Outlays in GDP'!D43),TEXT('Revenues &amp; Outlays in GDP'!D43, "0.00"),""), "")</f>
        <v/>
      </c>
      <c r="F37">
        <f>IFERROR(IF(ISNUMBER('Revenues &amp; Outlays in GDP'!B43), 'Revenues &amp; Outlays in GDP'!J43, ""), "")</f>
        <v>0</v>
      </c>
    </row>
    <row r="38" spans="1:6">
      <c r="A38" t="str">
        <f>TEXT(IF('Revenues &amp; Outlays in GDP'!B44&lt;&gt;0,'Revenues &amp; Outlays in GDP'!B44, ""), "mm/dd/yyyy")</f>
        <v>01/01/2013</v>
      </c>
      <c r="B38" t="str">
        <f>IFERROR(IF(ISNUMBER('Revenues &amp; Outlays in GDP'!G44),TEXT('Revenues &amp; Outlays in GDP'!G44, "0.00"),""), "")</f>
        <v>16.71</v>
      </c>
      <c r="C38" t="str">
        <f ca="1">IFERROR(IF(ISNUMBER('Revenues &amp; Outlays in GDP'!C44),TEXT('Revenues &amp; Outlays in GDP'!C44, "0.00"),""), "")</f>
        <v/>
      </c>
      <c r="D38" t="str">
        <f>IFERROR(IF(ISNUMBER('Revenues &amp; Outlays in GDP'!H44),TEXT('Revenues &amp; Outlays in GDP'!H44, "0.00"),""), "")</f>
        <v>20.81</v>
      </c>
      <c r="E38" t="str">
        <f ca="1">IFERROR(IF(ISNUMBER('Revenues &amp; Outlays in GDP'!D44),TEXT('Revenues &amp; Outlays in GDP'!D44, "0.00"),""), "")</f>
        <v/>
      </c>
      <c r="F38">
        <f>IFERROR(IF(ISNUMBER('Revenues &amp; Outlays in GDP'!B44), 'Revenues &amp; Outlays in GDP'!J44, ""), "")</f>
        <v>0</v>
      </c>
    </row>
    <row r="39" spans="1:6">
      <c r="A39" t="str">
        <f>TEXT(IF('Revenues &amp; Outlays in GDP'!B45&lt;&gt;0,'Revenues &amp; Outlays in GDP'!B45, ""), "mm/dd/yyyy")</f>
        <v>01/01/2014</v>
      </c>
      <c r="B39" t="str">
        <f>IFERROR(IF(ISNUMBER('Revenues &amp; Outlays in GDP'!G45),TEXT('Revenues &amp; Outlays in GDP'!G45, "0.00"),""), "")</f>
        <v>17.43</v>
      </c>
      <c r="C39" t="str">
        <f ca="1">IFERROR(IF(ISNUMBER('Revenues &amp; Outlays in GDP'!C45),TEXT('Revenues &amp; Outlays in GDP'!C45, "0.00"),""), "")</f>
        <v/>
      </c>
      <c r="D39" t="str">
        <f>IFERROR(IF(ISNUMBER('Revenues &amp; Outlays in GDP'!H45),TEXT('Revenues &amp; Outlays in GDP'!H45, "0.00"),""), "")</f>
        <v>20.23</v>
      </c>
      <c r="E39" t="str">
        <f ca="1">IFERROR(IF(ISNUMBER('Revenues &amp; Outlays in GDP'!D45),TEXT('Revenues &amp; Outlays in GDP'!D45, "0.00"),""), "")</f>
        <v/>
      </c>
      <c r="F39">
        <f>IFERROR(IF(ISNUMBER('Revenues &amp; Outlays in GDP'!B45), 'Revenues &amp; Outlays in GDP'!J45, ""), "")</f>
        <v>0</v>
      </c>
    </row>
    <row r="40" spans="1:6">
      <c r="A40" t="str">
        <f>TEXT(IF('Revenues &amp; Outlays in GDP'!B46&lt;&gt;0,'Revenues &amp; Outlays in GDP'!B46, ""), "mm/dd/yyyy")</f>
        <v>01/01/2015</v>
      </c>
      <c r="B40" t="str">
        <f>IFERROR(IF(ISNUMBER('Revenues &amp; Outlays in GDP'!G46),TEXT('Revenues &amp; Outlays in GDP'!G46, "0.00"),""), "")</f>
        <v>17.97</v>
      </c>
      <c r="C40" t="str">
        <f ca="1">IFERROR(IF(ISNUMBER('Revenues &amp; Outlays in GDP'!C46),TEXT('Revenues &amp; Outlays in GDP'!C46, "0.00"),""), "")</f>
        <v/>
      </c>
      <c r="D40" t="str">
        <f>IFERROR(IF(ISNUMBER('Revenues &amp; Outlays in GDP'!H46),TEXT('Revenues &amp; Outlays in GDP'!H46, "0.00"),""), "")</f>
        <v>20.39</v>
      </c>
      <c r="E40" t="str">
        <f ca="1">IFERROR(IF(ISNUMBER('Revenues &amp; Outlays in GDP'!D46),TEXT('Revenues &amp; Outlays in GDP'!D46, "0.00"),""), "")</f>
        <v/>
      </c>
      <c r="F40">
        <f>IFERROR(IF(ISNUMBER('Revenues &amp; Outlays in GDP'!B46), 'Revenues &amp; Outlays in GDP'!J46, ""), "")</f>
        <v>0</v>
      </c>
    </row>
    <row r="41" spans="1:6">
      <c r="A41" t="str">
        <f>TEXT(IF('Revenues &amp; Outlays in GDP'!B47&lt;&gt;0,'Revenues &amp; Outlays in GDP'!B47, ""), "mm/dd/yyyy")</f>
        <v>01/01/2016</v>
      </c>
      <c r="B41" t="str">
        <f>IFERROR(IF(ISNUMBER('Revenues &amp; Outlays in GDP'!G47),TEXT('Revenues &amp; Outlays in GDP'!G47, "0.00"),""), "")</f>
        <v>17.62</v>
      </c>
      <c r="C41" t="str">
        <f ca="1">IFERROR(IF(ISNUMBER('Revenues &amp; Outlays in GDP'!C47),TEXT('Revenues &amp; Outlays in GDP'!C47, "0.00"),""), "")</f>
        <v/>
      </c>
      <c r="D41" t="str">
        <f>IFERROR(IF(ISNUMBER('Revenues &amp; Outlays in GDP'!H47),TEXT('Revenues &amp; Outlays in GDP'!H47, "0.00"),""), "")</f>
        <v>20.77</v>
      </c>
      <c r="E41" t="str">
        <f ca="1">IFERROR(IF(ISNUMBER('Revenues &amp; Outlays in GDP'!D47),TEXT('Revenues &amp; Outlays in GDP'!D47, "0.00"),""), "")</f>
        <v/>
      </c>
      <c r="F41">
        <f>IFERROR(IF(ISNUMBER('Revenues &amp; Outlays in GDP'!B47), 'Revenues &amp; Outlays in GDP'!J47, ""), "")</f>
        <v>0</v>
      </c>
    </row>
    <row r="42" spans="1:6">
      <c r="A42" t="str">
        <f>TEXT(IF('Revenues &amp; Outlays in GDP'!B48&lt;&gt;0,'Revenues &amp; Outlays in GDP'!B48, ""), "mm/dd/yyyy")</f>
        <v>01/01/2017</v>
      </c>
      <c r="B42" t="str">
        <f>IFERROR(IF(ISNUMBER('Revenues &amp; Outlays in GDP'!G48),TEXT('Revenues &amp; Outlays in GDP'!G48, "0.00"),""), "")</f>
        <v>17.21</v>
      </c>
      <c r="C42" t="str">
        <f ca="1">IFERROR(IF(ISNUMBER('Revenues &amp; Outlays in GDP'!C48),TEXT('Revenues &amp; Outlays in GDP'!C48, "0.00"),""), "")</f>
        <v/>
      </c>
      <c r="D42" t="str">
        <f>IFERROR(IF(ISNUMBER('Revenues &amp; Outlays in GDP'!H48),TEXT('Revenues &amp; Outlays in GDP'!H48, "0.00"),""), "")</f>
        <v>20.66</v>
      </c>
      <c r="E42" t="str">
        <f ca="1">IFERROR(IF(ISNUMBER('Revenues &amp; Outlays in GDP'!D48),TEXT('Revenues &amp; Outlays in GDP'!D48, "0.00"),""), "")</f>
        <v/>
      </c>
      <c r="F42">
        <f>IFERROR(IF(ISNUMBER('Revenues &amp; Outlays in GDP'!B48), 'Revenues &amp; Outlays in GDP'!J48, ""), "")</f>
        <v>0</v>
      </c>
    </row>
    <row r="43" spans="1:6">
      <c r="A43" t="str">
        <f>TEXT(IF('Revenues &amp; Outlays in GDP'!B49&lt;&gt;0,'Revenues &amp; Outlays in GDP'!B49, ""), "mm/dd/yyyy")</f>
        <v>01/01/2018</v>
      </c>
      <c r="B43" t="str">
        <f>IFERROR(IF(ISNUMBER('Revenues &amp; Outlays in GDP'!G49),TEXT('Revenues &amp; Outlays in GDP'!G49, "0.00"),""), "")</f>
        <v>16.45</v>
      </c>
      <c r="C43" t="str">
        <f ca="1">IFERROR(IF(ISNUMBER('Revenues &amp; Outlays in GDP'!C49),TEXT('Revenues &amp; Outlays in GDP'!C49, "0.00"),""), "")</f>
        <v>16.40</v>
      </c>
      <c r="D43" t="str">
        <f>IFERROR(IF(ISNUMBER('Revenues &amp; Outlays in GDP'!H49),TEXT('Revenues &amp; Outlays in GDP'!H49, "0.00"),""), "")</f>
        <v>20.30</v>
      </c>
      <c r="E43" t="str">
        <f ca="1">IFERROR(IF(ISNUMBER('Revenues &amp; Outlays in GDP'!D49),TEXT('Revenues &amp; Outlays in GDP'!D49, "0.00"),""), "")</f>
        <v>20.30</v>
      </c>
      <c r="F43">
        <f>IFERROR(IF(ISNUMBER('Revenues &amp; Outlays in GDP'!B49), 'Revenues &amp; Outlays in GDP'!J49, ""), "")</f>
        <v>0</v>
      </c>
    </row>
    <row r="44" spans="1:6">
      <c r="A44" t="str">
        <f>TEXT(IF('Revenues &amp; Outlays in GDP'!B50&lt;&gt;0,'Revenues &amp; Outlays in GDP'!B50, ""), "mm/dd/yyyy")</f>
        <v>01/01/2019</v>
      </c>
      <c r="B44" t="str">
        <f>IFERROR(IF(ISNUMBER('Revenues &amp; Outlays in GDP'!G50),TEXT('Revenues &amp; Outlays in GDP'!G50, "0.00"),""), "")</f>
        <v/>
      </c>
      <c r="C44" t="str">
        <f ca="1">IFERROR(IF(ISNUMBER('Revenues &amp; Outlays in GDP'!C50),TEXT('Revenues &amp; Outlays in GDP'!C50, "0.00"),""), "")</f>
        <v>16.50</v>
      </c>
      <c r="D44" t="str">
        <f>IFERROR(IF(ISNUMBER('Revenues &amp; Outlays in GDP'!H50),TEXT('Revenues &amp; Outlays in GDP'!H50, "0.00"),""), "")</f>
        <v/>
      </c>
      <c r="E44" t="str">
        <f ca="1">IFERROR(IF(ISNUMBER('Revenues &amp; Outlays in GDP'!D50),TEXT('Revenues &amp; Outlays in GDP'!D50, "0.00"),""), "")</f>
        <v>20.80</v>
      </c>
      <c r="F44">
        <f>IFERROR(IF(ISNUMBER('Revenues &amp; Outlays in GDP'!B50), 'Revenues &amp; Outlays in GDP'!J50, ""), "")</f>
        <v>0</v>
      </c>
    </row>
    <row r="45" spans="1:6">
      <c r="A45" t="str">
        <f>TEXT(IF('Revenues &amp; Outlays in GDP'!B51&lt;&gt;0,'Revenues &amp; Outlays in GDP'!B51, ""), "mm/dd/yyyy")</f>
        <v>01/01/2020</v>
      </c>
      <c r="B45" t="str">
        <f>IFERROR(IF(ISNUMBER('Revenues &amp; Outlays in GDP'!G51),TEXT('Revenues &amp; Outlays in GDP'!G51, "0.00"),""), "")</f>
        <v/>
      </c>
      <c r="C45" t="str">
        <f ca="1">IFERROR(IF(ISNUMBER('Revenues &amp; Outlays in GDP'!C51),TEXT('Revenues &amp; Outlays in GDP'!C51, "0.00"),""), "")</f>
        <v>16.70</v>
      </c>
      <c r="D45" t="str">
        <f>IFERROR(IF(ISNUMBER('Revenues &amp; Outlays in GDP'!H51),TEXT('Revenues &amp; Outlays in GDP'!H51, "0.00"),""), "")</f>
        <v/>
      </c>
      <c r="E45" t="str">
        <f ca="1">IFERROR(IF(ISNUMBER('Revenues &amp; Outlays in GDP'!D51),TEXT('Revenues &amp; Outlays in GDP'!D51, "0.00"),""), "")</f>
        <v>20.70</v>
      </c>
      <c r="F45">
        <f>IFERROR(IF(ISNUMBER('Revenues &amp; Outlays in GDP'!B51), 'Revenues &amp; Outlays in GDP'!J51, ""), "")</f>
        <v>0</v>
      </c>
    </row>
    <row r="46" spans="1:6">
      <c r="A46" t="str">
        <f>TEXT(IF('Revenues &amp; Outlays in GDP'!B52&lt;&gt;0,'Revenues &amp; Outlays in GDP'!B52, ""), "mm/dd/yyyy")</f>
        <v>01/01/2021</v>
      </c>
      <c r="B46" t="str">
        <f>IFERROR(IF(ISNUMBER('Revenues &amp; Outlays in GDP'!G52),TEXT('Revenues &amp; Outlays in GDP'!G52, "0.00"),""), "")</f>
        <v/>
      </c>
      <c r="C46" t="str">
        <f ca="1">IFERROR(IF(ISNUMBER('Revenues &amp; Outlays in GDP'!C52),TEXT('Revenues &amp; Outlays in GDP'!C52, "0.00"),""), "")</f>
        <v>16.70</v>
      </c>
      <c r="D46" t="str">
        <f>IFERROR(IF(ISNUMBER('Revenues &amp; Outlays in GDP'!H52),TEXT('Revenues &amp; Outlays in GDP'!H52, "0.00"),""), "")</f>
        <v/>
      </c>
      <c r="E46" t="str">
        <f ca="1">IFERROR(IF(ISNUMBER('Revenues &amp; Outlays in GDP'!D52),TEXT('Revenues &amp; Outlays in GDP'!D52, "0.00"),""), "")</f>
        <v>21.00</v>
      </c>
      <c r="F46">
        <f>IFERROR(IF(ISNUMBER('Revenues &amp; Outlays in GDP'!B52), 'Revenues &amp; Outlays in GDP'!J52, ""), "")</f>
        <v>0</v>
      </c>
    </row>
    <row r="47" spans="1:6">
      <c r="A47" t="str">
        <f>TEXT(IF('Revenues &amp; Outlays in GDP'!B53&lt;&gt;0,'Revenues &amp; Outlays in GDP'!B53, ""), "mm/dd/yyyy")</f>
        <v>01/01/2022</v>
      </c>
      <c r="B47" t="str">
        <f>IFERROR(IF(ISNUMBER('Revenues &amp; Outlays in GDP'!G53),TEXT('Revenues &amp; Outlays in GDP'!G53, "0.00"),""), "")</f>
        <v/>
      </c>
      <c r="C47" t="str">
        <f ca="1">IFERROR(IF(ISNUMBER('Revenues &amp; Outlays in GDP'!C53),TEXT('Revenues &amp; Outlays in GDP'!C53, "0.00"),""), "")</f>
        <v>16.90</v>
      </c>
      <c r="D47" t="str">
        <f>IFERROR(IF(ISNUMBER('Revenues &amp; Outlays in GDP'!H53),TEXT('Revenues &amp; Outlays in GDP'!H53, "0.00"),""), "")</f>
        <v/>
      </c>
      <c r="E47" t="str">
        <f ca="1">IFERROR(IF(ISNUMBER('Revenues &amp; Outlays in GDP'!D53),TEXT('Revenues &amp; Outlays in GDP'!D53, "0.00"),""), "")</f>
        <v>21.60</v>
      </c>
      <c r="F47">
        <f>IFERROR(IF(ISNUMBER('Revenues &amp; Outlays in GDP'!B53), 'Revenues &amp; Outlays in GDP'!J53, ""), "")</f>
        <v>0</v>
      </c>
    </row>
    <row r="48" spans="1:6">
      <c r="A48" t="str">
        <f>TEXT(IF('Revenues &amp; Outlays in GDP'!B54&lt;&gt;0,'Revenues &amp; Outlays in GDP'!B54, ""), "mm/dd/yyyy")</f>
        <v>01/01/2023</v>
      </c>
      <c r="B48" t="str">
        <f>IFERROR(IF(ISNUMBER('Revenues &amp; Outlays in GDP'!G54),TEXT('Revenues &amp; Outlays in GDP'!G54, "0.00"),""), "")</f>
        <v/>
      </c>
      <c r="C48" t="str">
        <f ca="1">IFERROR(IF(ISNUMBER('Revenues &amp; Outlays in GDP'!C54),TEXT('Revenues &amp; Outlays in GDP'!C54, "0.00"),""), "")</f>
        <v>17.10</v>
      </c>
      <c r="D48" t="str">
        <f>IFERROR(IF(ISNUMBER('Revenues &amp; Outlays in GDP'!H54),TEXT('Revenues &amp; Outlays in GDP'!H54, "0.00"),""), "")</f>
        <v/>
      </c>
      <c r="E48" t="str">
        <f ca="1">IFERROR(IF(ISNUMBER('Revenues &amp; Outlays in GDP'!D54),TEXT('Revenues &amp; Outlays in GDP'!D54, "0.00"),""), "")</f>
        <v>21.70</v>
      </c>
      <c r="F48">
        <f>IFERROR(IF(ISNUMBER('Revenues &amp; Outlays in GDP'!B54), 'Revenues &amp; Outlays in GDP'!J54, ""), "")</f>
        <v>0</v>
      </c>
    </row>
    <row r="49" spans="1:6">
      <c r="A49" t="str">
        <f>TEXT(IF('Revenues &amp; Outlays in GDP'!B55&lt;&gt;0,'Revenues &amp; Outlays in GDP'!B55, ""), "mm/dd/yyyy")</f>
        <v>01/01/2024</v>
      </c>
      <c r="B49" t="str">
        <f>IFERROR(IF(ISNUMBER('Revenues &amp; Outlays in GDP'!G55),TEXT('Revenues &amp; Outlays in GDP'!G55, "0.00"),""), "")</f>
        <v/>
      </c>
      <c r="C49" t="str">
        <f ca="1">IFERROR(IF(ISNUMBER('Revenues &amp; Outlays in GDP'!C55),TEXT('Revenues &amp; Outlays in GDP'!C55, "0.00"),""), "")</f>
        <v>17.30</v>
      </c>
      <c r="D49" t="str">
        <f>IFERROR(IF(ISNUMBER('Revenues &amp; Outlays in GDP'!H55),TEXT('Revenues &amp; Outlays in GDP'!H55, "0.00"),""), "")</f>
        <v/>
      </c>
      <c r="E49" t="str">
        <f ca="1">IFERROR(IF(ISNUMBER('Revenues &amp; Outlays in GDP'!D55),TEXT('Revenues &amp; Outlays in GDP'!D55, "0.00"),""), "")</f>
        <v>21.60</v>
      </c>
      <c r="F49">
        <f>IFERROR(IF(ISNUMBER('Revenues &amp; Outlays in GDP'!B55), 'Revenues &amp; Outlays in GDP'!J55, ""), "")</f>
        <v>0</v>
      </c>
    </row>
    <row r="50" spans="1:6">
      <c r="A50" t="str">
        <f>TEXT(IF('Revenues &amp; Outlays in GDP'!B56&lt;&gt;0,'Revenues &amp; Outlays in GDP'!B56, ""), "mm/dd/yyyy")</f>
        <v>01/01/2025</v>
      </c>
      <c r="B50" t="str">
        <f>IFERROR(IF(ISNUMBER('Revenues &amp; Outlays in GDP'!G56),TEXT('Revenues &amp; Outlays in GDP'!G56, "0.00"),""), "")</f>
        <v/>
      </c>
      <c r="C50" t="str">
        <f ca="1">IFERROR(IF(ISNUMBER('Revenues &amp; Outlays in GDP'!C56),TEXT('Revenues &amp; Outlays in GDP'!C56, "0.00"),""), "")</f>
        <v>17.40</v>
      </c>
      <c r="D50" t="str">
        <f>IFERROR(IF(ISNUMBER('Revenues &amp; Outlays in GDP'!H56),TEXT('Revenues &amp; Outlays in GDP'!H56, "0.00"),""), "")</f>
        <v/>
      </c>
      <c r="E50" t="str">
        <f ca="1">IFERROR(IF(ISNUMBER('Revenues &amp; Outlays in GDP'!D56),TEXT('Revenues &amp; Outlays in GDP'!D56, "0.00"),""), "")</f>
        <v>22.00</v>
      </c>
      <c r="F50">
        <f>IFERROR(IF(ISNUMBER('Revenues &amp; Outlays in GDP'!B56), 'Revenues &amp; Outlays in GDP'!J56, ""), "")</f>
        <v>0</v>
      </c>
    </row>
    <row r="51" spans="1:6">
      <c r="A51" t="str">
        <f>TEXT(IF('Revenues &amp; Outlays in GDP'!B57&lt;&gt;0,'Revenues &amp; Outlays in GDP'!B57, ""), "mm/dd/yyyy")</f>
        <v>01/01/2026</v>
      </c>
      <c r="B51" t="str">
        <f>IFERROR(IF(ISNUMBER('Revenues &amp; Outlays in GDP'!G57),TEXT('Revenues &amp; Outlays in GDP'!G57, "0.00"),""), "")</f>
        <v/>
      </c>
      <c r="C51" t="str">
        <f ca="1">IFERROR(IF(ISNUMBER('Revenues &amp; Outlays in GDP'!C57),TEXT('Revenues &amp; Outlays in GDP'!C57, "0.00"),""), "")</f>
        <v>17.90</v>
      </c>
      <c r="D51" t="str">
        <f>IFERROR(IF(ISNUMBER('Revenues &amp; Outlays in GDP'!H57),TEXT('Revenues &amp; Outlays in GDP'!H57, "0.00"),""), "")</f>
        <v/>
      </c>
      <c r="E51" t="str">
        <f ca="1">IFERROR(IF(ISNUMBER('Revenues &amp; Outlays in GDP'!D57),TEXT('Revenues &amp; Outlays in GDP'!D57, "0.00"),""), "")</f>
        <v>22.30</v>
      </c>
      <c r="F51">
        <f>IFERROR(IF(ISNUMBER('Revenues &amp; Outlays in GDP'!B57), 'Revenues &amp; Outlays in GDP'!J57, ""), "")</f>
        <v>0</v>
      </c>
    </row>
    <row r="52" spans="1:6">
      <c r="A52" t="str">
        <f>TEXT(IF('Revenues &amp; Outlays in GDP'!B58&lt;&gt;0,'Revenues &amp; Outlays in GDP'!B58, ""), "mm/dd/yyyy")</f>
        <v/>
      </c>
      <c r="B52" t="str">
        <f>IFERROR(IF(ISNUMBER('Revenues &amp; Outlays in GDP'!G58),TEXT('Revenues &amp; Outlays in GDP'!G58, "0.00"),""), "")</f>
        <v/>
      </c>
      <c r="C52" t="str">
        <f>IFERROR(IF(ISNUMBER('Revenues &amp; Outlays in GDP'!C58),TEXT('Revenues &amp; Outlays in GDP'!C58, "0.00"),""), "")</f>
        <v/>
      </c>
      <c r="D52" t="str">
        <f>IFERROR(IF(ISNUMBER('Revenues &amp; Outlays in GDP'!H58),TEXT('Revenues &amp; Outlays in GDP'!H58, "0.00"),""), "")</f>
        <v/>
      </c>
      <c r="E52" t="str">
        <f>IFERROR(IF(ISNUMBER('Revenues &amp; Outlays in GDP'!D58),TEXT('Revenues &amp; Outlays in GDP'!D58, "0.00"),""), "")</f>
        <v/>
      </c>
      <c r="F52" t="str">
        <f>IFERROR(IF(ISNUMBER('Revenues &amp; Outlays in GDP'!B58), 'Revenues &amp; Outlays in GDP'!J58, ""), "")</f>
        <v/>
      </c>
    </row>
    <row r="53" spans="1:6">
      <c r="A53" t="str">
        <f>TEXT(IF('Revenues &amp; Outlays in GDP'!B59&lt;&gt;0,'Revenues &amp; Outlays in GDP'!B59, ""), "mm/dd/yyyy")</f>
        <v/>
      </c>
      <c r="B53" t="str">
        <f>IFERROR(IF(ISNUMBER('Revenues &amp; Outlays in GDP'!G59),TEXT('Revenues &amp; Outlays in GDP'!G59, "0.00"),""), "")</f>
        <v/>
      </c>
      <c r="C53" t="str">
        <f>IFERROR(IF(ISNUMBER('Revenues &amp; Outlays in GDP'!C59),TEXT('Revenues &amp; Outlays in GDP'!C59, "0.00"),""), "")</f>
        <v/>
      </c>
      <c r="D53" t="str">
        <f>IFERROR(IF(ISNUMBER('Revenues &amp; Outlays in GDP'!H59),TEXT('Revenues &amp; Outlays in GDP'!H59, "0.00"),""), "")</f>
        <v/>
      </c>
      <c r="E53" t="str">
        <f>IFERROR(IF(ISNUMBER('Revenues &amp; Outlays in GDP'!D59),TEXT('Revenues &amp; Outlays in GDP'!D59, "0.00"),""), "")</f>
        <v/>
      </c>
      <c r="F53" t="str">
        <f>IFERROR(IF(ISNUMBER('Revenues &amp; Outlays in GDP'!B59), 'Revenues &amp; Outlays in GDP'!J59, ""), "")</f>
        <v/>
      </c>
    </row>
    <row r="54" spans="1:6">
      <c r="A54" t="str">
        <f>TEXT(IF('Revenues &amp; Outlays in GDP'!B60&lt;&gt;0,'Revenues &amp; Outlays in GDP'!B60, ""), "mm/dd/yyyy")</f>
        <v/>
      </c>
      <c r="B54" t="str">
        <f>IFERROR(IF(ISNUMBER('Revenues &amp; Outlays in GDP'!G60),TEXT('Revenues &amp; Outlays in GDP'!G60, "0.00"),""), "")</f>
        <v/>
      </c>
      <c r="C54" t="str">
        <f>IFERROR(IF(ISNUMBER('Revenues &amp; Outlays in GDP'!C60),TEXT('Revenues &amp; Outlays in GDP'!C60, "0.00"),""), "")</f>
        <v/>
      </c>
      <c r="D54" t="str">
        <f>IFERROR(IF(ISNUMBER('Revenues &amp; Outlays in GDP'!H60),TEXT('Revenues &amp; Outlays in GDP'!H60, "0.00"),""), "")</f>
        <v/>
      </c>
      <c r="E54" t="str">
        <f>IFERROR(IF(ISNUMBER('Revenues &amp; Outlays in GDP'!D60),TEXT('Revenues &amp; Outlays in GDP'!D60, "0.00"),""), "")</f>
        <v/>
      </c>
      <c r="F54" t="str">
        <f>IFERROR(IF(ISNUMBER('Revenues &amp; Outlays in GDP'!B60), 'Revenues &amp; Outlays in GDP'!J60, ""), "")</f>
        <v/>
      </c>
    </row>
    <row r="55" spans="1:6">
      <c r="A55" t="str">
        <f>TEXT(IF('Revenues &amp; Outlays in GDP'!B61&lt;&gt;0,'Revenues &amp; Outlays in GDP'!B61, ""), "mm/dd/yyyy")</f>
        <v/>
      </c>
      <c r="B55" t="str">
        <f>IFERROR(IF(ISNUMBER('Revenues &amp; Outlays in GDP'!G61),TEXT('Revenues &amp; Outlays in GDP'!G61, "0.00"),""), "")</f>
        <v/>
      </c>
      <c r="C55" t="str">
        <f>IFERROR(IF(ISNUMBER('Revenues &amp; Outlays in GDP'!C61),TEXT('Revenues &amp; Outlays in GDP'!C61, "0.00"),""), "")</f>
        <v/>
      </c>
      <c r="D55" t="str">
        <f>IFERROR(IF(ISNUMBER('Revenues &amp; Outlays in GDP'!H61),TEXT('Revenues &amp; Outlays in GDP'!H61, "0.00"),""), "")</f>
        <v/>
      </c>
      <c r="E55" t="str">
        <f>IFERROR(IF(ISNUMBER('Revenues &amp; Outlays in GDP'!D61),TEXT('Revenues &amp; Outlays in GDP'!D61, "0.00"),""), "")</f>
        <v/>
      </c>
      <c r="F55" t="str">
        <f>IFERROR(IF(ISNUMBER('Revenues &amp; Outlays in GDP'!B61), 'Revenues &amp; Outlays in GDP'!J61, ""), "")</f>
        <v/>
      </c>
    </row>
    <row r="56" spans="1:6">
      <c r="A56" t="str">
        <f>TEXT(IF('Revenues &amp; Outlays in GDP'!B62&lt;&gt;0,'Revenues &amp; Outlays in GDP'!B62, ""), "mm/dd/yyyy")</f>
        <v/>
      </c>
      <c r="B56" t="str">
        <f>IFERROR(IF(ISNUMBER('Revenues &amp; Outlays in GDP'!G62),TEXT('Revenues &amp; Outlays in GDP'!G62, "0.00"),""), "")</f>
        <v/>
      </c>
      <c r="C56" t="str">
        <f>IFERROR(IF(ISNUMBER('Revenues &amp; Outlays in GDP'!C62),TEXT('Revenues &amp; Outlays in GDP'!C62, "0.00"),""), "")</f>
        <v/>
      </c>
      <c r="D56" t="str">
        <f>IFERROR(IF(ISNUMBER('Revenues &amp; Outlays in GDP'!H62),TEXT('Revenues &amp; Outlays in GDP'!H62, "0.00"),""), "")</f>
        <v/>
      </c>
      <c r="E56" t="str">
        <f>IFERROR(IF(ISNUMBER('Revenues &amp; Outlays in GDP'!D62),TEXT('Revenues &amp; Outlays in GDP'!D62, "0.00"),""), "")</f>
        <v/>
      </c>
      <c r="F56" t="str">
        <f>IFERROR(IF(ISNUMBER('Revenues &amp; Outlays in GDP'!B62), 'Revenues &amp; Outlays in GDP'!J62, ""), "")</f>
        <v/>
      </c>
    </row>
    <row r="57" spans="1:6">
      <c r="A57" t="str">
        <f>TEXT(IF('Revenues &amp; Outlays in GDP'!B63&lt;&gt;0,'Revenues &amp; Outlays in GDP'!B63, ""), "mm/dd/yyyy")</f>
        <v/>
      </c>
      <c r="B57" t="str">
        <f>IFERROR(IF(ISNUMBER('Revenues &amp; Outlays in GDP'!G63),TEXT('Revenues &amp; Outlays in GDP'!G63, "0.00"),""), "")</f>
        <v/>
      </c>
      <c r="C57" t="str">
        <f>IFERROR(IF(ISNUMBER('Revenues &amp; Outlays in GDP'!C63),TEXT('Revenues &amp; Outlays in GDP'!C63, "0.00"),""), "")</f>
        <v/>
      </c>
      <c r="D57" t="str">
        <f>IFERROR(IF(ISNUMBER('Revenues &amp; Outlays in GDP'!H63),TEXT('Revenues &amp; Outlays in GDP'!H63, "0.00"),""), "")</f>
        <v/>
      </c>
      <c r="E57" t="str">
        <f>IFERROR(IF(ISNUMBER('Revenues &amp; Outlays in GDP'!D63),TEXT('Revenues &amp; Outlays in GDP'!D63, "0.00"),""), "")</f>
        <v/>
      </c>
      <c r="F57" t="str">
        <f>IFERROR(IF(ISNUMBER('Revenues &amp; Outlays in GDP'!B63), 'Revenues &amp; Outlays in GDP'!J63, ""), "")</f>
        <v/>
      </c>
    </row>
    <row r="58" spans="1:6">
      <c r="A58" t="str">
        <f>TEXT(IF('Revenues &amp; Outlays in GDP'!B64&lt;&gt;0,'Revenues &amp; Outlays in GDP'!B64, ""), "mm/dd/yyyy")</f>
        <v/>
      </c>
      <c r="B58" t="str">
        <f>IFERROR(IF(ISNUMBER('Revenues &amp; Outlays in GDP'!G64),TEXT('Revenues &amp; Outlays in GDP'!G64, "0.00"),""), "")</f>
        <v/>
      </c>
      <c r="C58" t="str">
        <f>IFERROR(IF(ISNUMBER('Revenues &amp; Outlays in GDP'!C64),TEXT('Revenues &amp; Outlays in GDP'!C64, "0.00"),""), "")</f>
        <v/>
      </c>
      <c r="D58" t="str">
        <f>IFERROR(IF(ISNUMBER('Revenues &amp; Outlays in GDP'!H64),TEXT('Revenues &amp; Outlays in GDP'!H64, "0.00"),""), "")</f>
        <v/>
      </c>
      <c r="E58" t="str">
        <f>IFERROR(IF(ISNUMBER('Revenues &amp; Outlays in GDP'!D64),TEXT('Revenues &amp; Outlays in GDP'!D64, "0.00"),""), "")</f>
        <v/>
      </c>
      <c r="F58" t="str">
        <f>IFERROR(IF(ISNUMBER('Revenues &amp; Outlays in GDP'!B64), 'Revenues &amp; Outlays in GDP'!J64, ""), "")</f>
        <v/>
      </c>
    </row>
    <row r="59" spans="1:6">
      <c r="A59" t="str">
        <f>TEXT(IF('Revenues &amp; Outlays in GDP'!B65&lt;&gt;0,'Revenues &amp; Outlays in GDP'!B65, ""), "mm/dd/yyyy")</f>
        <v/>
      </c>
      <c r="B59" t="str">
        <f>IFERROR(IF(ISNUMBER('Revenues &amp; Outlays in GDP'!G65),TEXT('Revenues &amp; Outlays in GDP'!G65, "0.00"),""), "")</f>
        <v/>
      </c>
      <c r="C59" t="str">
        <f>IFERROR(IF(ISNUMBER('Revenues &amp; Outlays in GDP'!C65),TEXT('Revenues &amp; Outlays in GDP'!C65, "0.00"),""), "")</f>
        <v/>
      </c>
      <c r="D59" t="str">
        <f>IFERROR(IF(ISNUMBER('Revenues &amp; Outlays in GDP'!H65),TEXT('Revenues &amp; Outlays in GDP'!H65, "0.00"),""), "")</f>
        <v/>
      </c>
      <c r="E59" t="str">
        <f>IFERROR(IF(ISNUMBER('Revenues &amp; Outlays in GDP'!D65),TEXT('Revenues &amp; Outlays in GDP'!D65, "0.00"),""), "")</f>
        <v/>
      </c>
      <c r="F59" t="str">
        <f>IFERROR(IF(ISNUMBER('Revenues &amp; Outlays in GDP'!B65), 'Revenues &amp; Outlays in GDP'!J65, ""), "")</f>
        <v/>
      </c>
    </row>
    <row r="60" spans="1:6">
      <c r="A60" t="str">
        <f>TEXT(IF('Revenues &amp; Outlays in GDP'!B66&lt;&gt;0,'Revenues &amp; Outlays in GDP'!B66, ""), "mm/dd/yyyy")</f>
        <v/>
      </c>
      <c r="B60" t="str">
        <f>IFERROR(IF(ISNUMBER('Revenues &amp; Outlays in GDP'!G66),TEXT('Revenues &amp; Outlays in GDP'!G66, "0.00"),""), "")</f>
        <v/>
      </c>
      <c r="C60" t="str">
        <f>IFERROR(IF(ISNUMBER('Revenues &amp; Outlays in GDP'!C66),TEXT('Revenues &amp; Outlays in GDP'!C66, "0.00"),""), "")</f>
        <v/>
      </c>
      <c r="D60" t="str">
        <f>IFERROR(IF(ISNUMBER('Revenues &amp; Outlays in GDP'!H66),TEXT('Revenues &amp; Outlays in GDP'!H66, "0.00"),""), "")</f>
        <v/>
      </c>
      <c r="E60" t="str">
        <f>IFERROR(IF(ISNUMBER('Revenues &amp; Outlays in GDP'!D66),TEXT('Revenues &amp; Outlays in GDP'!D66, "0.00"),""), "")</f>
        <v/>
      </c>
      <c r="F60" t="str">
        <f>IFERROR(IF(ISNUMBER('Revenues &amp; Outlays in GDP'!B66), 'Revenues &amp; Outlays in GDP'!J66, ""), "")</f>
        <v/>
      </c>
    </row>
    <row r="61" spans="1:6">
      <c r="A61" t="str">
        <f>TEXT(IF('Revenues &amp; Outlays in GDP'!B67&lt;&gt;0,'Revenues &amp; Outlays in GDP'!B67, ""), "mm/dd/yyyy")</f>
        <v/>
      </c>
      <c r="B61" t="str">
        <f>IFERROR(IF(ISNUMBER('Revenues &amp; Outlays in GDP'!G67),TEXT('Revenues &amp; Outlays in GDP'!G67, "0.00"),""), "")</f>
        <v/>
      </c>
      <c r="C61" t="str">
        <f>IFERROR(IF(ISNUMBER('Revenues &amp; Outlays in GDP'!C67),TEXT('Revenues &amp; Outlays in GDP'!C67, "0.00"),""), "")</f>
        <v/>
      </c>
      <c r="D61" t="str">
        <f>IFERROR(IF(ISNUMBER('Revenues &amp; Outlays in GDP'!H67),TEXT('Revenues &amp; Outlays in GDP'!H67, "0.00"),""), "")</f>
        <v/>
      </c>
      <c r="E61" t="str">
        <f>IFERROR(IF(ISNUMBER('Revenues &amp; Outlays in GDP'!D67),TEXT('Revenues &amp; Outlays in GDP'!D67, "0.00"),""), "")</f>
        <v/>
      </c>
      <c r="F61" t="str">
        <f>IFERROR(IF(ISNUMBER('Revenues &amp; Outlays in GDP'!B67), 'Revenues &amp; Outlays in GDP'!J67, ""), "")</f>
        <v/>
      </c>
    </row>
    <row r="62" spans="1:6">
      <c r="A62" t="str">
        <f>TEXT(IF('Revenues &amp; Outlays in GDP'!B68&lt;&gt;0,'Revenues &amp; Outlays in GDP'!B68, ""), "mm/dd/yyyy")</f>
        <v/>
      </c>
      <c r="B62" t="str">
        <f>IFERROR(IF(ISNUMBER('Revenues &amp; Outlays in GDP'!G68),TEXT('Revenues &amp; Outlays in GDP'!G68, "0.00"),""), "")</f>
        <v/>
      </c>
      <c r="C62" t="str">
        <f>IFERROR(IF(ISNUMBER('Revenues &amp; Outlays in GDP'!C68),TEXT('Revenues &amp; Outlays in GDP'!C68, "0.00"),""), "")</f>
        <v/>
      </c>
      <c r="D62" t="str">
        <f>IFERROR(IF(ISNUMBER('Revenues &amp; Outlays in GDP'!H68),TEXT('Revenues &amp; Outlays in GDP'!H68, "0.00"),""), "")</f>
        <v/>
      </c>
      <c r="E62" t="str">
        <f>IFERROR(IF(ISNUMBER('Revenues &amp; Outlays in GDP'!D68),TEXT('Revenues &amp; Outlays in GDP'!D68, "0.00"),""), "")</f>
        <v/>
      </c>
      <c r="F62" t="str">
        <f>IFERROR(IF(ISNUMBER('Revenues &amp; Outlays in GDP'!B68), 'Revenues &amp; Outlays in GDP'!J68, ""), "")</f>
        <v/>
      </c>
    </row>
    <row r="63" spans="1:6">
      <c r="A63" t="str">
        <f>TEXT(IF('Revenues &amp; Outlays in GDP'!B69&lt;&gt;0,'Revenues &amp; Outlays in GDP'!B69, ""), "mm/dd/yyyy")</f>
        <v/>
      </c>
      <c r="B63" t="str">
        <f>IFERROR(IF(ISNUMBER('Revenues &amp; Outlays in GDP'!G69),TEXT('Revenues &amp; Outlays in GDP'!G69, "0.00"),""), "")</f>
        <v/>
      </c>
      <c r="C63" t="str">
        <f>IFERROR(IF(ISNUMBER('Revenues &amp; Outlays in GDP'!C69),TEXT('Revenues &amp; Outlays in GDP'!C69, "0.00"),""), "")</f>
        <v/>
      </c>
      <c r="D63" t="str">
        <f>IFERROR(IF(ISNUMBER('Revenues &amp; Outlays in GDP'!H69),TEXT('Revenues &amp; Outlays in GDP'!H69, "0.00"),""), "")</f>
        <v/>
      </c>
      <c r="E63" t="str">
        <f>IFERROR(IF(ISNUMBER('Revenues &amp; Outlays in GDP'!D69),TEXT('Revenues &amp; Outlays in GDP'!D69, "0.00"),""), "")</f>
        <v/>
      </c>
      <c r="F63" t="str">
        <f>IFERROR(IF(ISNUMBER('Revenues &amp; Outlays in GDP'!B69), 'Revenues &amp; Outlays in GDP'!J69, ""), "")</f>
        <v/>
      </c>
    </row>
    <row r="64" spans="1:6">
      <c r="A64" t="str">
        <f>TEXT(IF('Revenues &amp; Outlays in GDP'!B70&lt;&gt;0,'Revenues &amp; Outlays in GDP'!B70, ""), "mm/dd/yyyy")</f>
        <v/>
      </c>
      <c r="B64" t="str">
        <f>IFERROR(IF(ISNUMBER('Revenues &amp; Outlays in GDP'!G70),TEXT('Revenues &amp; Outlays in GDP'!G70, "0.00"),""), "")</f>
        <v/>
      </c>
      <c r="C64" t="str">
        <f>IFERROR(IF(ISNUMBER('Revenues &amp; Outlays in GDP'!C70),TEXT('Revenues &amp; Outlays in GDP'!C70, "0.00"),""), "")</f>
        <v/>
      </c>
      <c r="D64" t="str">
        <f>IFERROR(IF(ISNUMBER('Revenues &amp; Outlays in GDP'!H70),TEXT('Revenues &amp; Outlays in GDP'!H70, "0.00"),""), "")</f>
        <v/>
      </c>
      <c r="E64" t="str">
        <f>IFERROR(IF(ISNUMBER('Revenues &amp; Outlays in GDP'!D70),TEXT('Revenues &amp; Outlays in GDP'!D70, "0.00"),""), "")</f>
        <v/>
      </c>
      <c r="F64" t="str">
        <f>IFERROR(IF(ISNUMBER('Revenues &amp; Outlays in GDP'!B70), 'Revenues &amp; Outlays in GDP'!J70, ""), "")</f>
        <v/>
      </c>
    </row>
    <row r="65" spans="1:6">
      <c r="A65" t="str">
        <f>TEXT(IF('Revenues &amp; Outlays in GDP'!B71&lt;&gt;0,'Revenues &amp; Outlays in GDP'!B71, ""), "mm/dd/yyyy")</f>
        <v/>
      </c>
      <c r="B65" t="str">
        <f>IFERROR(IF(ISNUMBER('Revenues &amp; Outlays in GDP'!G71),TEXT('Revenues &amp; Outlays in GDP'!G71, "0.00"),""), "")</f>
        <v/>
      </c>
      <c r="C65" t="str">
        <f>IFERROR(IF(ISNUMBER('Revenues &amp; Outlays in GDP'!C71),TEXT('Revenues &amp; Outlays in GDP'!C71, "0.00"),""), "")</f>
        <v/>
      </c>
      <c r="D65" t="str">
        <f>IFERROR(IF(ISNUMBER('Revenues &amp; Outlays in GDP'!H71),TEXT('Revenues &amp; Outlays in GDP'!H71, "0.00"),""), "")</f>
        <v/>
      </c>
      <c r="E65" t="str">
        <f>IFERROR(IF(ISNUMBER('Revenues &amp; Outlays in GDP'!D71),TEXT('Revenues &amp; Outlays in GDP'!D71, "0.00"),""), "")</f>
        <v/>
      </c>
      <c r="F65" t="str">
        <f>IFERROR(IF(ISNUMBER('Revenues &amp; Outlays in GDP'!B71), 'Revenues &amp; Outlays in GDP'!J71, ""), "")</f>
        <v/>
      </c>
    </row>
    <row r="66" spans="1:6">
      <c r="A66" t="str">
        <f>TEXT(IF('Revenues &amp; Outlays in GDP'!B72&lt;&gt;0,'Revenues &amp; Outlays in GDP'!B72, ""), "mm/dd/yyyy")</f>
        <v/>
      </c>
      <c r="B66" t="str">
        <f>IFERROR(IF(ISNUMBER('Revenues &amp; Outlays in GDP'!G72),TEXT('Revenues &amp; Outlays in GDP'!G72, "0.00"),""), "")</f>
        <v/>
      </c>
      <c r="C66" t="str">
        <f>IFERROR(IF(ISNUMBER('Revenues &amp; Outlays in GDP'!C72),TEXT('Revenues &amp; Outlays in GDP'!C72, "0.00"),""), "")</f>
        <v/>
      </c>
      <c r="D66" t="str">
        <f>IFERROR(IF(ISNUMBER('Revenues &amp; Outlays in GDP'!H72),TEXT('Revenues &amp; Outlays in GDP'!H72, "0.00"),""), "")</f>
        <v/>
      </c>
      <c r="E66" t="str">
        <f>IFERROR(IF(ISNUMBER('Revenues &amp; Outlays in GDP'!D72),TEXT('Revenues &amp; Outlays in GDP'!D72, "0.00"),""), "")</f>
        <v/>
      </c>
      <c r="F66" t="str">
        <f>IFERROR(IF(ISNUMBER('Revenues &amp; Outlays in GDP'!B72), 'Revenues &amp; Outlays in GDP'!J72, ""), "")</f>
        <v/>
      </c>
    </row>
    <row r="67" spans="1:6">
      <c r="A67" t="str">
        <f>TEXT(IF('Revenues &amp; Outlays in GDP'!B73&lt;&gt;0,'Revenues &amp; Outlays in GDP'!B73, ""), "mm/dd/yyyy")</f>
        <v/>
      </c>
      <c r="B67" t="str">
        <f>IFERROR(IF(ISNUMBER('Revenues &amp; Outlays in GDP'!G73),TEXT('Revenues &amp; Outlays in GDP'!G73, "0.00"),""), "")</f>
        <v/>
      </c>
      <c r="C67" t="str">
        <f>IFERROR(IF(ISNUMBER('Revenues &amp; Outlays in GDP'!C73),TEXT('Revenues &amp; Outlays in GDP'!C73, "0.00"),""), "")</f>
        <v/>
      </c>
      <c r="D67" t="str">
        <f>IFERROR(IF(ISNUMBER('Revenues &amp; Outlays in GDP'!H73),TEXT('Revenues &amp; Outlays in GDP'!H73, "0.00"),""), "")</f>
        <v/>
      </c>
      <c r="E67" t="str">
        <f>IFERROR(IF(ISNUMBER('Revenues &amp; Outlays in GDP'!D73),TEXT('Revenues &amp; Outlays in GDP'!D73, "0.00"),""), "")</f>
        <v/>
      </c>
      <c r="F67" t="str">
        <f>IFERROR(IF(ISNUMBER('Revenues &amp; Outlays in GDP'!B73), 'Revenues &amp; Outlays in GDP'!J73, ""), "")</f>
        <v/>
      </c>
    </row>
    <row r="68" spans="1:6">
      <c r="A68" t="str">
        <f>TEXT(IF('Revenues &amp; Outlays in GDP'!B74&lt;&gt;0,'Revenues &amp; Outlays in GDP'!B74, ""), "mm/dd/yyyy")</f>
        <v/>
      </c>
      <c r="B68" t="str">
        <f>IFERROR(IF(ISNUMBER('Revenues &amp; Outlays in GDP'!G74),TEXT('Revenues &amp; Outlays in GDP'!G74, "0.00"),""), "")</f>
        <v/>
      </c>
      <c r="C68" t="str">
        <f>IFERROR(IF(ISNUMBER('Revenues &amp; Outlays in GDP'!C74),TEXT('Revenues &amp; Outlays in GDP'!C74, "0.00"),""), "")</f>
        <v/>
      </c>
      <c r="D68" t="str">
        <f>IFERROR(IF(ISNUMBER('Revenues &amp; Outlays in GDP'!H74),TEXT('Revenues &amp; Outlays in GDP'!H74, "0.00"),""), "")</f>
        <v/>
      </c>
      <c r="E68" t="str">
        <f>IFERROR(IF(ISNUMBER('Revenues &amp; Outlays in GDP'!D74),TEXT('Revenues &amp; Outlays in GDP'!D74, "0.00"),""), "")</f>
        <v/>
      </c>
      <c r="F68" t="str">
        <f>IFERROR(IF(ISNUMBER('Revenues &amp; Outlays in GDP'!B74), 'Revenues &amp; Outlays in GDP'!J74, ""), "")</f>
        <v/>
      </c>
    </row>
    <row r="69" spans="1:6">
      <c r="A69" t="str">
        <f>TEXT(IF('Revenues &amp; Outlays in GDP'!B75&lt;&gt;0,'Revenues &amp; Outlays in GDP'!B75, ""), "mm/dd/yyyy")</f>
        <v/>
      </c>
      <c r="B69" t="str">
        <f>IFERROR(IF(ISNUMBER('Revenues &amp; Outlays in GDP'!G75),TEXT('Revenues &amp; Outlays in GDP'!G75, "0.00"),""), "")</f>
        <v/>
      </c>
      <c r="C69" t="str">
        <f>IFERROR(IF(ISNUMBER('Revenues &amp; Outlays in GDP'!C75),TEXT('Revenues &amp; Outlays in GDP'!C75, "0.00"),""), "")</f>
        <v/>
      </c>
      <c r="D69" t="str">
        <f>IFERROR(IF(ISNUMBER('Revenues &amp; Outlays in GDP'!H75),TEXT('Revenues &amp; Outlays in GDP'!H75, "0.00"),""), "")</f>
        <v/>
      </c>
      <c r="E69" t="str">
        <f>IFERROR(IF(ISNUMBER('Revenues &amp; Outlays in GDP'!D75),TEXT('Revenues &amp; Outlays in GDP'!D75, "0.00"),""), "")</f>
        <v/>
      </c>
      <c r="F69" t="str">
        <f>IFERROR(IF(ISNUMBER('Revenues &amp; Outlays in GDP'!B75), 'Revenues &amp; Outlays in GDP'!J75, ""), "")</f>
        <v/>
      </c>
    </row>
    <row r="70" spans="1:6">
      <c r="A70" t="str">
        <f>TEXT(IF('Revenues &amp; Outlays in GDP'!B76&lt;&gt;0,'Revenues &amp; Outlays in GDP'!B76, ""), "mm/dd/yyyy")</f>
        <v/>
      </c>
      <c r="B70" t="str">
        <f>IFERROR(IF(ISNUMBER('Revenues &amp; Outlays in GDP'!G76),TEXT('Revenues &amp; Outlays in GDP'!G76, "0.00"),""), "")</f>
        <v/>
      </c>
      <c r="C70" t="str">
        <f>IFERROR(IF(ISNUMBER('Revenues &amp; Outlays in GDP'!C76),TEXT('Revenues &amp; Outlays in GDP'!C76, "0.00"),""), "")</f>
        <v/>
      </c>
      <c r="D70" t="str">
        <f>IFERROR(IF(ISNUMBER('Revenues &amp; Outlays in GDP'!H76),TEXT('Revenues &amp; Outlays in GDP'!H76, "0.00"),""), "")</f>
        <v/>
      </c>
      <c r="E70" t="str">
        <f>IFERROR(IF(ISNUMBER('Revenues &amp; Outlays in GDP'!D76),TEXT('Revenues &amp; Outlays in GDP'!D76, "0.00"),""), "")</f>
        <v/>
      </c>
      <c r="F70" t="str">
        <f>IFERROR(IF(ISNUMBER('Revenues &amp; Outlays in GDP'!B76), 'Revenues &amp; Outlays in GDP'!J76, ""), "")</f>
        <v/>
      </c>
    </row>
    <row r="71" spans="1:6">
      <c r="A71" t="str">
        <f>TEXT(IF('Revenues &amp; Outlays in GDP'!B77&lt;&gt;0,'Revenues &amp; Outlays in GDP'!B77, ""), "mm/dd/yyyy")</f>
        <v/>
      </c>
      <c r="B71" t="str">
        <f>IFERROR(IF(ISNUMBER('Revenues &amp; Outlays in GDP'!G77),TEXT('Revenues &amp; Outlays in GDP'!G77, "0.00"),""), "")</f>
        <v/>
      </c>
      <c r="C71" t="str">
        <f>IFERROR(IF(ISNUMBER('Revenues &amp; Outlays in GDP'!C77),TEXT('Revenues &amp; Outlays in GDP'!C77, "0.00"),""), "")</f>
        <v/>
      </c>
      <c r="D71" t="str">
        <f>IFERROR(IF(ISNUMBER('Revenues &amp; Outlays in GDP'!H77),TEXT('Revenues &amp; Outlays in GDP'!H77, "0.00"),""), "")</f>
        <v/>
      </c>
      <c r="E71" t="str">
        <f>IFERROR(IF(ISNUMBER('Revenues &amp; Outlays in GDP'!D77),TEXT('Revenues &amp; Outlays in GDP'!D77, "0.00"),""), "")</f>
        <v/>
      </c>
      <c r="F71" t="str">
        <f>IFERROR(IF(ISNUMBER('Revenues &amp; Outlays in GDP'!B77), 'Revenues &amp; Outlays in GDP'!J77, ""), "")</f>
        <v/>
      </c>
    </row>
    <row r="72" spans="1:6">
      <c r="A72" t="str">
        <f>TEXT(IF('Revenues &amp; Outlays in GDP'!B78&lt;&gt;0,'Revenues &amp; Outlays in GDP'!B78, ""), "mm/dd/yyyy")</f>
        <v/>
      </c>
      <c r="B72" t="str">
        <f>IFERROR(IF(ISNUMBER('Revenues &amp; Outlays in GDP'!G78),TEXT('Revenues &amp; Outlays in GDP'!G78, "0.00"),""), "")</f>
        <v/>
      </c>
      <c r="C72" t="str">
        <f>IFERROR(IF(ISNUMBER('Revenues &amp; Outlays in GDP'!C78),TEXT('Revenues &amp; Outlays in GDP'!C78, "0.00"),""), "")</f>
        <v/>
      </c>
      <c r="D72" t="str">
        <f>IFERROR(IF(ISNUMBER('Revenues &amp; Outlays in GDP'!H78),TEXT('Revenues &amp; Outlays in GDP'!H78, "0.00"),""), "")</f>
        <v/>
      </c>
      <c r="E72" t="str">
        <f>IFERROR(IF(ISNUMBER('Revenues &amp; Outlays in GDP'!D78),TEXT('Revenues &amp; Outlays in GDP'!D78, "0.00"),""), "")</f>
        <v/>
      </c>
      <c r="F72" t="str">
        <f>IFERROR(IF(ISNUMBER('Revenues &amp; Outlays in GDP'!B78), 'Revenues &amp; Outlays in GDP'!J78, ""), "")</f>
        <v/>
      </c>
    </row>
    <row r="73" spans="1:6">
      <c r="A73" t="str">
        <f>TEXT(IF('Revenues &amp; Outlays in GDP'!B79&lt;&gt;0,'Revenues &amp; Outlays in GDP'!B79, ""), "mm/dd/yyyy")</f>
        <v/>
      </c>
      <c r="B73" t="str">
        <f>IFERROR(IF(ISNUMBER('Revenues &amp; Outlays in GDP'!G79),TEXT('Revenues &amp; Outlays in GDP'!G79, "0.00"),""), "")</f>
        <v/>
      </c>
      <c r="C73" t="str">
        <f>IFERROR(IF(ISNUMBER('Revenues &amp; Outlays in GDP'!C79),TEXT('Revenues &amp; Outlays in GDP'!C79, "0.00"),""), "")</f>
        <v/>
      </c>
      <c r="D73" t="str">
        <f>IFERROR(IF(ISNUMBER('Revenues &amp; Outlays in GDP'!H79),TEXT('Revenues &amp; Outlays in GDP'!H79, "0.00"),""), "")</f>
        <v/>
      </c>
      <c r="E73" t="str">
        <f>IFERROR(IF(ISNUMBER('Revenues &amp; Outlays in GDP'!D79),TEXT('Revenues &amp; Outlays in GDP'!D79, "0.00"),""), "")</f>
        <v/>
      </c>
      <c r="F73" t="str">
        <f>IFERROR(IF(ISNUMBER('Revenues &amp; Outlays in GDP'!B79), 'Revenues &amp; Outlays in GDP'!J79, ""), "")</f>
        <v/>
      </c>
    </row>
    <row r="74" spans="1:6">
      <c r="A74" t="str">
        <f>TEXT(IF('Revenues &amp; Outlays in GDP'!B80&lt;&gt;0,'Revenues &amp; Outlays in GDP'!B80, ""), "mm/dd/yyyy")</f>
        <v/>
      </c>
      <c r="B74" t="str">
        <f>IFERROR(IF(ISNUMBER('Revenues &amp; Outlays in GDP'!G80),TEXT('Revenues &amp; Outlays in GDP'!G80, "0.00"),""), "")</f>
        <v/>
      </c>
      <c r="C74" t="str">
        <f>IFERROR(IF(ISNUMBER('Revenues &amp; Outlays in GDP'!C80),TEXT('Revenues &amp; Outlays in GDP'!C80, "0.00"),""), "")</f>
        <v/>
      </c>
      <c r="D74" t="str">
        <f>IFERROR(IF(ISNUMBER('Revenues &amp; Outlays in GDP'!H80),TEXT('Revenues &amp; Outlays in GDP'!H80, "0.00"),""), "")</f>
        <v/>
      </c>
      <c r="E74" t="str">
        <f>IFERROR(IF(ISNUMBER('Revenues &amp; Outlays in GDP'!D80),TEXT('Revenues &amp; Outlays in GDP'!D80, "0.00"),""), "")</f>
        <v/>
      </c>
      <c r="F74" t="str">
        <f>IFERROR(IF(ISNUMBER('Revenues &amp; Outlays in GDP'!B80), 'Revenues &amp; Outlays in GDP'!J80, ""), "")</f>
        <v/>
      </c>
    </row>
    <row r="75" spans="1:6">
      <c r="A75" t="str">
        <f>TEXT(IF('Revenues &amp; Outlays in GDP'!B81&lt;&gt;0,'Revenues &amp; Outlays in GDP'!B81, ""), "mm/dd/yyyy")</f>
        <v/>
      </c>
      <c r="B75" t="str">
        <f>IFERROR(IF(ISNUMBER('Revenues &amp; Outlays in GDP'!G81),TEXT('Revenues &amp; Outlays in GDP'!G81, "0.00"),""), "")</f>
        <v/>
      </c>
      <c r="C75" t="str">
        <f>IFERROR(IF(ISNUMBER('Revenues &amp; Outlays in GDP'!C81),TEXT('Revenues &amp; Outlays in GDP'!C81, "0.00"),""), "")</f>
        <v/>
      </c>
      <c r="D75" t="str">
        <f>IFERROR(IF(ISNUMBER('Revenues &amp; Outlays in GDP'!H81),TEXT('Revenues &amp; Outlays in GDP'!H81, "0.00"),""), "")</f>
        <v/>
      </c>
      <c r="E75" t="str">
        <f>IFERROR(IF(ISNUMBER('Revenues &amp; Outlays in GDP'!D81),TEXT('Revenues &amp; Outlays in GDP'!D81, "0.00"),""), "")</f>
        <v/>
      </c>
      <c r="F75" t="str">
        <f>IFERROR(IF(ISNUMBER('Revenues &amp; Outlays in GDP'!B81), 'Revenues &amp; Outlays in GDP'!J81, ""), "")</f>
        <v/>
      </c>
    </row>
    <row r="76" spans="1:6">
      <c r="A76" t="str">
        <f>TEXT(IF('Revenues &amp; Outlays in GDP'!B82&lt;&gt;0,'Revenues &amp; Outlays in GDP'!B82, ""), "mm/dd/yyyy")</f>
        <v/>
      </c>
      <c r="B76" t="str">
        <f>IFERROR(IF(ISNUMBER('Revenues &amp; Outlays in GDP'!G82),TEXT('Revenues &amp; Outlays in GDP'!G82, "0.00"),""), "")</f>
        <v/>
      </c>
      <c r="C76" t="str">
        <f>IFERROR(IF(ISNUMBER('Revenues &amp; Outlays in GDP'!C82),TEXT('Revenues &amp; Outlays in GDP'!C82, "0.00"),""), "")</f>
        <v/>
      </c>
      <c r="D76" t="str">
        <f>IFERROR(IF(ISNUMBER('Revenues &amp; Outlays in GDP'!H82),TEXT('Revenues &amp; Outlays in GDP'!H82, "0.00"),""), "")</f>
        <v/>
      </c>
      <c r="E76" t="str">
        <f>IFERROR(IF(ISNUMBER('Revenues &amp; Outlays in GDP'!D82),TEXT('Revenues &amp; Outlays in GDP'!D82, "0.00"),""), "")</f>
        <v/>
      </c>
      <c r="F76" t="str">
        <f>IFERROR(IF(ISNUMBER('Revenues &amp; Outlays in GDP'!B82), 'Revenues &amp; Outlays in GDP'!J82, ""), "")</f>
        <v/>
      </c>
    </row>
    <row r="77" spans="1:6">
      <c r="A77" t="str">
        <f>TEXT(IF('Revenues &amp; Outlays in GDP'!B83&lt;&gt;0,'Revenues &amp; Outlays in GDP'!B83, ""), "mm/dd/yyyy")</f>
        <v/>
      </c>
      <c r="B77" t="str">
        <f>IFERROR(IF(ISNUMBER('Revenues &amp; Outlays in GDP'!G83),TEXT('Revenues &amp; Outlays in GDP'!G83, "0.00"),""), "")</f>
        <v/>
      </c>
      <c r="C77" t="str">
        <f>IFERROR(IF(ISNUMBER('Revenues &amp; Outlays in GDP'!C83),TEXT('Revenues &amp; Outlays in GDP'!C83, "0.00"),""), "")</f>
        <v/>
      </c>
      <c r="D77" t="str">
        <f>IFERROR(IF(ISNUMBER('Revenues &amp; Outlays in GDP'!H83),TEXT('Revenues &amp; Outlays in GDP'!H83, "0.00"),""), "")</f>
        <v/>
      </c>
      <c r="E77" t="str">
        <f>IFERROR(IF(ISNUMBER('Revenues &amp; Outlays in GDP'!D83),TEXT('Revenues &amp; Outlays in GDP'!D83, "0.00"),""), "")</f>
        <v/>
      </c>
      <c r="F77" t="str">
        <f>IFERROR(IF(ISNUMBER('Revenues &amp; Outlays in GDP'!B83), 'Revenues &amp; Outlays in GDP'!J83, ""), "")</f>
        <v/>
      </c>
    </row>
    <row r="78" spans="1:6">
      <c r="A78" t="str">
        <f>TEXT(IF('Revenues &amp; Outlays in GDP'!B84&lt;&gt;0,'Revenues &amp; Outlays in GDP'!B84, ""), "mm/dd/yyyy")</f>
        <v/>
      </c>
      <c r="B78" t="str">
        <f>IFERROR(IF(ISNUMBER('Revenues &amp; Outlays in GDP'!G84),TEXT('Revenues &amp; Outlays in GDP'!G84, "0.00"),""), "")</f>
        <v/>
      </c>
      <c r="C78" t="str">
        <f>IFERROR(IF(ISNUMBER('Revenues &amp; Outlays in GDP'!C84),TEXT('Revenues &amp; Outlays in GDP'!C84, "0.00"),""), "")</f>
        <v/>
      </c>
      <c r="D78" t="str">
        <f>IFERROR(IF(ISNUMBER('Revenues &amp; Outlays in GDP'!H84),TEXT('Revenues &amp; Outlays in GDP'!H84, "0.00"),""), "")</f>
        <v/>
      </c>
      <c r="E78" t="str">
        <f>IFERROR(IF(ISNUMBER('Revenues &amp; Outlays in GDP'!D84),TEXT('Revenues &amp; Outlays in GDP'!D84, "0.00"),""), "")</f>
        <v/>
      </c>
      <c r="F78" t="str">
        <f>IFERROR(IF(ISNUMBER('Revenues &amp; Outlays in GDP'!B84), 'Revenues &amp; Outlays in GDP'!J84, ""), "")</f>
        <v/>
      </c>
    </row>
    <row r="79" spans="1:6">
      <c r="A79" t="str">
        <f>TEXT(IF('Revenues &amp; Outlays in GDP'!B85&lt;&gt;0,'Revenues &amp; Outlays in GDP'!B85, ""), "mm/dd/yyyy")</f>
        <v/>
      </c>
      <c r="B79" t="str">
        <f>IFERROR(IF(ISNUMBER('Revenues &amp; Outlays in GDP'!G85),TEXT('Revenues &amp; Outlays in GDP'!G85, "0.00"),""), "")</f>
        <v/>
      </c>
      <c r="C79" t="str">
        <f>IFERROR(IF(ISNUMBER('Revenues &amp; Outlays in GDP'!C85),TEXT('Revenues &amp; Outlays in GDP'!C85, "0.00"),""), "")</f>
        <v/>
      </c>
      <c r="D79" t="str">
        <f>IFERROR(IF(ISNUMBER('Revenues &amp; Outlays in GDP'!H85),TEXT('Revenues &amp; Outlays in GDP'!H85, "0.00"),""), "")</f>
        <v/>
      </c>
      <c r="E79" t="str">
        <f>IFERROR(IF(ISNUMBER('Revenues &amp; Outlays in GDP'!D85),TEXT('Revenues &amp; Outlays in GDP'!D85, "0.00"),""), "")</f>
        <v/>
      </c>
      <c r="F79" t="str">
        <f>IFERROR(IF(ISNUMBER('Revenues &amp; Outlays in GDP'!B85), 'Revenues &amp; Outlays in GDP'!J85, ""), "")</f>
        <v/>
      </c>
    </row>
    <row r="80" spans="1:6">
      <c r="A80" t="str">
        <f>TEXT(IF('Revenues &amp; Outlays in GDP'!B86&lt;&gt;0,'Revenues &amp; Outlays in GDP'!B86, ""), "mm/dd/yyyy")</f>
        <v/>
      </c>
      <c r="B80" t="str">
        <f>IFERROR(IF(ISNUMBER('Revenues &amp; Outlays in GDP'!G86),TEXT('Revenues &amp; Outlays in GDP'!G86, "0.00"),""), "")</f>
        <v/>
      </c>
      <c r="C80" t="str">
        <f>IFERROR(IF(ISNUMBER('Revenues &amp; Outlays in GDP'!C86),TEXT('Revenues &amp; Outlays in GDP'!C86, "0.00"),""), "")</f>
        <v/>
      </c>
      <c r="D80" t="str">
        <f>IFERROR(IF(ISNUMBER('Revenues &amp; Outlays in GDP'!H86),TEXT('Revenues &amp; Outlays in GDP'!H86, "0.00"),""), "")</f>
        <v/>
      </c>
      <c r="E80" t="str">
        <f>IFERROR(IF(ISNUMBER('Revenues &amp; Outlays in GDP'!D86),TEXT('Revenues &amp; Outlays in GDP'!D86, "0.00"),""), "")</f>
        <v/>
      </c>
      <c r="F80" t="str">
        <f>IFERROR(IF(ISNUMBER('Revenues &amp; Outlays in GDP'!B86), 'Revenues &amp; Outlays in GDP'!J86, ""), "")</f>
        <v/>
      </c>
    </row>
    <row r="81" spans="1:6">
      <c r="A81" t="str">
        <f>TEXT(IF('Revenues &amp; Outlays in GDP'!B87&lt;&gt;0,'Revenues &amp; Outlays in GDP'!B87, ""), "mm/dd/yyyy")</f>
        <v/>
      </c>
      <c r="B81" t="str">
        <f>IFERROR(IF(ISNUMBER('Revenues &amp; Outlays in GDP'!G87),TEXT('Revenues &amp; Outlays in GDP'!G87, "0.00"),""), "")</f>
        <v/>
      </c>
      <c r="C81" t="str">
        <f>IFERROR(IF(ISNUMBER('Revenues &amp; Outlays in GDP'!C87),TEXT('Revenues &amp; Outlays in GDP'!C87, "0.00"),""), "")</f>
        <v/>
      </c>
      <c r="D81" t="str">
        <f>IFERROR(IF(ISNUMBER('Revenues &amp; Outlays in GDP'!H87),TEXT('Revenues &amp; Outlays in GDP'!H87, "0.00"),""), "")</f>
        <v/>
      </c>
      <c r="E81" t="str">
        <f>IFERROR(IF(ISNUMBER('Revenues &amp; Outlays in GDP'!D87),TEXT('Revenues &amp; Outlays in GDP'!D87, "0.00"),""), "")</f>
        <v/>
      </c>
      <c r="F81" t="str">
        <f>IFERROR(IF(ISNUMBER('Revenues &amp; Outlays in GDP'!B87), 'Revenues &amp; Outlays in GDP'!J87, ""), "")</f>
        <v/>
      </c>
    </row>
    <row r="82" spans="1:6">
      <c r="A82" t="str">
        <f>TEXT(IF('Revenues &amp; Outlays in GDP'!B88&lt;&gt;0,'Revenues &amp; Outlays in GDP'!B88, ""), "mm/dd/yyyy")</f>
        <v/>
      </c>
      <c r="B82" t="str">
        <f>IFERROR(IF(ISNUMBER('Revenues &amp; Outlays in GDP'!G88),TEXT('Revenues &amp; Outlays in GDP'!G88, "0.00"),""), "")</f>
        <v/>
      </c>
      <c r="C82" t="str">
        <f>IFERROR(IF(ISNUMBER('Revenues &amp; Outlays in GDP'!C88),TEXT('Revenues &amp; Outlays in GDP'!C88, "0.00"),""), "")</f>
        <v/>
      </c>
      <c r="D82" t="str">
        <f>IFERROR(IF(ISNUMBER('Revenues &amp; Outlays in GDP'!H88),TEXT('Revenues &amp; Outlays in GDP'!H88, "0.00"),""), "")</f>
        <v/>
      </c>
      <c r="E82" t="str">
        <f>IFERROR(IF(ISNUMBER('Revenues &amp; Outlays in GDP'!D88),TEXT('Revenues &amp; Outlays in GDP'!D88, "0.00"),""), "")</f>
        <v/>
      </c>
      <c r="F82" t="str">
        <f>IFERROR(IF(ISNUMBER('Revenues &amp; Outlays in GDP'!B88), 'Revenues &amp; Outlays in GDP'!J88, ""), "")</f>
        <v/>
      </c>
    </row>
    <row r="83" spans="1:6">
      <c r="A83" t="str">
        <f>TEXT(IF('Revenues &amp; Outlays in GDP'!B89&lt;&gt;0,'Revenues &amp; Outlays in GDP'!B89, ""), "mm/dd/yyyy")</f>
        <v/>
      </c>
      <c r="B83" t="str">
        <f>IFERROR(IF(ISNUMBER('Revenues &amp; Outlays in GDP'!G89),TEXT('Revenues &amp; Outlays in GDP'!G89, "0.00"),""), "")</f>
        <v/>
      </c>
      <c r="C83" t="str">
        <f>IFERROR(IF(ISNUMBER('Revenues &amp; Outlays in GDP'!C89),TEXT('Revenues &amp; Outlays in GDP'!C89, "0.00"),""), "")</f>
        <v/>
      </c>
      <c r="D83" t="str">
        <f>IFERROR(IF(ISNUMBER('Revenues &amp; Outlays in GDP'!H89),TEXT('Revenues &amp; Outlays in GDP'!H89, "0.00"),""), "")</f>
        <v/>
      </c>
      <c r="E83" t="str">
        <f>IFERROR(IF(ISNUMBER('Revenues &amp; Outlays in GDP'!D89),TEXT('Revenues &amp; Outlays in GDP'!D89, "0.00"),""), "")</f>
        <v/>
      </c>
      <c r="F83" t="str">
        <f>IFERROR(IF(ISNUMBER('Revenues &amp; Outlays in GDP'!B89), 'Revenues &amp; Outlays in GDP'!J89, ""), "")</f>
        <v/>
      </c>
    </row>
    <row r="84" spans="1:6">
      <c r="A84" t="str">
        <f>TEXT(IF('Revenues &amp; Outlays in GDP'!B90&lt;&gt;0,'Revenues &amp; Outlays in GDP'!B90, ""), "mm/dd/yyyy")</f>
        <v/>
      </c>
      <c r="B84" t="str">
        <f>IFERROR(IF(ISNUMBER('Revenues &amp; Outlays in GDP'!G90),TEXT('Revenues &amp; Outlays in GDP'!G90, "0.00"),""), "")</f>
        <v/>
      </c>
      <c r="C84" t="str">
        <f>IFERROR(IF(ISNUMBER('Revenues &amp; Outlays in GDP'!C90),TEXT('Revenues &amp; Outlays in GDP'!C90, "0.00"),""), "")</f>
        <v/>
      </c>
      <c r="D84" t="str">
        <f>IFERROR(IF(ISNUMBER('Revenues &amp; Outlays in GDP'!H90),TEXT('Revenues &amp; Outlays in GDP'!H90, "0.00"),""), "")</f>
        <v/>
      </c>
      <c r="E84" t="str">
        <f>IFERROR(IF(ISNUMBER('Revenues &amp; Outlays in GDP'!D90),TEXT('Revenues &amp; Outlays in GDP'!D90, "0.00"),""), "")</f>
        <v/>
      </c>
      <c r="F84" t="str">
        <f>IFERROR(IF(ISNUMBER('Revenues &amp; Outlays in GDP'!B90), 'Revenues &amp; Outlays in GDP'!J90, ""), "")</f>
        <v/>
      </c>
    </row>
    <row r="85" spans="1:6">
      <c r="A85" t="str">
        <f>TEXT(IF('Revenues &amp; Outlays in GDP'!B91&lt;&gt;0,'Revenues &amp; Outlays in GDP'!B91, ""), "mm/dd/yyyy")</f>
        <v/>
      </c>
      <c r="B85" t="str">
        <f>IFERROR(IF(ISNUMBER('Revenues &amp; Outlays in GDP'!G91),TEXT('Revenues &amp; Outlays in GDP'!G91, "0.00"),""), "")</f>
        <v/>
      </c>
      <c r="C85" t="str">
        <f>IFERROR(IF(ISNUMBER('Revenues &amp; Outlays in GDP'!C91),TEXT('Revenues &amp; Outlays in GDP'!C91, "0.00"),""), "")</f>
        <v/>
      </c>
      <c r="D85" t="str">
        <f>IFERROR(IF(ISNUMBER('Revenues &amp; Outlays in GDP'!H91),TEXT('Revenues &amp; Outlays in GDP'!H91, "0.00"),""), "")</f>
        <v/>
      </c>
      <c r="E85" t="str">
        <f>IFERROR(IF(ISNUMBER('Revenues &amp; Outlays in GDP'!D91),TEXT('Revenues &amp; Outlays in GDP'!D91, "0.00"),""), "")</f>
        <v/>
      </c>
      <c r="F85" t="str">
        <f>IFERROR(IF(ISNUMBER('Revenues &amp; Outlays in GDP'!B91), 'Revenues &amp; Outlays in GDP'!J91, ""), "")</f>
        <v/>
      </c>
    </row>
    <row r="86" spans="1:6">
      <c r="A86" t="str">
        <f>TEXT(IF('Revenues &amp; Outlays in GDP'!B92&lt;&gt;0,'Revenues &amp; Outlays in GDP'!B92, ""), "mm/dd/yyyy")</f>
        <v/>
      </c>
      <c r="B86" t="str">
        <f>IFERROR(IF(ISNUMBER('Revenues &amp; Outlays in GDP'!G92),TEXT('Revenues &amp; Outlays in GDP'!G92, "0.00"),""), "")</f>
        <v/>
      </c>
      <c r="C86" t="str">
        <f>IFERROR(IF(ISNUMBER('Revenues &amp; Outlays in GDP'!C92),TEXT('Revenues &amp; Outlays in GDP'!C92, "0.00"),""), "")</f>
        <v/>
      </c>
      <c r="D86" t="str">
        <f>IFERROR(IF(ISNUMBER('Revenues &amp; Outlays in GDP'!H92),TEXT('Revenues &amp; Outlays in GDP'!H92, "0.00"),""), "")</f>
        <v/>
      </c>
      <c r="E86" t="str">
        <f>IFERROR(IF(ISNUMBER('Revenues &amp; Outlays in GDP'!D92),TEXT('Revenues &amp; Outlays in GDP'!D92, "0.00"),""), "")</f>
        <v/>
      </c>
      <c r="F86" t="str">
        <f>IFERROR(IF(ISNUMBER('Revenues &amp; Outlays in GDP'!B92), 'Revenues &amp; Outlays in GDP'!J92, ""), "")</f>
        <v/>
      </c>
    </row>
    <row r="87" spans="1:6">
      <c r="A87" t="str">
        <f>TEXT(IF('Revenues &amp; Outlays in GDP'!B93&lt;&gt;0,'Revenues &amp; Outlays in GDP'!B93, ""), "mm/dd/yyyy")</f>
        <v/>
      </c>
      <c r="B87" t="str">
        <f>IFERROR(IF(ISNUMBER('Revenues &amp; Outlays in GDP'!G93),TEXT('Revenues &amp; Outlays in GDP'!G93, "0.00"),""), "")</f>
        <v/>
      </c>
      <c r="C87" t="str">
        <f>IFERROR(IF(ISNUMBER('Revenues &amp; Outlays in GDP'!C93),TEXT('Revenues &amp; Outlays in GDP'!C93, "0.00"),""), "")</f>
        <v/>
      </c>
      <c r="D87" t="str">
        <f>IFERROR(IF(ISNUMBER('Revenues &amp; Outlays in GDP'!H93),TEXT('Revenues &amp; Outlays in GDP'!H93, "0.00"),""), "")</f>
        <v/>
      </c>
      <c r="E87" t="str">
        <f>IFERROR(IF(ISNUMBER('Revenues &amp; Outlays in GDP'!D93),TEXT('Revenues &amp; Outlays in GDP'!D93, "0.00"),""), "")</f>
        <v/>
      </c>
      <c r="F87" t="str">
        <f>IFERROR(IF(ISNUMBER('Revenues &amp; Outlays in GDP'!B93), 'Revenues &amp; Outlays in GDP'!J93, ""), "")</f>
        <v/>
      </c>
    </row>
    <row r="88" spans="1:6">
      <c r="A88" t="str">
        <f>TEXT(IF('Revenues &amp; Outlays in GDP'!B94&lt;&gt;0,'Revenues &amp; Outlays in GDP'!B94, ""), "mm/dd/yyyy")</f>
        <v/>
      </c>
      <c r="B88" t="str">
        <f>IFERROR(IF(ISNUMBER('Revenues &amp; Outlays in GDP'!G94),TEXT('Revenues &amp; Outlays in GDP'!G94, "0.00"),""), "")</f>
        <v/>
      </c>
      <c r="C88" t="str">
        <f>IFERROR(IF(ISNUMBER('Revenues &amp; Outlays in GDP'!C94),TEXT('Revenues &amp; Outlays in GDP'!C94, "0.00"),""), "")</f>
        <v/>
      </c>
      <c r="D88" t="str">
        <f>IFERROR(IF(ISNUMBER('Revenues &amp; Outlays in GDP'!H94),TEXT('Revenues &amp; Outlays in GDP'!H94, "0.00"),""), "")</f>
        <v/>
      </c>
      <c r="E88" t="str">
        <f>IFERROR(IF(ISNUMBER('Revenues &amp; Outlays in GDP'!D94),TEXT('Revenues &amp; Outlays in GDP'!D94, "0.00"),""), "")</f>
        <v/>
      </c>
      <c r="F88" t="str">
        <f>IFERROR(IF(ISNUMBER('Revenues &amp; Outlays in GDP'!B94), 'Revenues &amp; Outlays in GDP'!J94, ""), "")</f>
        <v/>
      </c>
    </row>
    <row r="89" spans="1:6">
      <c r="A89" t="str">
        <f>TEXT(IF('Revenues &amp; Outlays in GDP'!B95&lt;&gt;0,'Revenues &amp; Outlays in GDP'!B95, ""), "mm/dd/yyyy")</f>
        <v/>
      </c>
      <c r="B89" t="str">
        <f>IFERROR(IF(ISNUMBER('Revenues &amp; Outlays in GDP'!G95),TEXT('Revenues &amp; Outlays in GDP'!G95, "0.00"),""), "")</f>
        <v/>
      </c>
      <c r="C89" t="str">
        <f>IFERROR(IF(ISNUMBER('Revenues &amp; Outlays in GDP'!C95),TEXT('Revenues &amp; Outlays in GDP'!C95, "0.00"),""), "")</f>
        <v/>
      </c>
      <c r="D89" t="str">
        <f>IFERROR(IF(ISNUMBER('Revenues &amp; Outlays in GDP'!H95),TEXT('Revenues &amp; Outlays in GDP'!H95, "0.00"),""), "")</f>
        <v/>
      </c>
      <c r="E89" t="str">
        <f>IFERROR(IF(ISNUMBER('Revenues &amp; Outlays in GDP'!D95),TEXT('Revenues &amp; Outlays in GDP'!D95, "0.00"),""), "")</f>
        <v/>
      </c>
      <c r="F89" t="str">
        <f>IFERROR(IF(ISNUMBER('Revenues &amp; Outlays in GDP'!B95), 'Revenues &amp; Outlays in GDP'!J95, ""), "")</f>
        <v/>
      </c>
    </row>
    <row r="90" spans="1:6">
      <c r="A90" t="str">
        <f>TEXT(IF('Revenues &amp; Outlays in GDP'!B96&lt;&gt;0,'Revenues &amp; Outlays in GDP'!B96, ""), "mm/dd/yyyy")</f>
        <v/>
      </c>
      <c r="B90" t="str">
        <f>IFERROR(IF(ISNUMBER('Revenues &amp; Outlays in GDP'!G96),TEXT('Revenues &amp; Outlays in GDP'!G96, "0.00"),""), "")</f>
        <v/>
      </c>
      <c r="C90" t="str">
        <f>IFERROR(IF(ISNUMBER('Revenues &amp; Outlays in GDP'!C96),TEXT('Revenues &amp; Outlays in GDP'!C96, "0.00"),""), "")</f>
        <v/>
      </c>
      <c r="D90" t="str">
        <f>IFERROR(IF(ISNUMBER('Revenues &amp; Outlays in GDP'!H96),TEXT('Revenues &amp; Outlays in GDP'!H96, "0.00"),""), "")</f>
        <v/>
      </c>
      <c r="E90" t="str">
        <f>IFERROR(IF(ISNUMBER('Revenues &amp; Outlays in GDP'!D96),TEXT('Revenues &amp; Outlays in GDP'!D96, "0.00"),""), "")</f>
        <v/>
      </c>
      <c r="F90" t="str">
        <f>IFERROR(IF(ISNUMBER('Revenues &amp; Outlays in GDP'!B96), 'Revenues &amp; Outlays in GDP'!J96, ""), "")</f>
        <v/>
      </c>
    </row>
    <row r="91" spans="1:6">
      <c r="A91" t="str">
        <f>TEXT(IF('Revenues &amp; Outlays in GDP'!B97&lt;&gt;0,'Revenues &amp; Outlays in GDP'!B97, ""), "mm/dd/yyyy")</f>
        <v/>
      </c>
      <c r="B91" t="str">
        <f>IFERROR(IF(ISNUMBER('Revenues &amp; Outlays in GDP'!G97),TEXT('Revenues &amp; Outlays in GDP'!G97, "0.00"),""), "")</f>
        <v/>
      </c>
      <c r="C91" t="str">
        <f>IFERROR(IF(ISNUMBER('Revenues &amp; Outlays in GDP'!C97),TEXT('Revenues &amp; Outlays in GDP'!C97, "0.00"),""), "")</f>
        <v/>
      </c>
      <c r="D91" t="str">
        <f>IFERROR(IF(ISNUMBER('Revenues &amp; Outlays in GDP'!H97),TEXT('Revenues &amp; Outlays in GDP'!H97, "0.00"),""), "")</f>
        <v/>
      </c>
      <c r="E91" t="str">
        <f>IFERROR(IF(ISNUMBER('Revenues &amp; Outlays in GDP'!D97),TEXT('Revenues &amp; Outlays in GDP'!D97, "0.00"),""), "")</f>
        <v/>
      </c>
      <c r="F91" t="str">
        <f>IFERROR(IF(ISNUMBER('Revenues &amp; Outlays in GDP'!B97), 'Revenues &amp; Outlays in GDP'!J97, ""), "")</f>
        <v/>
      </c>
    </row>
    <row r="92" spans="1:6">
      <c r="A92" t="str">
        <f>TEXT(IF('Revenues &amp; Outlays in GDP'!B98&lt;&gt;0,'Revenues &amp; Outlays in GDP'!B98, ""), "mm/dd/yyyy")</f>
        <v/>
      </c>
      <c r="B92" t="str">
        <f>IFERROR(IF(ISNUMBER('Revenues &amp; Outlays in GDP'!G98),TEXT('Revenues &amp; Outlays in GDP'!G98, "0.00"),""), "")</f>
        <v/>
      </c>
      <c r="C92" t="str">
        <f>IFERROR(IF(ISNUMBER('Revenues &amp; Outlays in GDP'!C98),TEXT('Revenues &amp; Outlays in GDP'!C98, "0.00"),""), "")</f>
        <v/>
      </c>
      <c r="D92" t="str">
        <f>IFERROR(IF(ISNUMBER('Revenues &amp; Outlays in GDP'!H98),TEXT('Revenues &amp; Outlays in GDP'!H98, "0.00"),""), "")</f>
        <v/>
      </c>
      <c r="E92" t="str">
        <f>IFERROR(IF(ISNUMBER('Revenues &amp; Outlays in GDP'!D98),TEXT('Revenues &amp; Outlays in GDP'!D98, "0.00"),""), "")</f>
        <v/>
      </c>
      <c r="F92" t="str">
        <f>IFERROR(IF(ISNUMBER('Revenues &amp; Outlays in GDP'!B98), 'Revenues &amp; Outlays in GDP'!J98, ""), "")</f>
        <v/>
      </c>
    </row>
    <row r="93" spans="1:6">
      <c r="A93" t="str">
        <f>TEXT(IF('Revenues &amp; Outlays in GDP'!B99&lt;&gt;0,'Revenues &amp; Outlays in GDP'!B99, ""), "mm/dd/yyyy")</f>
        <v/>
      </c>
      <c r="B93" t="str">
        <f>IFERROR(IF(ISNUMBER('Revenues &amp; Outlays in GDP'!G99),TEXT('Revenues &amp; Outlays in GDP'!G99, "0.00"),""), "")</f>
        <v/>
      </c>
      <c r="C93" t="str">
        <f>IFERROR(IF(ISNUMBER('Revenues &amp; Outlays in GDP'!C99),TEXT('Revenues &amp; Outlays in GDP'!C99, "0.00"),""), "")</f>
        <v/>
      </c>
      <c r="D93" t="str">
        <f>IFERROR(IF(ISNUMBER('Revenues &amp; Outlays in GDP'!H99),TEXT('Revenues &amp; Outlays in GDP'!H99, "0.00"),""), "")</f>
        <v/>
      </c>
      <c r="E93" t="str">
        <f>IFERROR(IF(ISNUMBER('Revenues &amp; Outlays in GDP'!D99),TEXT('Revenues &amp; Outlays in GDP'!D99, "0.00"),""), "")</f>
        <v/>
      </c>
      <c r="F93" t="str">
        <f>IFERROR(IF(ISNUMBER('Revenues &amp; Outlays in GDP'!B99), 'Revenues &amp; Outlays in GDP'!J99, ""), "")</f>
        <v/>
      </c>
    </row>
    <row r="94" spans="1:6">
      <c r="A94" t="str">
        <f>TEXT(IF('Revenues &amp; Outlays in GDP'!B100&lt;&gt;0,'Revenues &amp; Outlays in GDP'!B100, ""), "mm/dd/yyyy")</f>
        <v/>
      </c>
      <c r="B94" t="str">
        <f>IFERROR(IF(ISNUMBER('Revenues &amp; Outlays in GDP'!G100),TEXT('Revenues &amp; Outlays in GDP'!G100, "0.00"),""), "")</f>
        <v/>
      </c>
      <c r="C94" t="str">
        <f>IFERROR(IF(ISNUMBER('Revenues &amp; Outlays in GDP'!C100),TEXT('Revenues &amp; Outlays in GDP'!C100, "0.00"),""), "")</f>
        <v/>
      </c>
      <c r="D94" t="str">
        <f>IFERROR(IF(ISNUMBER('Revenues &amp; Outlays in GDP'!H100),TEXT('Revenues &amp; Outlays in GDP'!H100, "0.00"),""), "")</f>
        <v/>
      </c>
      <c r="E94" t="str">
        <f>IFERROR(IF(ISNUMBER('Revenues &amp; Outlays in GDP'!D100),TEXT('Revenues &amp; Outlays in GDP'!D100, "0.00"),""), "")</f>
        <v/>
      </c>
      <c r="F94" t="str">
        <f>IFERROR(IF(ISNUMBER('Revenues &amp; Outlays in GDP'!B100), 'Revenues &amp; Outlays in GDP'!J100, ""), "")</f>
        <v/>
      </c>
    </row>
    <row r="95" spans="1:6">
      <c r="A95" t="str">
        <f>TEXT(IF('Revenues &amp; Outlays in GDP'!B101&lt;&gt;0,'Revenues &amp; Outlays in GDP'!B101, ""), "mm/dd/yyyy")</f>
        <v/>
      </c>
      <c r="B95" t="str">
        <f>IFERROR(IF(ISNUMBER('Revenues &amp; Outlays in GDP'!G101),TEXT('Revenues &amp; Outlays in GDP'!G101, "0.00"),""), "")</f>
        <v/>
      </c>
      <c r="C95" t="str">
        <f>IFERROR(IF(ISNUMBER('Revenues &amp; Outlays in GDP'!C101),TEXT('Revenues &amp; Outlays in GDP'!C101, "0.00"),""), "")</f>
        <v/>
      </c>
      <c r="D95" t="str">
        <f>IFERROR(IF(ISNUMBER('Revenues &amp; Outlays in GDP'!H101),TEXT('Revenues &amp; Outlays in GDP'!H101, "0.00"),""), "")</f>
        <v/>
      </c>
      <c r="E95" t="str">
        <f>IFERROR(IF(ISNUMBER('Revenues &amp; Outlays in GDP'!D101),TEXT('Revenues &amp; Outlays in GDP'!D101, "0.00"),""), "")</f>
        <v/>
      </c>
      <c r="F95" t="str">
        <f>IFERROR(IF(ISNUMBER('Revenues &amp; Outlays in GDP'!B101), 'Revenues &amp; Outlays in GDP'!J101, ""), "")</f>
        <v/>
      </c>
    </row>
    <row r="96" spans="1:6">
      <c r="A96" t="str">
        <f>TEXT(IF('Revenues &amp; Outlays in GDP'!B102&lt;&gt;0,'Revenues &amp; Outlays in GDP'!B102, ""), "mm/dd/yyyy")</f>
        <v/>
      </c>
      <c r="B96" t="str">
        <f>IFERROR(IF(ISNUMBER('Revenues &amp; Outlays in GDP'!G102),TEXT('Revenues &amp; Outlays in GDP'!G102, "0.00"),""), "")</f>
        <v/>
      </c>
      <c r="C96" t="str">
        <f>IFERROR(IF(ISNUMBER('Revenues &amp; Outlays in GDP'!C102),TEXT('Revenues &amp; Outlays in GDP'!C102, "0.00"),""), "")</f>
        <v/>
      </c>
      <c r="D96" t="str">
        <f>IFERROR(IF(ISNUMBER('Revenues &amp; Outlays in GDP'!H102),TEXT('Revenues &amp; Outlays in GDP'!H102, "0.00"),""), "")</f>
        <v/>
      </c>
      <c r="E96" t="str">
        <f>IFERROR(IF(ISNUMBER('Revenues &amp; Outlays in GDP'!D102),TEXT('Revenues &amp; Outlays in GDP'!D102, "0.00"),""), "")</f>
        <v/>
      </c>
      <c r="F96" t="str">
        <f>IFERROR(IF(ISNUMBER('Revenues &amp; Outlays in GDP'!B102), 'Revenues &amp; Outlays in GDP'!J102, ""), "")</f>
        <v/>
      </c>
    </row>
    <row r="97" spans="1:6">
      <c r="A97" t="str">
        <f>TEXT(IF('Revenues &amp; Outlays in GDP'!B103&lt;&gt;0,'Revenues &amp; Outlays in GDP'!B103, ""), "mm/dd/yyyy")</f>
        <v/>
      </c>
      <c r="B97" t="str">
        <f>IFERROR(IF(ISNUMBER('Revenues &amp; Outlays in GDP'!G103),TEXT('Revenues &amp; Outlays in GDP'!G103, "0.00"),""), "")</f>
        <v/>
      </c>
      <c r="C97" t="str">
        <f>IFERROR(IF(ISNUMBER('Revenues &amp; Outlays in GDP'!C103),TEXT('Revenues &amp; Outlays in GDP'!C103, "0.00"),""), "")</f>
        <v/>
      </c>
      <c r="D97" t="str">
        <f>IFERROR(IF(ISNUMBER('Revenues &amp; Outlays in GDP'!H103),TEXT('Revenues &amp; Outlays in GDP'!H103, "0.00"),""), "")</f>
        <v/>
      </c>
      <c r="E97" t="str">
        <f>IFERROR(IF(ISNUMBER('Revenues &amp; Outlays in GDP'!D103),TEXT('Revenues &amp; Outlays in GDP'!D103, "0.00"),""), "")</f>
        <v/>
      </c>
      <c r="F97" t="str">
        <f>IFERROR(IF(ISNUMBER('Revenues &amp; Outlays in GDP'!B103), 'Revenues &amp; Outlays in GDP'!J103, ""), "")</f>
        <v/>
      </c>
    </row>
    <row r="98" spans="1:6">
      <c r="A98" t="str">
        <f>TEXT(IF('Revenues &amp; Outlays in GDP'!B104&lt;&gt;0,'Revenues &amp; Outlays in GDP'!B104, ""), "mm/dd/yyyy")</f>
        <v/>
      </c>
      <c r="B98" t="str">
        <f>IFERROR(IF(ISNUMBER('Revenues &amp; Outlays in GDP'!G104),TEXT('Revenues &amp; Outlays in GDP'!G104, "0.00"),""), "")</f>
        <v/>
      </c>
      <c r="C98" t="str">
        <f>IFERROR(IF(ISNUMBER('Revenues &amp; Outlays in GDP'!C104),TEXT('Revenues &amp; Outlays in GDP'!C104, "0.00"),""), "")</f>
        <v/>
      </c>
      <c r="D98" t="str">
        <f>IFERROR(IF(ISNUMBER('Revenues &amp; Outlays in GDP'!H104),TEXT('Revenues &amp; Outlays in GDP'!H104, "0.00"),""), "")</f>
        <v/>
      </c>
      <c r="E98" t="str">
        <f>IFERROR(IF(ISNUMBER('Revenues &amp; Outlays in GDP'!D104),TEXT('Revenues &amp; Outlays in GDP'!D104, "0.00"),""), "")</f>
        <v/>
      </c>
      <c r="F98" t="str">
        <f>IFERROR(IF(ISNUMBER('Revenues &amp; Outlays in GDP'!B104), 'Revenues &amp; Outlays in GDP'!J104, ""), "")</f>
        <v/>
      </c>
    </row>
    <row r="99" spans="1:6">
      <c r="A99" t="str">
        <f>TEXT(IF('Revenues &amp; Outlays in GDP'!B105&lt;&gt;0,'Revenues &amp; Outlays in GDP'!B105, ""), "mm/dd/yyyy")</f>
        <v/>
      </c>
      <c r="B99" t="str">
        <f>IFERROR(IF(ISNUMBER('Revenues &amp; Outlays in GDP'!G105),TEXT('Revenues &amp; Outlays in GDP'!G105, "0.00"),""), "")</f>
        <v/>
      </c>
      <c r="C99" t="str">
        <f>IFERROR(IF(ISNUMBER('Revenues &amp; Outlays in GDP'!C105),TEXT('Revenues &amp; Outlays in GDP'!C105, "0.00"),""), "")</f>
        <v/>
      </c>
      <c r="D99" t="str">
        <f>IFERROR(IF(ISNUMBER('Revenues &amp; Outlays in GDP'!H105),TEXT('Revenues &amp; Outlays in GDP'!H105, "0.00"),""), "")</f>
        <v/>
      </c>
      <c r="E99" t="str">
        <f>IFERROR(IF(ISNUMBER('Revenues &amp; Outlays in GDP'!D105),TEXT('Revenues &amp; Outlays in GDP'!D105, "0.00"),""), "")</f>
        <v/>
      </c>
      <c r="F99" t="str">
        <f>IFERROR(IF(ISNUMBER('Revenues &amp; Outlays in GDP'!B105), 'Revenues &amp; Outlays in GDP'!J105, ""), "")</f>
        <v/>
      </c>
    </row>
    <row r="100" spans="1:6">
      <c r="A100" t="str">
        <f>TEXT(IF('Revenues &amp; Outlays in GDP'!B106&lt;&gt;0,'Revenues &amp; Outlays in GDP'!B106, ""), "mm/dd/yyyy")</f>
        <v/>
      </c>
      <c r="B100" t="str">
        <f>IFERROR(IF(ISNUMBER('Revenues &amp; Outlays in GDP'!G106),TEXT('Revenues &amp; Outlays in GDP'!G106, "0.00"),""), "")</f>
        <v/>
      </c>
      <c r="C100" t="str">
        <f>IFERROR(IF(ISNUMBER('Revenues &amp; Outlays in GDP'!C106),TEXT('Revenues &amp; Outlays in GDP'!C106, "0.00"),""), "")</f>
        <v/>
      </c>
      <c r="D100" t="str">
        <f>IFERROR(IF(ISNUMBER('Revenues &amp; Outlays in GDP'!H106),TEXT('Revenues &amp; Outlays in GDP'!H106, "0.00"),""), "")</f>
        <v/>
      </c>
      <c r="E100" t="str">
        <f>IFERROR(IF(ISNUMBER('Revenues &amp; Outlays in GDP'!D106),TEXT('Revenues &amp; Outlays in GDP'!D106, "0.00"),""), "")</f>
        <v/>
      </c>
      <c r="F100" t="str">
        <f>IFERROR(IF(ISNUMBER('Revenues &amp; Outlays in GDP'!B106), 'Revenues &amp; Outlays in GDP'!J106, ""), "")</f>
        <v/>
      </c>
    </row>
    <row r="101" spans="1:6">
      <c r="A101" t="str">
        <f>TEXT(IF('Revenues &amp; Outlays in GDP'!B107&lt;&gt;0,'Revenues &amp; Outlays in GDP'!B107, ""), "mm/dd/yyyy")</f>
        <v/>
      </c>
      <c r="B101" t="str">
        <f>IFERROR(IF(ISNUMBER('Revenues &amp; Outlays in GDP'!G107),TEXT('Revenues &amp; Outlays in GDP'!G107, "0.00"),""), "")</f>
        <v/>
      </c>
      <c r="C101" t="str">
        <f>IFERROR(IF(ISNUMBER('Revenues &amp; Outlays in GDP'!C107),TEXT('Revenues &amp; Outlays in GDP'!C107, "0.00"),""), "")</f>
        <v/>
      </c>
      <c r="D101" t="str">
        <f>IFERROR(IF(ISNUMBER('Revenues &amp; Outlays in GDP'!H107),TEXT('Revenues &amp; Outlays in GDP'!H107, "0.00"),""), "")</f>
        <v/>
      </c>
      <c r="E101" t="str">
        <f>IFERROR(IF(ISNUMBER('Revenues &amp; Outlays in GDP'!D107),TEXT('Revenues &amp; Outlays in GDP'!D107, "0.00"),""), "")</f>
        <v/>
      </c>
      <c r="F101" t="str">
        <f>IFERROR(IF(ISNUMBER('Revenues &amp; Outlays in GDP'!B107), 'Revenues &amp; Outlays in GDP'!J107, ""), "")</f>
        <v/>
      </c>
    </row>
    <row r="102" spans="1:6">
      <c r="A102" t="str">
        <f>TEXT(IF('Revenues &amp; Outlays in GDP'!B108&lt;&gt;0,'Revenues &amp; Outlays in GDP'!B108, ""), "mm/dd/yyyy")</f>
        <v/>
      </c>
      <c r="B102" t="str">
        <f>IFERROR(IF(ISNUMBER('Revenues &amp; Outlays in GDP'!G108),TEXT('Revenues &amp; Outlays in GDP'!G108, "0.00"),""), "")</f>
        <v/>
      </c>
      <c r="C102" t="str">
        <f>IFERROR(IF(ISNUMBER('Revenues &amp; Outlays in GDP'!C108),TEXT('Revenues &amp; Outlays in GDP'!C108, "0.00"),""), "")</f>
        <v/>
      </c>
      <c r="D102" t="str">
        <f>IFERROR(IF(ISNUMBER('Revenues &amp; Outlays in GDP'!H108),TEXT('Revenues &amp; Outlays in GDP'!H108, "0.00"),""), "")</f>
        <v/>
      </c>
      <c r="E102" t="str">
        <f>IFERROR(IF(ISNUMBER('Revenues &amp; Outlays in GDP'!D108),TEXT('Revenues &amp; Outlays in GDP'!D108, "0.00"),""), "")</f>
        <v/>
      </c>
      <c r="F102" t="str">
        <f>IFERROR(IF(ISNUMBER('Revenues &amp; Outlays in GDP'!B108), 'Revenues &amp; Outlays in GDP'!J108, ""), "")</f>
        <v/>
      </c>
    </row>
    <row r="103" spans="1:6">
      <c r="A103" t="str">
        <f>TEXT(IF('Revenues &amp; Outlays in GDP'!B109&lt;&gt;0,'Revenues &amp; Outlays in GDP'!B109, ""), "mm/dd/yyyy")</f>
        <v/>
      </c>
      <c r="B103" t="str">
        <f>IFERROR(IF(ISNUMBER('Revenues &amp; Outlays in GDP'!G109),TEXT('Revenues &amp; Outlays in GDP'!G109, "0.00"),""), "")</f>
        <v/>
      </c>
      <c r="C103" t="str">
        <f>IFERROR(IF(ISNUMBER('Revenues &amp; Outlays in GDP'!C109),TEXT('Revenues &amp; Outlays in GDP'!C109, "0.00"),""), "")</f>
        <v/>
      </c>
      <c r="D103" t="str">
        <f>IFERROR(IF(ISNUMBER('Revenues &amp; Outlays in GDP'!H109),TEXT('Revenues &amp; Outlays in GDP'!H109, "0.00"),""), "")</f>
        <v/>
      </c>
      <c r="E103" t="str">
        <f>IFERROR(IF(ISNUMBER('Revenues &amp; Outlays in GDP'!D109),TEXT('Revenues &amp; Outlays in GDP'!D109, "0.00"),""), "")</f>
        <v/>
      </c>
      <c r="F103" t="str">
        <f>IFERROR(IF(ISNUMBER('Revenues &amp; Outlays in GDP'!B109), 'Revenues &amp; Outlays in GDP'!J109, ""), "")</f>
        <v/>
      </c>
    </row>
    <row r="104" spans="1:6">
      <c r="A104" t="str">
        <f>TEXT(IF('Revenues &amp; Outlays in GDP'!B110&lt;&gt;0,'Revenues &amp; Outlays in GDP'!B110, ""), "mm/dd/yyyy")</f>
        <v/>
      </c>
      <c r="B104" t="str">
        <f>IFERROR(IF(ISNUMBER('Revenues &amp; Outlays in GDP'!G110),TEXT('Revenues &amp; Outlays in GDP'!G110, "0.00"),""), "")</f>
        <v/>
      </c>
      <c r="C104" t="str">
        <f>IFERROR(IF(ISNUMBER('Revenues &amp; Outlays in GDP'!C110),TEXT('Revenues &amp; Outlays in GDP'!C110, "0.00"),""), "")</f>
        <v/>
      </c>
      <c r="D104" t="str">
        <f>IFERROR(IF(ISNUMBER('Revenues &amp; Outlays in GDP'!H110),TEXT('Revenues &amp; Outlays in GDP'!H110, "0.00"),""), "")</f>
        <v/>
      </c>
      <c r="E104" t="str">
        <f>IFERROR(IF(ISNUMBER('Revenues &amp; Outlays in GDP'!D110),TEXT('Revenues &amp; Outlays in GDP'!D110, "0.00"),""), "")</f>
        <v/>
      </c>
      <c r="F104" t="str">
        <f>IFERROR(IF(ISNUMBER('Revenues &amp; Outlays in GDP'!B110), 'Revenues &amp; Outlays in GDP'!J110, ""), "")</f>
        <v/>
      </c>
    </row>
    <row r="105" spans="1:6">
      <c r="A105" t="str">
        <f>TEXT(IF('Revenues &amp; Outlays in GDP'!B111&lt;&gt;0,'Revenues &amp; Outlays in GDP'!B111, ""), "mm/dd/yyyy")</f>
        <v/>
      </c>
      <c r="B105" t="str">
        <f>IFERROR(IF(ISNUMBER('Revenues &amp; Outlays in GDP'!G111),TEXT('Revenues &amp; Outlays in GDP'!G111, "0.00"),""), "")</f>
        <v/>
      </c>
      <c r="C105" t="str">
        <f>IFERROR(IF(ISNUMBER('Revenues &amp; Outlays in GDP'!C111),TEXT('Revenues &amp; Outlays in GDP'!C111, "0.00"),""), "")</f>
        <v/>
      </c>
      <c r="D105" t="str">
        <f>IFERROR(IF(ISNUMBER('Revenues &amp; Outlays in GDP'!H111),TEXT('Revenues &amp; Outlays in GDP'!H111, "0.00"),""), "")</f>
        <v/>
      </c>
      <c r="E105" t="str">
        <f>IFERROR(IF(ISNUMBER('Revenues &amp; Outlays in GDP'!D111),TEXT('Revenues &amp; Outlays in GDP'!D111, "0.00"),""), "")</f>
        <v/>
      </c>
      <c r="F105" t="str">
        <f>IFERROR(IF(ISNUMBER('Revenues &amp; Outlays in GDP'!B111), 'Revenues &amp; Outlays in GDP'!J111, ""), "")</f>
        <v/>
      </c>
    </row>
    <row r="106" spans="1:6">
      <c r="A106" t="str">
        <f>TEXT(IF('Revenues &amp; Outlays in GDP'!B112&lt;&gt;0,'Revenues &amp; Outlays in GDP'!B112, ""), "mm/dd/yyyy")</f>
        <v/>
      </c>
      <c r="B106" t="str">
        <f>IFERROR(IF(ISNUMBER('Revenues &amp; Outlays in GDP'!G112),TEXT('Revenues &amp; Outlays in GDP'!G112, "0.00"),""), "")</f>
        <v/>
      </c>
      <c r="C106" t="str">
        <f>IFERROR(IF(ISNUMBER('Revenues &amp; Outlays in GDP'!C112),TEXT('Revenues &amp; Outlays in GDP'!C112, "0.00"),""), "")</f>
        <v/>
      </c>
      <c r="D106" t="str">
        <f>IFERROR(IF(ISNUMBER('Revenues &amp; Outlays in GDP'!H112),TEXT('Revenues &amp; Outlays in GDP'!H112, "0.00"),""), "")</f>
        <v/>
      </c>
      <c r="E106" t="str">
        <f>IFERROR(IF(ISNUMBER('Revenues &amp; Outlays in GDP'!D112),TEXT('Revenues &amp; Outlays in GDP'!D112, "0.00"),""), "")</f>
        <v/>
      </c>
      <c r="F106" t="str">
        <f>IFERROR(IF(ISNUMBER('Revenues &amp; Outlays in GDP'!B112), 'Revenues &amp; Outlays in GDP'!J112, ""), "")</f>
        <v/>
      </c>
    </row>
    <row r="107" spans="1:6">
      <c r="A107" t="str">
        <f>TEXT(IF('Revenues &amp; Outlays in GDP'!B113&lt;&gt;0,'Revenues &amp; Outlays in GDP'!B113, ""), "mm/dd/yyyy")</f>
        <v/>
      </c>
      <c r="B107" t="str">
        <f>IFERROR(IF(ISNUMBER('Revenues &amp; Outlays in GDP'!G113),TEXT('Revenues &amp; Outlays in GDP'!G113, "0.00"),""), "")</f>
        <v/>
      </c>
      <c r="C107" t="str">
        <f>IFERROR(IF(ISNUMBER('Revenues &amp; Outlays in GDP'!C113),TEXT('Revenues &amp; Outlays in GDP'!C113, "0.00"),""), "")</f>
        <v/>
      </c>
      <c r="D107" t="str">
        <f>IFERROR(IF(ISNUMBER('Revenues &amp; Outlays in GDP'!H113),TEXT('Revenues &amp; Outlays in GDP'!H113, "0.00"),""), "")</f>
        <v/>
      </c>
      <c r="E107" t="str">
        <f>IFERROR(IF(ISNUMBER('Revenues &amp; Outlays in GDP'!D113),TEXT('Revenues &amp; Outlays in GDP'!D113, "0.00"),""), "")</f>
        <v/>
      </c>
      <c r="F107" t="str">
        <f>IFERROR(IF(ISNUMBER('Revenues &amp; Outlays in GDP'!B113), 'Revenues &amp; Outlays in GDP'!J113, ""), "")</f>
        <v/>
      </c>
    </row>
    <row r="108" spans="1:6">
      <c r="A108" t="str">
        <f>TEXT(IF('Revenues &amp; Outlays in GDP'!B114&lt;&gt;0,'Revenues &amp; Outlays in GDP'!B114, ""), "mm/dd/yyyy")</f>
        <v/>
      </c>
      <c r="B108" t="str">
        <f>IFERROR(IF(ISNUMBER('Revenues &amp; Outlays in GDP'!G114),TEXT('Revenues &amp; Outlays in GDP'!G114, "0.00"),""), "")</f>
        <v/>
      </c>
      <c r="C108" t="str">
        <f>IFERROR(IF(ISNUMBER('Revenues &amp; Outlays in GDP'!C114),TEXT('Revenues &amp; Outlays in GDP'!C114, "0.00"),""), "")</f>
        <v/>
      </c>
      <c r="D108" t="str">
        <f>IFERROR(IF(ISNUMBER('Revenues &amp; Outlays in GDP'!H114),TEXT('Revenues &amp; Outlays in GDP'!H114, "0.00"),""), "")</f>
        <v/>
      </c>
      <c r="E108" t="str">
        <f>IFERROR(IF(ISNUMBER('Revenues &amp; Outlays in GDP'!D114),TEXT('Revenues &amp; Outlays in GDP'!D114, "0.00"),""), "")</f>
        <v/>
      </c>
      <c r="F108" t="str">
        <f>IFERROR(IF(ISNUMBER('Revenues &amp; Outlays in GDP'!B114), 'Revenues &amp; Outlays in GDP'!J114, ""), "")</f>
        <v/>
      </c>
    </row>
    <row r="109" spans="1:6">
      <c r="A109" t="str">
        <f>TEXT(IF('Revenues &amp; Outlays in GDP'!B115&lt;&gt;0,'Revenues &amp; Outlays in GDP'!B115, ""), "mm/dd/yyyy")</f>
        <v/>
      </c>
      <c r="B109" t="str">
        <f>IFERROR(IF(ISNUMBER('Revenues &amp; Outlays in GDP'!G115),TEXT('Revenues &amp; Outlays in GDP'!G115, "0.00"),""), "")</f>
        <v/>
      </c>
      <c r="C109" t="str">
        <f>IFERROR(IF(ISNUMBER('Revenues &amp; Outlays in GDP'!C115),TEXT('Revenues &amp; Outlays in GDP'!C115, "0.00"),""), "")</f>
        <v/>
      </c>
      <c r="D109" t="str">
        <f>IFERROR(IF(ISNUMBER('Revenues &amp; Outlays in GDP'!H115),TEXT('Revenues &amp; Outlays in GDP'!H115, "0.00"),""), "")</f>
        <v/>
      </c>
      <c r="E109" t="str">
        <f>IFERROR(IF(ISNUMBER('Revenues &amp; Outlays in GDP'!D115),TEXT('Revenues &amp; Outlays in GDP'!D115, "0.00"),""), "")</f>
        <v/>
      </c>
      <c r="F109" t="str">
        <f>IFERROR(IF(ISNUMBER('Revenues &amp; Outlays in GDP'!B115), 'Revenues &amp; Outlays in GDP'!J115, ""), "")</f>
        <v/>
      </c>
    </row>
    <row r="110" spans="1:6">
      <c r="A110" t="str">
        <f>TEXT(IF('Revenues &amp; Outlays in GDP'!B116&lt;&gt;0,'Revenues &amp; Outlays in GDP'!B116, ""), "mm/dd/yyyy")</f>
        <v/>
      </c>
      <c r="B110" t="str">
        <f>IFERROR(IF(ISNUMBER('Revenues &amp; Outlays in GDP'!G116),TEXT('Revenues &amp; Outlays in GDP'!G116, "0.00"),""), "")</f>
        <v/>
      </c>
      <c r="C110" t="str">
        <f>IFERROR(IF(ISNUMBER('Revenues &amp; Outlays in GDP'!C116),TEXT('Revenues &amp; Outlays in GDP'!C116, "0.00"),""), "")</f>
        <v/>
      </c>
      <c r="D110" t="str">
        <f>IFERROR(IF(ISNUMBER('Revenues &amp; Outlays in GDP'!H116),TEXT('Revenues &amp; Outlays in GDP'!H116, "0.00"),""), "")</f>
        <v/>
      </c>
      <c r="E110" t="str">
        <f>IFERROR(IF(ISNUMBER('Revenues &amp; Outlays in GDP'!D116),TEXT('Revenues &amp; Outlays in GDP'!D116, "0.00"),""), "")</f>
        <v/>
      </c>
      <c r="F110" t="str">
        <f>IFERROR(IF(ISNUMBER('Revenues &amp; Outlays in GDP'!B116), 'Revenues &amp; Outlays in GDP'!J116, ""), "")</f>
        <v/>
      </c>
    </row>
    <row r="111" spans="1:6">
      <c r="A111" t="str">
        <f>TEXT(IF('Revenues &amp; Outlays in GDP'!B117&lt;&gt;0,'Revenues &amp; Outlays in GDP'!B117, ""), "mm/dd/yyyy")</f>
        <v/>
      </c>
      <c r="B111" t="str">
        <f>IFERROR(IF(ISNUMBER('Revenues &amp; Outlays in GDP'!G117),TEXT('Revenues &amp; Outlays in GDP'!G117, "0.00"),""), "")</f>
        <v/>
      </c>
      <c r="C111" t="str">
        <f>IFERROR(IF(ISNUMBER('Revenues &amp; Outlays in GDP'!C117),TEXT('Revenues &amp; Outlays in GDP'!C117, "0.00"),""), "")</f>
        <v/>
      </c>
      <c r="D111" t="str">
        <f>IFERROR(IF(ISNUMBER('Revenues &amp; Outlays in GDP'!H117),TEXT('Revenues &amp; Outlays in GDP'!H117, "0.00"),""), "")</f>
        <v/>
      </c>
      <c r="E111" t="str">
        <f>IFERROR(IF(ISNUMBER('Revenues &amp; Outlays in GDP'!D117),TEXT('Revenues &amp; Outlays in GDP'!D117, "0.00"),""), "")</f>
        <v/>
      </c>
      <c r="F111" t="str">
        <f>IFERROR(IF(ISNUMBER('Revenues &amp; Outlays in GDP'!B117), 'Revenues &amp; Outlays in GDP'!J117, ""), "")</f>
        <v/>
      </c>
    </row>
    <row r="112" spans="1:6">
      <c r="A112" t="str">
        <f>TEXT(IF('Revenues &amp; Outlays in GDP'!B118&lt;&gt;0,'Revenues &amp; Outlays in GDP'!B118, ""), "mm/dd/yyyy")</f>
        <v/>
      </c>
      <c r="B112" t="str">
        <f>IFERROR(IF(ISNUMBER('Revenues &amp; Outlays in GDP'!G118),TEXT('Revenues &amp; Outlays in GDP'!G118, "0.00"),""), "")</f>
        <v/>
      </c>
      <c r="C112" t="str">
        <f>IFERROR(IF(ISNUMBER('Revenues &amp; Outlays in GDP'!C118),TEXT('Revenues &amp; Outlays in GDP'!C118, "0.00"),""), "")</f>
        <v/>
      </c>
      <c r="D112" t="str">
        <f>IFERROR(IF(ISNUMBER('Revenues &amp; Outlays in GDP'!H118),TEXT('Revenues &amp; Outlays in GDP'!H118, "0.00"),""), "")</f>
        <v/>
      </c>
      <c r="E112" t="str">
        <f>IFERROR(IF(ISNUMBER('Revenues &amp; Outlays in GDP'!D118),TEXT('Revenues &amp; Outlays in GDP'!D118, "0.00"),""), "")</f>
        <v/>
      </c>
      <c r="F112" t="str">
        <f>IFERROR(IF(ISNUMBER('Revenues &amp; Outlays in GDP'!B118), 'Revenues &amp; Outlays in GDP'!J118, ""), "")</f>
        <v/>
      </c>
    </row>
    <row r="113" spans="1:6">
      <c r="A113" t="str">
        <f>TEXT(IF('Revenues &amp; Outlays in GDP'!B119&lt;&gt;0,'Revenues &amp; Outlays in GDP'!B119, ""), "mm/dd/yyyy")</f>
        <v/>
      </c>
      <c r="B113" t="str">
        <f>IFERROR(IF(ISNUMBER('Revenues &amp; Outlays in GDP'!G119),TEXT('Revenues &amp; Outlays in GDP'!G119, "0.00"),""), "")</f>
        <v/>
      </c>
      <c r="C113" t="str">
        <f>IFERROR(IF(ISNUMBER('Revenues &amp; Outlays in GDP'!C119),TEXT('Revenues &amp; Outlays in GDP'!C119, "0.00"),""), "")</f>
        <v/>
      </c>
      <c r="D113" t="str">
        <f>IFERROR(IF(ISNUMBER('Revenues &amp; Outlays in GDP'!H119),TEXT('Revenues &amp; Outlays in GDP'!H119, "0.00"),""), "")</f>
        <v/>
      </c>
      <c r="E113" t="str">
        <f>IFERROR(IF(ISNUMBER('Revenues &amp; Outlays in GDP'!D119),TEXT('Revenues &amp; Outlays in GDP'!D119, "0.00"),""), "")</f>
        <v/>
      </c>
      <c r="F113" t="str">
        <f>IFERROR(IF(ISNUMBER('Revenues &amp; Outlays in GDP'!B119), 'Revenues &amp; Outlays in GDP'!J119, ""), "")</f>
        <v/>
      </c>
    </row>
    <row r="114" spans="1:6">
      <c r="A114" t="str">
        <f>TEXT(IF('Revenues &amp; Outlays in GDP'!B120&lt;&gt;0,'Revenues &amp; Outlays in GDP'!B120, ""), "mm/dd/yyyy")</f>
        <v/>
      </c>
      <c r="B114" t="str">
        <f>IFERROR(IF(ISNUMBER('Revenues &amp; Outlays in GDP'!G120),TEXT('Revenues &amp; Outlays in GDP'!G120, "0.00"),""), "")</f>
        <v/>
      </c>
      <c r="C114" t="str">
        <f>IFERROR(IF(ISNUMBER('Revenues &amp; Outlays in GDP'!C120),TEXT('Revenues &amp; Outlays in GDP'!C120, "0.00"),""), "")</f>
        <v/>
      </c>
      <c r="D114" t="str">
        <f>IFERROR(IF(ISNUMBER('Revenues &amp; Outlays in GDP'!H120),TEXT('Revenues &amp; Outlays in GDP'!H120, "0.00"),""), "")</f>
        <v/>
      </c>
      <c r="E114" t="str">
        <f>IFERROR(IF(ISNUMBER('Revenues &amp; Outlays in GDP'!D120),TEXT('Revenues &amp; Outlays in GDP'!D120, "0.00"),""), "")</f>
        <v/>
      </c>
      <c r="F114" t="str">
        <f>IFERROR(IF(ISNUMBER('Revenues &amp; Outlays in GDP'!B120), 'Revenues &amp; Outlays in GDP'!J120, ""), "")</f>
        <v/>
      </c>
    </row>
    <row r="115" spans="1:6">
      <c r="A115" t="str">
        <f>TEXT(IF('Revenues &amp; Outlays in GDP'!B121&lt;&gt;0,'Revenues &amp; Outlays in GDP'!B121, ""), "mm/dd/yyyy")</f>
        <v/>
      </c>
      <c r="B115" t="str">
        <f>IFERROR(IF(ISNUMBER('Revenues &amp; Outlays in GDP'!G121),TEXT('Revenues &amp; Outlays in GDP'!G121, "0.00"),""), "")</f>
        <v/>
      </c>
      <c r="C115" t="str">
        <f>IFERROR(IF(ISNUMBER('Revenues &amp; Outlays in GDP'!C121),TEXT('Revenues &amp; Outlays in GDP'!C121, "0.00"),""), "")</f>
        <v/>
      </c>
      <c r="D115" t="str">
        <f>IFERROR(IF(ISNUMBER('Revenues &amp; Outlays in GDP'!H121),TEXT('Revenues &amp; Outlays in GDP'!H121, "0.00"),""), "")</f>
        <v/>
      </c>
      <c r="E115" t="str">
        <f>IFERROR(IF(ISNUMBER('Revenues &amp; Outlays in GDP'!D121),TEXT('Revenues &amp; Outlays in GDP'!D121, "0.00"),""), "")</f>
        <v/>
      </c>
      <c r="F115" t="str">
        <f>IFERROR(IF(ISNUMBER('Revenues &amp; Outlays in GDP'!B121), 'Revenues &amp; Outlays in GDP'!J121, ""), "")</f>
        <v/>
      </c>
    </row>
    <row r="116" spans="1:6">
      <c r="A116" t="str">
        <f>TEXT(IF('Revenues &amp; Outlays in GDP'!B122&lt;&gt;0,'Revenues &amp; Outlays in GDP'!B122, ""), "mm/dd/yyyy")</f>
        <v/>
      </c>
      <c r="B116" t="str">
        <f>IFERROR(IF(ISNUMBER('Revenues &amp; Outlays in GDP'!G122),TEXT('Revenues &amp; Outlays in GDP'!G122, "0.00"),""), "")</f>
        <v/>
      </c>
      <c r="C116" t="str">
        <f>IFERROR(IF(ISNUMBER('Revenues &amp; Outlays in GDP'!C122),TEXT('Revenues &amp; Outlays in GDP'!C122, "0.00"),""), "")</f>
        <v/>
      </c>
      <c r="D116" t="str">
        <f>IFERROR(IF(ISNUMBER('Revenues &amp; Outlays in GDP'!H122),TEXT('Revenues &amp; Outlays in GDP'!H122, "0.00"),""), "")</f>
        <v/>
      </c>
      <c r="E116" t="str">
        <f>IFERROR(IF(ISNUMBER('Revenues &amp; Outlays in GDP'!D122),TEXT('Revenues &amp; Outlays in GDP'!D122, "0.00"),""), "")</f>
        <v/>
      </c>
      <c r="F116" t="str">
        <f>IFERROR(IF(ISNUMBER('Revenues &amp; Outlays in GDP'!B122), 'Revenues &amp; Outlays in GDP'!J122, ""), "")</f>
        <v/>
      </c>
    </row>
    <row r="117" spans="1:6">
      <c r="A117" t="str">
        <f>TEXT(IF('Revenues &amp; Outlays in GDP'!B123&lt;&gt;0,'Revenues &amp; Outlays in GDP'!B123, ""), "mm/dd/yyyy")</f>
        <v/>
      </c>
      <c r="B117" t="str">
        <f>IFERROR(IF(ISNUMBER('Revenues &amp; Outlays in GDP'!G123),TEXT('Revenues &amp; Outlays in GDP'!G123, "0.00"),""), "")</f>
        <v/>
      </c>
      <c r="C117" t="str">
        <f>IFERROR(IF(ISNUMBER('Revenues &amp; Outlays in GDP'!C123),TEXT('Revenues &amp; Outlays in GDP'!C123, "0.00"),""), "")</f>
        <v/>
      </c>
      <c r="D117" t="str">
        <f>IFERROR(IF(ISNUMBER('Revenues &amp; Outlays in GDP'!H123),TEXT('Revenues &amp; Outlays in GDP'!H123, "0.00"),""), "")</f>
        <v/>
      </c>
      <c r="E117" t="str">
        <f>IFERROR(IF(ISNUMBER('Revenues &amp; Outlays in GDP'!D123),TEXT('Revenues &amp; Outlays in GDP'!D123, "0.00"),""), "")</f>
        <v/>
      </c>
      <c r="F117" t="str">
        <f>IFERROR(IF(ISNUMBER('Revenues &amp; Outlays in GDP'!B123), 'Revenues &amp; Outlays in GDP'!J123, ""), "")</f>
        <v/>
      </c>
    </row>
    <row r="118" spans="1:6">
      <c r="A118" t="str">
        <f>TEXT(IF('Revenues &amp; Outlays in GDP'!B124&lt;&gt;0,'Revenues &amp; Outlays in GDP'!B124, ""), "mm/dd/yyyy")</f>
        <v/>
      </c>
      <c r="B118" t="str">
        <f>IFERROR(IF(ISNUMBER('Revenues &amp; Outlays in GDP'!G124),TEXT('Revenues &amp; Outlays in GDP'!G124, "0.00"),""), "")</f>
        <v/>
      </c>
      <c r="C118" t="str">
        <f>IFERROR(IF(ISNUMBER('Revenues &amp; Outlays in GDP'!C124),TEXT('Revenues &amp; Outlays in GDP'!C124, "0.00"),""), "")</f>
        <v/>
      </c>
      <c r="D118" t="str">
        <f>IFERROR(IF(ISNUMBER('Revenues &amp; Outlays in GDP'!H124),TEXT('Revenues &amp; Outlays in GDP'!H124, "0.00"),""), "")</f>
        <v/>
      </c>
      <c r="E118" t="str">
        <f>IFERROR(IF(ISNUMBER('Revenues &amp; Outlays in GDP'!D124),TEXT('Revenues &amp; Outlays in GDP'!D124, "0.00"),""), "")</f>
        <v/>
      </c>
      <c r="F118" t="str">
        <f>IFERROR(IF(ISNUMBER('Revenues &amp; Outlays in GDP'!B124), 'Revenues &amp; Outlays in GDP'!J124, ""), "")</f>
        <v/>
      </c>
    </row>
    <row r="119" spans="1:6">
      <c r="A119" t="str">
        <f>TEXT(IF('Revenues &amp; Outlays in GDP'!B125&lt;&gt;0,'Revenues &amp; Outlays in GDP'!B125, ""), "mm/dd/yyyy")</f>
        <v/>
      </c>
      <c r="B119" t="str">
        <f>IFERROR(IF(ISNUMBER('Revenues &amp; Outlays in GDP'!G125),TEXT('Revenues &amp; Outlays in GDP'!G125, "0.00"),""), "")</f>
        <v/>
      </c>
      <c r="C119" t="str">
        <f>IFERROR(IF(ISNUMBER('Revenues &amp; Outlays in GDP'!C125),TEXT('Revenues &amp; Outlays in GDP'!C125, "0.00"),""), "")</f>
        <v/>
      </c>
      <c r="D119" t="str">
        <f>IFERROR(IF(ISNUMBER('Revenues &amp; Outlays in GDP'!H125),TEXT('Revenues &amp; Outlays in GDP'!H125, "0.00"),""), "")</f>
        <v/>
      </c>
      <c r="E119" t="str">
        <f>IFERROR(IF(ISNUMBER('Revenues &amp; Outlays in GDP'!D125),TEXT('Revenues &amp; Outlays in GDP'!D125, "0.00"),""), "")</f>
        <v/>
      </c>
      <c r="F119" t="str">
        <f>IFERROR(IF(ISNUMBER('Revenues &amp; Outlays in GDP'!B125), 'Revenues &amp; Outlays in GDP'!J125, ""), "")</f>
        <v/>
      </c>
    </row>
    <row r="120" spans="1:6">
      <c r="A120" t="str">
        <f>TEXT(IF('Revenues &amp; Outlays in GDP'!B126&lt;&gt;0,'Revenues &amp; Outlays in GDP'!B126, ""), "mm/dd/yyyy")</f>
        <v/>
      </c>
      <c r="B120" t="str">
        <f>IFERROR(IF(ISNUMBER('Revenues &amp; Outlays in GDP'!G126),TEXT('Revenues &amp; Outlays in GDP'!G126, "0.00"),""), "")</f>
        <v/>
      </c>
      <c r="C120" t="str">
        <f>IFERROR(IF(ISNUMBER('Revenues &amp; Outlays in GDP'!C126),TEXT('Revenues &amp; Outlays in GDP'!C126, "0.00"),""), "")</f>
        <v/>
      </c>
      <c r="D120" t="str">
        <f>IFERROR(IF(ISNUMBER('Revenues &amp; Outlays in GDP'!H126),TEXT('Revenues &amp; Outlays in GDP'!H126, "0.00"),""), "")</f>
        <v/>
      </c>
      <c r="E120" t="str">
        <f>IFERROR(IF(ISNUMBER('Revenues &amp; Outlays in GDP'!D126),TEXT('Revenues &amp; Outlays in GDP'!D126, "0.00"),""), "")</f>
        <v/>
      </c>
      <c r="F120" t="str">
        <f>IFERROR(IF(ISNUMBER('Revenues &amp; Outlays in GDP'!B126), 'Revenues &amp; Outlays in GDP'!J126, ""), "")</f>
        <v/>
      </c>
    </row>
    <row r="121" spans="1:6">
      <c r="A121" t="str">
        <f>TEXT(IF('Revenues &amp; Outlays in GDP'!B127&lt;&gt;0,'Revenues &amp; Outlays in GDP'!B127, ""), "mm/dd/yyyy")</f>
        <v/>
      </c>
      <c r="B121" t="str">
        <f>IFERROR(IF(ISNUMBER('Revenues &amp; Outlays in GDP'!G127),TEXT('Revenues &amp; Outlays in GDP'!G127, "0.00"),""), "")</f>
        <v/>
      </c>
      <c r="C121" t="str">
        <f>IFERROR(IF(ISNUMBER('Revenues &amp; Outlays in GDP'!C127),TEXT('Revenues &amp; Outlays in GDP'!C127, "0.00"),""), "")</f>
        <v/>
      </c>
      <c r="D121" t="str">
        <f>IFERROR(IF(ISNUMBER('Revenues &amp; Outlays in GDP'!H127),TEXT('Revenues &amp; Outlays in GDP'!H127, "0.00"),""), "")</f>
        <v/>
      </c>
      <c r="E121" t="str">
        <f>IFERROR(IF(ISNUMBER('Revenues &amp; Outlays in GDP'!D127),TEXT('Revenues &amp; Outlays in GDP'!D127, "0.00"),""), "")</f>
        <v/>
      </c>
      <c r="F121" t="str">
        <f>IFERROR(IF(ISNUMBER('Revenues &amp; Outlays in GDP'!B127), 'Revenues &amp; Outlays in GDP'!J127, ""), "")</f>
        <v/>
      </c>
    </row>
    <row r="122" spans="1:6">
      <c r="A122" t="str">
        <f>TEXT(IF('Revenues &amp; Outlays in GDP'!B128&lt;&gt;0,'Revenues &amp; Outlays in GDP'!B128, ""), "mm/dd/yyyy")</f>
        <v/>
      </c>
      <c r="B122" t="str">
        <f>IFERROR(IF(ISNUMBER('Revenues &amp; Outlays in GDP'!G128),TEXT('Revenues &amp; Outlays in GDP'!G128, "0.00"),""), "")</f>
        <v/>
      </c>
      <c r="C122" t="str">
        <f>IFERROR(IF(ISNUMBER('Revenues &amp; Outlays in GDP'!C128),TEXT('Revenues &amp; Outlays in GDP'!C128, "0.00"),""), "")</f>
        <v/>
      </c>
      <c r="D122" t="str">
        <f>IFERROR(IF(ISNUMBER('Revenues &amp; Outlays in GDP'!H128),TEXT('Revenues &amp; Outlays in GDP'!H128, "0.00"),""), "")</f>
        <v/>
      </c>
      <c r="E122" t="str">
        <f>IFERROR(IF(ISNUMBER('Revenues &amp; Outlays in GDP'!D128),TEXT('Revenues &amp; Outlays in GDP'!D128, "0.00"),""), "")</f>
        <v/>
      </c>
      <c r="F122" t="str">
        <f>IFERROR(IF(ISNUMBER('Revenues &amp; Outlays in GDP'!B128), 'Revenues &amp; Outlays in GDP'!J128, ""), "")</f>
        <v/>
      </c>
    </row>
    <row r="123" spans="1:6">
      <c r="A123" t="str">
        <f>TEXT(IF('Revenues &amp; Outlays in GDP'!B129&lt;&gt;0,'Revenues &amp; Outlays in GDP'!B129, ""), "mm/dd/yyyy")</f>
        <v/>
      </c>
      <c r="B123" t="str">
        <f>IFERROR(IF(ISNUMBER('Revenues &amp; Outlays in GDP'!G129),TEXT('Revenues &amp; Outlays in GDP'!G129, "0.00"),""), "")</f>
        <v/>
      </c>
      <c r="C123" t="str">
        <f>IFERROR(IF(ISNUMBER('Revenues &amp; Outlays in GDP'!C129),TEXT('Revenues &amp; Outlays in GDP'!C129, "0.00"),""), "")</f>
        <v/>
      </c>
      <c r="D123" t="str">
        <f>IFERROR(IF(ISNUMBER('Revenues &amp; Outlays in GDP'!H129),TEXT('Revenues &amp; Outlays in GDP'!H129, "0.00"),""), "")</f>
        <v/>
      </c>
      <c r="E123" t="str">
        <f>IFERROR(IF(ISNUMBER('Revenues &amp; Outlays in GDP'!D129),TEXT('Revenues &amp; Outlays in GDP'!D129, "0.00"),""), "")</f>
        <v/>
      </c>
      <c r="F123" t="str">
        <f>IFERROR(IF(ISNUMBER('Revenues &amp; Outlays in GDP'!B129), 'Revenues &amp; Outlays in GDP'!J129, ""), "")</f>
        <v/>
      </c>
    </row>
    <row r="124" spans="1:6">
      <c r="A124" t="str">
        <f>TEXT(IF('Revenues &amp; Outlays in GDP'!B130&lt;&gt;0,'Revenues &amp; Outlays in GDP'!B130, ""), "mm/dd/yyyy")</f>
        <v/>
      </c>
      <c r="B124" t="str">
        <f>IFERROR(IF(ISNUMBER('Revenues &amp; Outlays in GDP'!G130),TEXT('Revenues &amp; Outlays in GDP'!G130, "0.00"),""), "")</f>
        <v/>
      </c>
      <c r="C124" t="str">
        <f>IFERROR(IF(ISNUMBER('Revenues &amp; Outlays in GDP'!C130),TEXT('Revenues &amp; Outlays in GDP'!C130, "0.00"),""), "")</f>
        <v/>
      </c>
      <c r="D124" t="str">
        <f>IFERROR(IF(ISNUMBER('Revenues &amp; Outlays in GDP'!H130),TEXT('Revenues &amp; Outlays in GDP'!H130, "0.00"),""), "")</f>
        <v/>
      </c>
      <c r="E124" t="str">
        <f>IFERROR(IF(ISNUMBER('Revenues &amp; Outlays in GDP'!D130),TEXT('Revenues &amp; Outlays in GDP'!D130, "0.00"),""), "")</f>
        <v/>
      </c>
      <c r="F124" t="str">
        <f>IFERROR(IF(ISNUMBER('Revenues &amp; Outlays in GDP'!B130), 'Revenues &amp; Outlays in GDP'!J130, ""), "")</f>
        <v/>
      </c>
    </row>
    <row r="125" spans="1:6">
      <c r="A125" t="str">
        <f>TEXT(IF('Revenues &amp; Outlays in GDP'!B131&lt;&gt;0,'Revenues &amp; Outlays in GDP'!B131, ""), "mm/dd/yyyy")</f>
        <v/>
      </c>
      <c r="B125" t="str">
        <f>IFERROR(IF(ISNUMBER('Revenues &amp; Outlays in GDP'!G131),TEXT('Revenues &amp; Outlays in GDP'!G131, "0.00"),""), "")</f>
        <v/>
      </c>
      <c r="C125" t="str">
        <f>IFERROR(IF(ISNUMBER('Revenues &amp; Outlays in GDP'!C131),TEXT('Revenues &amp; Outlays in GDP'!C131, "0.00"),""), "")</f>
        <v/>
      </c>
      <c r="D125" t="str">
        <f>IFERROR(IF(ISNUMBER('Revenues &amp; Outlays in GDP'!H131),TEXT('Revenues &amp; Outlays in GDP'!H131, "0.00"),""), "")</f>
        <v/>
      </c>
      <c r="E125" t="str">
        <f>IFERROR(IF(ISNUMBER('Revenues &amp; Outlays in GDP'!D131),TEXT('Revenues &amp; Outlays in GDP'!D131, "0.00"),""), "")</f>
        <v/>
      </c>
      <c r="F125" t="str">
        <f>IFERROR(IF(ISNUMBER('Revenues &amp; Outlays in GDP'!B131), 'Revenues &amp; Outlays in GDP'!J131, ""), "")</f>
        <v/>
      </c>
    </row>
    <row r="126" spans="1:6">
      <c r="A126" t="str">
        <f>TEXT(IF('Revenues &amp; Outlays in GDP'!B132&lt;&gt;0,'Revenues &amp; Outlays in GDP'!B132, ""), "mm/dd/yyyy")</f>
        <v/>
      </c>
      <c r="B126" t="str">
        <f>IFERROR(IF(ISNUMBER('Revenues &amp; Outlays in GDP'!G132),TEXT('Revenues &amp; Outlays in GDP'!G132, "0.00"),""), "")</f>
        <v/>
      </c>
      <c r="C126" t="str">
        <f>IFERROR(IF(ISNUMBER('Revenues &amp; Outlays in GDP'!C132),TEXT('Revenues &amp; Outlays in GDP'!C132, "0.00"),""), "")</f>
        <v/>
      </c>
      <c r="D126" t="str">
        <f>IFERROR(IF(ISNUMBER('Revenues &amp; Outlays in GDP'!H132),TEXT('Revenues &amp; Outlays in GDP'!H132, "0.00"),""), "")</f>
        <v/>
      </c>
      <c r="E126" t="str">
        <f>IFERROR(IF(ISNUMBER('Revenues &amp; Outlays in GDP'!D132),TEXT('Revenues &amp; Outlays in GDP'!D132, "0.00"),""), "")</f>
        <v/>
      </c>
      <c r="F126" t="str">
        <f>IFERROR(IF(ISNUMBER('Revenues &amp; Outlays in GDP'!B132), 'Revenues &amp; Outlays in GDP'!J132, ""), "")</f>
        <v/>
      </c>
    </row>
    <row r="127" spans="1:6">
      <c r="A127" t="str">
        <f>TEXT(IF('Revenues &amp; Outlays in GDP'!B133&lt;&gt;0,'Revenues &amp; Outlays in GDP'!B133, ""), "mm/dd/yyyy")</f>
        <v/>
      </c>
      <c r="B127" t="str">
        <f>IFERROR(IF(ISNUMBER('Revenues &amp; Outlays in GDP'!G133),TEXT('Revenues &amp; Outlays in GDP'!G133, "0.00"),""), "")</f>
        <v/>
      </c>
      <c r="C127" t="str">
        <f>IFERROR(IF(ISNUMBER('Revenues &amp; Outlays in GDP'!C133),TEXT('Revenues &amp; Outlays in GDP'!C133, "0.00"),""), "")</f>
        <v/>
      </c>
      <c r="D127" t="str">
        <f>IFERROR(IF(ISNUMBER('Revenues &amp; Outlays in GDP'!H133),TEXT('Revenues &amp; Outlays in GDP'!H133, "0.00"),""), "")</f>
        <v/>
      </c>
      <c r="E127" t="str">
        <f>IFERROR(IF(ISNUMBER('Revenues &amp; Outlays in GDP'!D133),TEXT('Revenues &amp; Outlays in GDP'!D133, "0.00"),""), "")</f>
        <v/>
      </c>
      <c r="F127" t="str">
        <f>IFERROR(IF(ISNUMBER('Revenues &amp; Outlays in GDP'!B133), 'Revenues &amp; Outlays in GDP'!J133, ""), "")</f>
        <v/>
      </c>
    </row>
    <row r="128" spans="1:6">
      <c r="A128" t="str">
        <f>TEXT(IF('Revenues &amp; Outlays in GDP'!B134&lt;&gt;0,'Revenues &amp; Outlays in GDP'!B134, ""), "mm/dd/yyyy")</f>
        <v/>
      </c>
      <c r="B128" t="str">
        <f>IFERROR(IF(ISNUMBER('Revenues &amp; Outlays in GDP'!G134),TEXT('Revenues &amp; Outlays in GDP'!G134, "0.00"),""), "")</f>
        <v/>
      </c>
      <c r="C128" t="str">
        <f>IFERROR(IF(ISNUMBER('Revenues &amp; Outlays in GDP'!C134),TEXT('Revenues &amp; Outlays in GDP'!C134, "0.00"),""), "")</f>
        <v/>
      </c>
      <c r="D128" t="str">
        <f>IFERROR(IF(ISNUMBER('Revenues &amp; Outlays in GDP'!H134),TEXT('Revenues &amp; Outlays in GDP'!H134, "0.00"),""), "")</f>
        <v/>
      </c>
      <c r="E128" t="str">
        <f>IFERROR(IF(ISNUMBER('Revenues &amp; Outlays in GDP'!D134),TEXT('Revenues &amp; Outlays in GDP'!D134, "0.00"),""), "")</f>
        <v/>
      </c>
      <c r="F128" t="str">
        <f>IFERROR(IF(ISNUMBER('Revenues &amp; Outlays in GDP'!B134), 'Revenues &amp; Outlays in GDP'!J134, ""), "")</f>
        <v/>
      </c>
    </row>
    <row r="129" spans="1:6">
      <c r="A129" t="str">
        <f>TEXT(IF('Revenues &amp; Outlays in GDP'!B135&lt;&gt;0,'Revenues &amp; Outlays in GDP'!B135, ""), "mm/dd/yyyy")</f>
        <v/>
      </c>
      <c r="B129" t="str">
        <f>IFERROR(IF(ISNUMBER('Revenues &amp; Outlays in GDP'!G135),TEXT('Revenues &amp; Outlays in GDP'!G135, "0.00"),""), "")</f>
        <v/>
      </c>
      <c r="C129" t="str">
        <f>IFERROR(IF(ISNUMBER('Revenues &amp; Outlays in GDP'!C135),TEXT('Revenues &amp; Outlays in GDP'!C135, "0.00"),""), "")</f>
        <v/>
      </c>
      <c r="D129" t="str">
        <f>IFERROR(IF(ISNUMBER('Revenues &amp; Outlays in GDP'!H135),TEXT('Revenues &amp; Outlays in GDP'!H135, "0.00"),""), "")</f>
        <v/>
      </c>
      <c r="E129" t="str">
        <f>IFERROR(IF(ISNUMBER('Revenues &amp; Outlays in GDP'!D135),TEXT('Revenues &amp; Outlays in GDP'!D135, "0.00"),""), "")</f>
        <v/>
      </c>
      <c r="F129" t="str">
        <f>IFERROR(IF(ISNUMBER('Revenues &amp; Outlays in GDP'!B135), 'Revenues &amp; Outlays in GDP'!J135, ""), "")</f>
        <v/>
      </c>
    </row>
    <row r="130" spans="1:6">
      <c r="A130" t="str">
        <f>TEXT(IF('Revenues &amp; Outlays in GDP'!B136&lt;&gt;0,'Revenues &amp; Outlays in GDP'!B136, ""), "mm/dd/yyyy")</f>
        <v/>
      </c>
      <c r="B130" t="str">
        <f>IFERROR(IF(ISNUMBER('Revenues &amp; Outlays in GDP'!G136),TEXT('Revenues &amp; Outlays in GDP'!G136, "0.00"),""), "")</f>
        <v/>
      </c>
      <c r="C130" t="str">
        <f>IFERROR(IF(ISNUMBER('Revenues &amp; Outlays in GDP'!C136),TEXT('Revenues &amp; Outlays in GDP'!C136, "0.00"),""), "")</f>
        <v/>
      </c>
      <c r="D130" t="str">
        <f>IFERROR(IF(ISNUMBER('Revenues &amp; Outlays in GDP'!H136),TEXT('Revenues &amp; Outlays in GDP'!H136, "0.00"),""), "")</f>
        <v/>
      </c>
      <c r="E130" t="str">
        <f>IFERROR(IF(ISNUMBER('Revenues &amp; Outlays in GDP'!D136),TEXT('Revenues &amp; Outlays in GDP'!D136, "0.00"),""), "")</f>
        <v/>
      </c>
      <c r="F130" t="str">
        <f>IFERROR(IF(ISNUMBER('Revenues &amp; Outlays in GDP'!B136), 'Revenues &amp; Outlays in GDP'!J136, ""), "")</f>
        <v/>
      </c>
    </row>
    <row r="131" spans="1:6">
      <c r="A131" t="str">
        <f>TEXT(IF('Revenues &amp; Outlays in GDP'!B137&lt;&gt;0,'Revenues &amp; Outlays in GDP'!B137, ""), "mm/dd/yyyy")</f>
        <v/>
      </c>
      <c r="B131" t="str">
        <f>IFERROR(IF(ISNUMBER('Revenues &amp; Outlays in GDP'!G137),TEXT('Revenues &amp; Outlays in GDP'!G137, "0.00"),""), "")</f>
        <v/>
      </c>
      <c r="C131" t="str">
        <f>IFERROR(IF(ISNUMBER('Revenues &amp; Outlays in GDP'!C137),TEXT('Revenues &amp; Outlays in GDP'!C137, "0.00"),""), "")</f>
        <v/>
      </c>
      <c r="D131" t="str">
        <f>IFERROR(IF(ISNUMBER('Revenues &amp; Outlays in GDP'!H137),TEXT('Revenues &amp; Outlays in GDP'!H137, "0.00"),""), "")</f>
        <v/>
      </c>
      <c r="E131" t="str">
        <f>IFERROR(IF(ISNUMBER('Revenues &amp; Outlays in GDP'!D137),TEXT('Revenues &amp; Outlays in GDP'!D137, "0.00"),""), "")</f>
        <v/>
      </c>
      <c r="F131" t="str">
        <f>IFERROR(IF(ISNUMBER('Revenues &amp; Outlays in GDP'!B137), 'Revenues &amp; Outlays in GDP'!J137, ""), "")</f>
        <v/>
      </c>
    </row>
    <row r="132" spans="1:6">
      <c r="A132" t="str">
        <f>TEXT(IF('Revenues &amp; Outlays in GDP'!B138&lt;&gt;0,'Revenues &amp; Outlays in GDP'!B138, ""), "mm/dd/yyyy")</f>
        <v/>
      </c>
      <c r="B132" t="str">
        <f>IFERROR(IF(ISNUMBER('Revenues &amp; Outlays in GDP'!G138),TEXT('Revenues &amp; Outlays in GDP'!G138, "0.00"),""), "")</f>
        <v/>
      </c>
      <c r="C132" t="str">
        <f>IFERROR(IF(ISNUMBER('Revenues &amp; Outlays in GDP'!C138),TEXT('Revenues &amp; Outlays in GDP'!C138, "0.00"),""), "")</f>
        <v/>
      </c>
      <c r="D132" t="str">
        <f>IFERROR(IF(ISNUMBER('Revenues &amp; Outlays in GDP'!H138),TEXT('Revenues &amp; Outlays in GDP'!H138, "0.00"),""), "")</f>
        <v/>
      </c>
      <c r="E132" t="str">
        <f>IFERROR(IF(ISNUMBER('Revenues &amp; Outlays in GDP'!D138),TEXT('Revenues &amp; Outlays in GDP'!D138, "0.00"),""), "")</f>
        <v/>
      </c>
      <c r="F132" t="str">
        <f>IFERROR(IF(ISNUMBER('Revenues &amp; Outlays in GDP'!B138), 'Revenues &amp; Outlays in GDP'!J138, ""), "")</f>
        <v/>
      </c>
    </row>
    <row r="133" spans="1:6">
      <c r="A133" t="str">
        <f>TEXT(IF('Revenues &amp; Outlays in GDP'!B139&lt;&gt;0,'Revenues &amp; Outlays in GDP'!B139, ""), "mm/dd/yyyy")</f>
        <v/>
      </c>
      <c r="B133" t="str">
        <f>IFERROR(IF(ISNUMBER('Revenues &amp; Outlays in GDP'!G139),TEXT('Revenues &amp; Outlays in GDP'!G139, "0.00"),""), "")</f>
        <v/>
      </c>
      <c r="C133" t="str">
        <f>IFERROR(IF(ISNUMBER('Revenues &amp; Outlays in GDP'!C139),TEXT('Revenues &amp; Outlays in GDP'!C139, "0.00"),""), "")</f>
        <v/>
      </c>
      <c r="D133" t="str">
        <f>IFERROR(IF(ISNUMBER('Revenues &amp; Outlays in GDP'!H139),TEXT('Revenues &amp; Outlays in GDP'!H139, "0.00"),""), "")</f>
        <v/>
      </c>
      <c r="E133" t="str">
        <f>IFERROR(IF(ISNUMBER('Revenues &amp; Outlays in GDP'!D139),TEXT('Revenues &amp; Outlays in GDP'!D139, "0.00"),""), "")</f>
        <v/>
      </c>
      <c r="F133" t="str">
        <f>IFERROR(IF(ISNUMBER('Revenues &amp; Outlays in GDP'!B139), 'Revenues &amp; Outlays in GDP'!J139, ""), "")</f>
        <v/>
      </c>
    </row>
    <row r="134" spans="1:6">
      <c r="A134" t="str">
        <f>TEXT(IF('Revenues &amp; Outlays in GDP'!B140&lt;&gt;0,'Revenues &amp; Outlays in GDP'!B140, ""), "mm/dd/yyyy")</f>
        <v/>
      </c>
      <c r="B134" t="str">
        <f>IFERROR(IF(ISNUMBER('Revenues &amp; Outlays in GDP'!G140),TEXT('Revenues &amp; Outlays in GDP'!G140, "0.00"),""), "")</f>
        <v/>
      </c>
      <c r="C134" t="str">
        <f>IFERROR(IF(ISNUMBER('Revenues &amp; Outlays in GDP'!C140),TEXT('Revenues &amp; Outlays in GDP'!C140, "0.00"),""), "")</f>
        <v/>
      </c>
      <c r="D134" t="str">
        <f>IFERROR(IF(ISNUMBER('Revenues &amp; Outlays in GDP'!H140),TEXT('Revenues &amp; Outlays in GDP'!H140, "0.00"),""), "")</f>
        <v/>
      </c>
      <c r="E134" t="str">
        <f>IFERROR(IF(ISNUMBER('Revenues &amp; Outlays in GDP'!D140),TEXT('Revenues &amp; Outlays in GDP'!D140, "0.00"),""), "")</f>
        <v/>
      </c>
      <c r="F134" t="str">
        <f>IFERROR(IF(ISNUMBER('Revenues &amp; Outlays in GDP'!B140), 'Revenues &amp; Outlays in GDP'!J140, ""), "")</f>
        <v/>
      </c>
    </row>
    <row r="135" spans="1:6">
      <c r="A135" t="str">
        <f>TEXT(IF('Revenues &amp; Outlays in GDP'!B141&lt;&gt;0,'Revenues &amp; Outlays in GDP'!B141, ""), "mm/dd/yyyy")</f>
        <v/>
      </c>
      <c r="B135" t="str">
        <f>IFERROR(IF(ISNUMBER('Revenues &amp; Outlays in GDP'!G141),TEXT('Revenues &amp; Outlays in GDP'!G141, "0.00"),""), "")</f>
        <v/>
      </c>
      <c r="C135" t="str">
        <f>IFERROR(IF(ISNUMBER('Revenues &amp; Outlays in GDP'!C141),TEXT('Revenues &amp; Outlays in GDP'!C141, "0.00"),""), "")</f>
        <v/>
      </c>
      <c r="D135" t="str">
        <f>IFERROR(IF(ISNUMBER('Revenues &amp; Outlays in GDP'!H141),TEXT('Revenues &amp; Outlays in GDP'!H141, "0.00"),""), "")</f>
        <v/>
      </c>
      <c r="E135" t="str">
        <f>IFERROR(IF(ISNUMBER('Revenues &amp; Outlays in GDP'!D141),TEXT('Revenues &amp; Outlays in GDP'!D141, "0.00"),""), "")</f>
        <v/>
      </c>
      <c r="F135" t="str">
        <f>IFERROR(IF(ISNUMBER('Revenues &amp; Outlays in GDP'!B141), 'Revenues &amp; Outlays in GDP'!J141, ""), "")</f>
        <v/>
      </c>
    </row>
    <row r="136" spans="1:6">
      <c r="A136" t="str">
        <f>TEXT(IF('Revenues &amp; Outlays in GDP'!B142&lt;&gt;0,'Revenues &amp; Outlays in GDP'!B142, ""), "mm/dd/yyyy")</f>
        <v/>
      </c>
      <c r="B136" t="str">
        <f>IFERROR(IF(ISNUMBER('Revenues &amp; Outlays in GDP'!G142),TEXT('Revenues &amp; Outlays in GDP'!G142, "0.00"),""), "")</f>
        <v/>
      </c>
      <c r="C136" t="str">
        <f>IFERROR(IF(ISNUMBER('Revenues &amp; Outlays in GDP'!C142),TEXT('Revenues &amp; Outlays in GDP'!C142, "0.00"),""), "")</f>
        <v/>
      </c>
      <c r="D136" t="str">
        <f>IFERROR(IF(ISNUMBER('Revenues &amp; Outlays in GDP'!H142),TEXT('Revenues &amp; Outlays in GDP'!H142, "0.00"),""), "")</f>
        <v/>
      </c>
      <c r="E136" t="str">
        <f>IFERROR(IF(ISNUMBER('Revenues &amp; Outlays in GDP'!D142),TEXT('Revenues &amp; Outlays in GDP'!D142, "0.00"),""), "")</f>
        <v/>
      </c>
      <c r="F136" t="str">
        <f>IFERROR(IF(ISNUMBER('Revenues &amp; Outlays in GDP'!B142), 'Revenues &amp; Outlays in GDP'!J142, ""), "")</f>
        <v/>
      </c>
    </row>
    <row r="137" spans="1:6">
      <c r="A137" t="str">
        <f>TEXT(IF('Revenues &amp; Outlays in GDP'!B143&lt;&gt;0,'Revenues &amp; Outlays in GDP'!B143, ""), "mm/dd/yyyy")</f>
        <v/>
      </c>
      <c r="B137" t="str">
        <f>IFERROR(IF(ISNUMBER('Revenues &amp; Outlays in GDP'!G143),TEXT('Revenues &amp; Outlays in GDP'!G143, "0.00"),""), "")</f>
        <v/>
      </c>
      <c r="C137" t="str">
        <f>IFERROR(IF(ISNUMBER('Revenues &amp; Outlays in GDP'!C143),TEXT('Revenues &amp; Outlays in GDP'!C143, "0.00"),""), "")</f>
        <v/>
      </c>
      <c r="D137" t="str">
        <f>IFERROR(IF(ISNUMBER('Revenues &amp; Outlays in GDP'!H143),TEXT('Revenues &amp; Outlays in GDP'!H143, "0.00"),""), "")</f>
        <v/>
      </c>
      <c r="E137" t="str">
        <f>IFERROR(IF(ISNUMBER('Revenues &amp; Outlays in GDP'!D143),TEXT('Revenues &amp; Outlays in GDP'!D143, "0.00"),""), "")</f>
        <v/>
      </c>
      <c r="F137" t="str">
        <f>IFERROR(IF(ISNUMBER('Revenues &amp; Outlays in GDP'!B143), 'Revenues &amp; Outlays in GDP'!J143, ""), "")</f>
        <v/>
      </c>
    </row>
    <row r="138" spans="1:6">
      <c r="A138" t="str">
        <f>TEXT(IF('Revenues &amp; Outlays in GDP'!B144&lt;&gt;0,'Revenues &amp; Outlays in GDP'!B144, ""), "mm/dd/yyyy")</f>
        <v/>
      </c>
      <c r="B138" t="str">
        <f>IFERROR(IF(ISNUMBER('Revenues &amp; Outlays in GDP'!G144),TEXT('Revenues &amp; Outlays in GDP'!G144, "0.00"),""), "")</f>
        <v/>
      </c>
      <c r="C138" t="str">
        <f>IFERROR(IF(ISNUMBER('Revenues &amp; Outlays in GDP'!C144),TEXT('Revenues &amp; Outlays in GDP'!C144, "0.00"),""), "")</f>
        <v/>
      </c>
      <c r="D138" t="str">
        <f>IFERROR(IF(ISNUMBER('Revenues &amp; Outlays in GDP'!H144),TEXT('Revenues &amp; Outlays in GDP'!H144, "0.00"),""), "")</f>
        <v/>
      </c>
      <c r="E138" t="str">
        <f>IFERROR(IF(ISNUMBER('Revenues &amp; Outlays in GDP'!D144),TEXT('Revenues &amp; Outlays in GDP'!D144, "0.00"),""), "")</f>
        <v/>
      </c>
      <c r="F138" t="str">
        <f>IFERROR(IF(ISNUMBER('Revenues &amp; Outlays in GDP'!B144), 'Revenues &amp; Outlays in GDP'!J144, ""), "")</f>
        <v/>
      </c>
    </row>
    <row r="139" spans="1:6">
      <c r="A139" t="str">
        <f>TEXT(IF('Revenues &amp; Outlays in GDP'!B145&lt;&gt;0,'Revenues &amp; Outlays in GDP'!B145, ""), "mm/dd/yyyy")</f>
        <v/>
      </c>
      <c r="B139" t="str">
        <f>IFERROR(IF(ISNUMBER('Revenues &amp; Outlays in GDP'!G145),TEXT('Revenues &amp; Outlays in GDP'!G145, "0.00"),""), "")</f>
        <v/>
      </c>
      <c r="C139" t="str">
        <f>IFERROR(IF(ISNUMBER('Revenues &amp; Outlays in GDP'!C145),TEXT('Revenues &amp; Outlays in GDP'!C145, "0.00"),""), "")</f>
        <v/>
      </c>
      <c r="D139" t="str">
        <f>IFERROR(IF(ISNUMBER('Revenues &amp; Outlays in GDP'!H145),TEXT('Revenues &amp; Outlays in GDP'!H145, "0.00"),""), "")</f>
        <v/>
      </c>
      <c r="E139" t="str">
        <f>IFERROR(IF(ISNUMBER('Revenues &amp; Outlays in GDP'!D145),TEXT('Revenues &amp; Outlays in GDP'!D145, "0.00"),""), "")</f>
        <v/>
      </c>
      <c r="F139" t="str">
        <f>IFERROR(IF(ISNUMBER('Revenues &amp; Outlays in GDP'!B145), 'Revenues &amp; Outlays in GDP'!J145, ""), "")</f>
        <v/>
      </c>
    </row>
    <row r="140" spans="1:6">
      <c r="A140" t="str">
        <f>TEXT(IF('Revenues &amp; Outlays in GDP'!B146&lt;&gt;0,'Revenues &amp; Outlays in GDP'!B146, ""), "mm/dd/yyyy")</f>
        <v/>
      </c>
      <c r="B140" t="str">
        <f>IFERROR(IF(ISNUMBER('Revenues &amp; Outlays in GDP'!G146),TEXT('Revenues &amp; Outlays in GDP'!G146, "0.00"),""), "")</f>
        <v/>
      </c>
      <c r="C140" t="str">
        <f>IFERROR(IF(ISNUMBER('Revenues &amp; Outlays in GDP'!C146),TEXT('Revenues &amp; Outlays in GDP'!C146, "0.00"),""), "")</f>
        <v/>
      </c>
      <c r="D140" t="str">
        <f>IFERROR(IF(ISNUMBER('Revenues &amp; Outlays in GDP'!H146),TEXT('Revenues &amp; Outlays in GDP'!H146, "0.00"),""), "")</f>
        <v/>
      </c>
      <c r="E140" t="str">
        <f>IFERROR(IF(ISNUMBER('Revenues &amp; Outlays in GDP'!D146),TEXT('Revenues &amp; Outlays in GDP'!D146, "0.00"),""), "")</f>
        <v/>
      </c>
      <c r="F140" t="str">
        <f>IFERROR(IF(ISNUMBER('Revenues &amp; Outlays in GDP'!B146), 'Revenues &amp; Outlays in GDP'!J146, ""), "")</f>
        <v/>
      </c>
    </row>
    <row r="141" spans="1:6">
      <c r="A141" t="str">
        <f>TEXT(IF('Revenues &amp; Outlays in GDP'!B147&lt;&gt;0,'Revenues &amp; Outlays in GDP'!B147, ""), "mm/dd/yyyy")</f>
        <v/>
      </c>
      <c r="B141" t="str">
        <f>IFERROR(IF(ISNUMBER('Revenues &amp; Outlays in GDP'!G147),TEXT('Revenues &amp; Outlays in GDP'!G147, "0.00"),""), "")</f>
        <v/>
      </c>
      <c r="C141" t="str">
        <f>IFERROR(IF(ISNUMBER('Revenues &amp; Outlays in GDP'!C147),TEXT('Revenues &amp; Outlays in GDP'!C147, "0.00"),""), "")</f>
        <v/>
      </c>
      <c r="D141" t="str">
        <f>IFERROR(IF(ISNUMBER('Revenues &amp; Outlays in GDP'!H147),TEXT('Revenues &amp; Outlays in GDP'!H147, "0.00"),""), "")</f>
        <v/>
      </c>
      <c r="E141" t="str">
        <f>IFERROR(IF(ISNUMBER('Revenues &amp; Outlays in GDP'!D147),TEXT('Revenues &amp; Outlays in GDP'!D147, "0.00"),""), "")</f>
        <v/>
      </c>
      <c r="F141" t="str">
        <f>IFERROR(IF(ISNUMBER('Revenues &amp; Outlays in GDP'!B147), 'Revenues &amp; Outlays in GDP'!J147, ""), "")</f>
        <v/>
      </c>
    </row>
    <row r="142" spans="1:6">
      <c r="A142" t="str">
        <f>TEXT(IF('Revenues &amp; Outlays in GDP'!B148&lt;&gt;0,'Revenues &amp; Outlays in GDP'!B148, ""), "mm/dd/yyyy")</f>
        <v/>
      </c>
      <c r="B142" t="str">
        <f>IFERROR(IF(ISNUMBER('Revenues &amp; Outlays in GDP'!G148),TEXT('Revenues &amp; Outlays in GDP'!G148, "0.00"),""), "")</f>
        <v/>
      </c>
      <c r="C142" t="str">
        <f>IFERROR(IF(ISNUMBER('Revenues &amp; Outlays in GDP'!C148),TEXT('Revenues &amp; Outlays in GDP'!C148, "0.00"),""), "")</f>
        <v/>
      </c>
      <c r="D142" t="str">
        <f>IFERROR(IF(ISNUMBER('Revenues &amp; Outlays in GDP'!H148),TEXT('Revenues &amp; Outlays in GDP'!H148, "0.00"),""), "")</f>
        <v/>
      </c>
      <c r="E142" t="str">
        <f>IFERROR(IF(ISNUMBER('Revenues &amp; Outlays in GDP'!D148),TEXT('Revenues &amp; Outlays in GDP'!D148, "0.00"),""), "")</f>
        <v/>
      </c>
      <c r="F142" t="str">
        <f>IFERROR(IF(ISNUMBER('Revenues &amp; Outlays in GDP'!B148), 'Revenues &amp; Outlays in GDP'!J148, ""), "")</f>
        <v/>
      </c>
    </row>
    <row r="143" spans="1:6">
      <c r="A143" t="str">
        <f>TEXT(IF('Revenues &amp; Outlays in GDP'!B149&lt;&gt;0,'Revenues &amp; Outlays in GDP'!B149, ""), "mm/dd/yyyy")</f>
        <v/>
      </c>
      <c r="B143" t="str">
        <f>IFERROR(IF(ISNUMBER('Revenues &amp; Outlays in GDP'!G149),TEXT('Revenues &amp; Outlays in GDP'!G149, "0.00"),""), "")</f>
        <v/>
      </c>
      <c r="C143" t="str">
        <f>IFERROR(IF(ISNUMBER('Revenues &amp; Outlays in GDP'!C149),TEXT('Revenues &amp; Outlays in GDP'!C149, "0.00"),""), "")</f>
        <v/>
      </c>
      <c r="D143" t="str">
        <f>IFERROR(IF(ISNUMBER('Revenues &amp; Outlays in GDP'!H149),TEXT('Revenues &amp; Outlays in GDP'!H149, "0.00"),""), "")</f>
        <v/>
      </c>
      <c r="E143" t="str">
        <f>IFERROR(IF(ISNUMBER('Revenues &amp; Outlays in GDP'!D149),TEXT('Revenues &amp; Outlays in GDP'!D149, "0.00"),""), "")</f>
        <v/>
      </c>
      <c r="F143" t="str">
        <f>IFERROR(IF(ISNUMBER('Revenues &amp; Outlays in GDP'!B149), 'Revenues &amp; Outlays in GDP'!J149, ""), "")</f>
        <v/>
      </c>
    </row>
    <row r="144" spans="1:6">
      <c r="A144" t="str">
        <f>TEXT(IF('Revenues &amp; Outlays in GDP'!B150&lt;&gt;0,'Revenues &amp; Outlays in GDP'!B150, ""), "mm/dd/yyyy")</f>
        <v/>
      </c>
      <c r="B144" t="str">
        <f>IFERROR(IF(ISNUMBER('Revenues &amp; Outlays in GDP'!G150),TEXT('Revenues &amp; Outlays in GDP'!G150, "0.00"),""), "")</f>
        <v/>
      </c>
      <c r="C144" t="str">
        <f>IFERROR(IF(ISNUMBER('Revenues &amp; Outlays in GDP'!C150),TEXT('Revenues &amp; Outlays in GDP'!C150, "0.00"),""), "")</f>
        <v/>
      </c>
      <c r="D144" t="str">
        <f>IFERROR(IF(ISNUMBER('Revenues &amp; Outlays in GDP'!H150),TEXT('Revenues &amp; Outlays in GDP'!H150, "0.00"),""), "")</f>
        <v/>
      </c>
      <c r="E144" t="str">
        <f>IFERROR(IF(ISNUMBER('Revenues &amp; Outlays in GDP'!D150),TEXT('Revenues &amp; Outlays in GDP'!D150, "0.00"),""), "")</f>
        <v/>
      </c>
      <c r="F144" t="str">
        <f>IFERROR(IF(ISNUMBER('Revenues &amp; Outlays in GDP'!B150), 'Revenues &amp; Outlays in GDP'!J150, ""), "")</f>
        <v/>
      </c>
    </row>
    <row r="145" spans="1:6">
      <c r="A145" t="str">
        <f>TEXT(IF('Revenues &amp; Outlays in GDP'!B151&lt;&gt;0,'Revenues &amp; Outlays in GDP'!B151, ""), "mm/dd/yyyy")</f>
        <v/>
      </c>
      <c r="B145" t="str">
        <f>IFERROR(IF(ISNUMBER('Revenues &amp; Outlays in GDP'!G151),TEXT('Revenues &amp; Outlays in GDP'!G151, "0.00"),""), "")</f>
        <v/>
      </c>
      <c r="C145" t="str">
        <f>IFERROR(IF(ISNUMBER('Revenues &amp; Outlays in GDP'!C151),TEXT('Revenues &amp; Outlays in GDP'!C151, "0.00"),""), "")</f>
        <v/>
      </c>
      <c r="D145" t="str">
        <f>IFERROR(IF(ISNUMBER('Revenues &amp; Outlays in GDP'!H151),TEXT('Revenues &amp; Outlays in GDP'!H151, "0.00"),""), "")</f>
        <v/>
      </c>
      <c r="E145" t="str">
        <f>IFERROR(IF(ISNUMBER('Revenues &amp; Outlays in GDP'!D151),TEXT('Revenues &amp; Outlays in GDP'!D151, "0.00"),""), "")</f>
        <v/>
      </c>
      <c r="F145" t="str">
        <f>IFERROR(IF(ISNUMBER('Revenues &amp; Outlays in GDP'!B151), 'Revenues &amp; Outlays in GDP'!J151, ""), "")</f>
        <v/>
      </c>
    </row>
    <row r="146" spans="1:6">
      <c r="A146" t="str">
        <f>TEXT(IF('Revenues &amp; Outlays in GDP'!B152&lt;&gt;0,'Revenues &amp; Outlays in GDP'!B152, ""), "mm/dd/yyyy")</f>
        <v/>
      </c>
      <c r="B146" t="str">
        <f>IFERROR(IF(ISNUMBER('Revenues &amp; Outlays in GDP'!G152),TEXT('Revenues &amp; Outlays in GDP'!G152, "0.00"),""), "")</f>
        <v/>
      </c>
      <c r="C146" t="str">
        <f>IFERROR(IF(ISNUMBER('Revenues &amp; Outlays in GDP'!C152),TEXT('Revenues &amp; Outlays in GDP'!C152, "0.00"),""), "")</f>
        <v/>
      </c>
      <c r="D146" t="str">
        <f>IFERROR(IF(ISNUMBER('Revenues &amp; Outlays in GDP'!H152),TEXT('Revenues &amp; Outlays in GDP'!H152, "0.00"),""), "")</f>
        <v/>
      </c>
      <c r="E146" t="str">
        <f>IFERROR(IF(ISNUMBER('Revenues &amp; Outlays in GDP'!D152),TEXT('Revenues &amp; Outlays in GDP'!D152, "0.00"),""), "")</f>
        <v/>
      </c>
      <c r="F146" t="str">
        <f>IFERROR(IF(ISNUMBER('Revenues &amp; Outlays in GDP'!B152), 'Revenues &amp; Outlays in GDP'!J152, ""), "")</f>
        <v/>
      </c>
    </row>
    <row r="147" spans="1:6">
      <c r="A147" t="str">
        <f>TEXT(IF('Revenues &amp; Outlays in GDP'!B153&lt;&gt;0,'Revenues &amp; Outlays in GDP'!B153, ""), "mm/dd/yyyy")</f>
        <v/>
      </c>
      <c r="B147" t="str">
        <f>IFERROR(IF(ISNUMBER('Revenues &amp; Outlays in GDP'!G153),TEXT('Revenues &amp; Outlays in GDP'!G153, "0.00"),""), "")</f>
        <v/>
      </c>
      <c r="C147" t="str">
        <f>IFERROR(IF(ISNUMBER('Revenues &amp; Outlays in GDP'!C153),TEXT('Revenues &amp; Outlays in GDP'!C153, "0.00"),""), "")</f>
        <v/>
      </c>
      <c r="D147" t="str">
        <f>IFERROR(IF(ISNUMBER('Revenues &amp; Outlays in GDP'!H153),TEXT('Revenues &amp; Outlays in GDP'!H153, "0.00"),""), "")</f>
        <v/>
      </c>
      <c r="E147" t="str">
        <f>IFERROR(IF(ISNUMBER('Revenues &amp; Outlays in GDP'!D153),TEXT('Revenues &amp; Outlays in GDP'!D153, "0.00"),""), "")</f>
        <v/>
      </c>
      <c r="F147" t="str">
        <f>IFERROR(IF(ISNUMBER('Revenues &amp; Outlays in GDP'!B153), 'Revenues &amp; Outlays in GDP'!J153, ""), "")</f>
        <v/>
      </c>
    </row>
    <row r="148" spans="1:6">
      <c r="A148" t="str">
        <f>TEXT(IF('Revenues &amp; Outlays in GDP'!B154&lt;&gt;0,'Revenues &amp; Outlays in GDP'!B154, ""), "mm/dd/yyyy")</f>
        <v/>
      </c>
      <c r="B148" t="str">
        <f>IFERROR(IF(ISNUMBER('Revenues &amp; Outlays in GDP'!G154),TEXT('Revenues &amp; Outlays in GDP'!G154, "0.00"),""), "")</f>
        <v/>
      </c>
      <c r="C148" t="str">
        <f>IFERROR(IF(ISNUMBER('Revenues &amp; Outlays in GDP'!C154),TEXT('Revenues &amp; Outlays in GDP'!C154, "0.00"),""), "")</f>
        <v/>
      </c>
      <c r="D148" t="str">
        <f>IFERROR(IF(ISNUMBER('Revenues &amp; Outlays in GDP'!H154),TEXT('Revenues &amp; Outlays in GDP'!H154, "0.00"),""), "")</f>
        <v/>
      </c>
      <c r="E148" t="str">
        <f>IFERROR(IF(ISNUMBER('Revenues &amp; Outlays in GDP'!D154),TEXT('Revenues &amp; Outlays in GDP'!D154, "0.00"),""), "")</f>
        <v/>
      </c>
      <c r="F148" t="str">
        <f>IFERROR(IF(ISNUMBER('Revenues &amp; Outlays in GDP'!B154), 'Revenues &amp; Outlays in GDP'!J154, ""), "")</f>
        <v/>
      </c>
    </row>
    <row r="149" spans="1:6">
      <c r="A149" t="str">
        <f>TEXT(IF('Revenues &amp; Outlays in GDP'!B155&lt;&gt;0,'Revenues &amp; Outlays in GDP'!B155, ""), "mm/dd/yyyy")</f>
        <v/>
      </c>
      <c r="B149" t="str">
        <f>IFERROR(IF(ISNUMBER('Revenues &amp; Outlays in GDP'!G155),TEXT('Revenues &amp; Outlays in GDP'!G155, "0.00"),""), "")</f>
        <v/>
      </c>
      <c r="C149" t="str">
        <f>IFERROR(IF(ISNUMBER('Revenues &amp; Outlays in GDP'!C155),TEXT('Revenues &amp; Outlays in GDP'!C155, "0.00"),""), "")</f>
        <v/>
      </c>
      <c r="D149" t="str">
        <f>IFERROR(IF(ISNUMBER('Revenues &amp; Outlays in GDP'!H155),TEXT('Revenues &amp; Outlays in GDP'!H155, "0.00"),""), "")</f>
        <v/>
      </c>
      <c r="E149" t="str">
        <f>IFERROR(IF(ISNUMBER('Revenues &amp; Outlays in GDP'!D155),TEXT('Revenues &amp; Outlays in GDP'!D155, "0.00"),""), "")</f>
        <v/>
      </c>
      <c r="F149" t="str">
        <f>IFERROR(IF(ISNUMBER('Revenues &amp; Outlays in GDP'!B155), 'Revenues &amp; Outlays in GDP'!J155, ""), "")</f>
        <v/>
      </c>
    </row>
    <row r="150" spans="1:6">
      <c r="A150" t="str">
        <f>TEXT(IF('Revenues &amp; Outlays in GDP'!B156&lt;&gt;0,'Revenues &amp; Outlays in GDP'!B156, ""), "mm/dd/yyyy")</f>
        <v/>
      </c>
      <c r="B150" t="str">
        <f>IFERROR(IF(ISNUMBER('Revenues &amp; Outlays in GDP'!G156),TEXT('Revenues &amp; Outlays in GDP'!G156, "0.00"),""), "")</f>
        <v/>
      </c>
      <c r="C150" t="str">
        <f>IFERROR(IF(ISNUMBER('Revenues &amp; Outlays in GDP'!C156),TEXT('Revenues &amp; Outlays in GDP'!C156, "0.00"),""), "")</f>
        <v/>
      </c>
      <c r="D150" t="str">
        <f>IFERROR(IF(ISNUMBER('Revenues &amp; Outlays in GDP'!H156),TEXT('Revenues &amp; Outlays in GDP'!H156, "0.00"),""), "")</f>
        <v/>
      </c>
      <c r="E150" t="str">
        <f>IFERROR(IF(ISNUMBER('Revenues &amp; Outlays in GDP'!D156),TEXT('Revenues &amp; Outlays in GDP'!D156, "0.00"),""), "")</f>
        <v/>
      </c>
      <c r="F150" t="str">
        <f>IFERROR(IF(ISNUMBER('Revenues &amp; Outlays in GDP'!B156), 'Revenues &amp; Outlays in GDP'!J156, ""), "")</f>
        <v/>
      </c>
    </row>
    <row r="151" spans="1:6">
      <c r="A151" t="str">
        <f>TEXT(IF('Revenues &amp; Outlays in GDP'!B157&lt;&gt;0,'Revenues &amp; Outlays in GDP'!B157, ""), "mm/dd/yyyy")</f>
        <v/>
      </c>
      <c r="B151" t="str">
        <f>IFERROR(IF(ISNUMBER('Revenues &amp; Outlays in GDP'!G157),TEXT('Revenues &amp; Outlays in GDP'!G157, "0.00"),""), "")</f>
        <v/>
      </c>
      <c r="C151" t="str">
        <f>IFERROR(IF(ISNUMBER('Revenues &amp; Outlays in GDP'!C157),TEXT('Revenues &amp; Outlays in GDP'!C157, "0.00"),""), "")</f>
        <v/>
      </c>
      <c r="D151" t="str">
        <f>IFERROR(IF(ISNUMBER('Revenues &amp; Outlays in GDP'!H157),TEXT('Revenues &amp; Outlays in GDP'!H157, "0.00"),""), "")</f>
        <v/>
      </c>
      <c r="E151" t="str">
        <f>IFERROR(IF(ISNUMBER('Revenues &amp; Outlays in GDP'!D157),TEXT('Revenues &amp; Outlays in GDP'!D157, "0.00"),""), "")</f>
        <v/>
      </c>
      <c r="F151" t="str">
        <f>IFERROR(IF(ISNUMBER('Revenues &amp; Outlays in GDP'!B157), 'Revenues &amp; Outlays in GDP'!J157, ""), "")</f>
        <v/>
      </c>
    </row>
    <row r="152" spans="1:6">
      <c r="A152" t="str">
        <f>TEXT(IF('Revenues &amp; Outlays in GDP'!B158&lt;&gt;0,'Revenues &amp; Outlays in GDP'!B158, ""), "mm/dd/yyyy")</f>
        <v/>
      </c>
      <c r="B152" t="str">
        <f>IFERROR(IF(ISNUMBER('Revenues &amp; Outlays in GDP'!G158),TEXT('Revenues &amp; Outlays in GDP'!G158, "0.00"),""), "")</f>
        <v/>
      </c>
      <c r="C152" t="str">
        <f>IFERROR(IF(ISNUMBER('Revenues &amp; Outlays in GDP'!C158),TEXT('Revenues &amp; Outlays in GDP'!C158, "0.00"),""), "")</f>
        <v/>
      </c>
      <c r="D152" t="str">
        <f>IFERROR(IF(ISNUMBER('Revenues &amp; Outlays in GDP'!H158),TEXT('Revenues &amp; Outlays in GDP'!H158, "0.00"),""), "")</f>
        <v/>
      </c>
      <c r="E152" t="str">
        <f>IFERROR(IF(ISNUMBER('Revenues &amp; Outlays in GDP'!D158),TEXT('Revenues &amp; Outlays in GDP'!D158, "0.00"),""), "")</f>
        <v/>
      </c>
      <c r="F152" t="str">
        <f>IFERROR(IF(ISNUMBER('Revenues &amp; Outlays in GDP'!B158), 'Revenues &amp; Outlays in GDP'!J158, ""), "")</f>
        <v/>
      </c>
    </row>
    <row r="153" spans="1:6">
      <c r="A153" t="str">
        <f>TEXT(IF('Revenues &amp; Outlays in GDP'!B159&lt;&gt;0,'Revenues &amp; Outlays in GDP'!B159, ""), "mm/dd/yyyy")</f>
        <v/>
      </c>
      <c r="B153" t="str">
        <f>IFERROR(IF(ISNUMBER('Revenues &amp; Outlays in GDP'!G159),TEXT('Revenues &amp; Outlays in GDP'!G159, "0.00"),""), "")</f>
        <v/>
      </c>
      <c r="C153" t="str">
        <f>IFERROR(IF(ISNUMBER('Revenues &amp; Outlays in GDP'!C159),TEXT('Revenues &amp; Outlays in GDP'!C159, "0.00"),""), "")</f>
        <v/>
      </c>
      <c r="D153" t="str">
        <f>IFERROR(IF(ISNUMBER('Revenues &amp; Outlays in GDP'!H159),TEXT('Revenues &amp; Outlays in GDP'!H159, "0.00"),""), "")</f>
        <v/>
      </c>
      <c r="E153" t="str">
        <f>IFERROR(IF(ISNUMBER('Revenues &amp; Outlays in GDP'!D159),TEXT('Revenues &amp; Outlays in GDP'!D159, "0.00"),""), "")</f>
        <v/>
      </c>
      <c r="F153" t="str">
        <f>IFERROR(IF(ISNUMBER('Revenues &amp; Outlays in GDP'!B159), 'Revenues &amp; Outlays in GDP'!J159, ""), "")</f>
        <v/>
      </c>
    </row>
    <row r="154" spans="1:6">
      <c r="A154" t="str">
        <f>TEXT(IF('Revenues &amp; Outlays in GDP'!B160&lt;&gt;0,'Revenues &amp; Outlays in GDP'!B160, ""), "mm/dd/yyyy")</f>
        <v/>
      </c>
      <c r="B154" t="str">
        <f>IFERROR(IF(ISNUMBER('Revenues &amp; Outlays in GDP'!G160),TEXT('Revenues &amp; Outlays in GDP'!G160, "0.00"),""), "")</f>
        <v/>
      </c>
      <c r="C154" t="str">
        <f>IFERROR(IF(ISNUMBER('Revenues &amp; Outlays in GDP'!C160),TEXT('Revenues &amp; Outlays in GDP'!C160, "0.00"),""), "")</f>
        <v/>
      </c>
      <c r="D154" t="str">
        <f>IFERROR(IF(ISNUMBER('Revenues &amp; Outlays in GDP'!H160),TEXT('Revenues &amp; Outlays in GDP'!H160, "0.00"),""), "")</f>
        <v/>
      </c>
      <c r="E154" t="str">
        <f>IFERROR(IF(ISNUMBER('Revenues &amp; Outlays in GDP'!D160),TEXT('Revenues &amp; Outlays in GDP'!D160, "0.00"),""), "")</f>
        <v/>
      </c>
      <c r="F154" t="str">
        <f>IFERROR(IF(ISNUMBER('Revenues &amp; Outlays in GDP'!B160), 'Revenues &amp; Outlays in GDP'!J160, ""), "")</f>
        <v/>
      </c>
    </row>
    <row r="155" spans="1:6">
      <c r="A155" t="str">
        <f>TEXT(IF('Revenues &amp; Outlays in GDP'!B161&lt;&gt;0,'Revenues &amp; Outlays in GDP'!B161, ""), "mm/dd/yyyy")</f>
        <v/>
      </c>
      <c r="B155" t="str">
        <f>IFERROR(IF(ISNUMBER('Revenues &amp; Outlays in GDP'!G161),TEXT('Revenues &amp; Outlays in GDP'!G161, "0.00"),""), "")</f>
        <v/>
      </c>
      <c r="C155" t="str">
        <f>IFERROR(IF(ISNUMBER('Revenues &amp; Outlays in GDP'!C161),TEXT('Revenues &amp; Outlays in GDP'!C161, "0.00"),""), "")</f>
        <v/>
      </c>
      <c r="D155" t="str">
        <f>IFERROR(IF(ISNUMBER('Revenues &amp; Outlays in GDP'!H161),TEXT('Revenues &amp; Outlays in GDP'!H161, "0.00"),""), "")</f>
        <v/>
      </c>
      <c r="E155" t="str">
        <f>IFERROR(IF(ISNUMBER('Revenues &amp; Outlays in GDP'!D161),TEXT('Revenues &amp; Outlays in GDP'!D161, "0.00"),""), "")</f>
        <v/>
      </c>
      <c r="F155" t="str">
        <f>IFERROR(IF(ISNUMBER('Revenues &amp; Outlays in GDP'!B161), 'Revenues &amp; Outlays in GDP'!J161, ""), "")</f>
        <v/>
      </c>
    </row>
    <row r="156" spans="1:6">
      <c r="A156" t="str">
        <f>TEXT(IF('Revenues &amp; Outlays in GDP'!B162&lt;&gt;0,'Revenues &amp; Outlays in GDP'!B162, ""), "mm/dd/yyyy")</f>
        <v/>
      </c>
      <c r="B156" t="str">
        <f>IFERROR(IF(ISNUMBER('Revenues &amp; Outlays in GDP'!G162),TEXT('Revenues &amp; Outlays in GDP'!G162, "0.00"),""), "")</f>
        <v/>
      </c>
      <c r="C156" t="str">
        <f>IFERROR(IF(ISNUMBER('Revenues &amp; Outlays in GDP'!C162),TEXT('Revenues &amp; Outlays in GDP'!C162, "0.00"),""), "")</f>
        <v/>
      </c>
      <c r="D156" t="str">
        <f>IFERROR(IF(ISNUMBER('Revenues &amp; Outlays in GDP'!H162),TEXT('Revenues &amp; Outlays in GDP'!H162, "0.00"),""), "")</f>
        <v/>
      </c>
      <c r="E156" t="str">
        <f>IFERROR(IF(ISNUMBER('Revenues &amp; Outlays in GDP'!D162),TEXT('Revenues &amp; Outlays in GDP'!D162, "0.00"),""), "")</f>
        <v/>
      </c>
      <c r="F156" t="str">
        <f>IFERROR(IF(ISNUMBER('Revenues &amp; Outlays in GDP'!B162), 'Revenues &amp; Outlays in GDP'!J162, ""), "")</f>
        <v/>
      </c>
    </row>
    <row r="157" spans="1:6">
      <c r="A157" t="str">
        <f>TEXT(IF('Revenues &amp; Outlays in GDP'!B163&lt;&gt;0,'Revenues &amp; Outlays in GDP'!B163, ""), "mm/dd/yyyy")</f>
        <v/>
      </c>
      <c r="B157" t="str">
        <f>IFERROR(IF(ISNUMBER('Revenues &amp; Outlays in GDP'!G163),TEXT('Revenues &amp; Outlays in GDP'!G163, "0.00"),""), "")</f>
        <v/>
      </c>
      <c r="C157" t="str">
        <f>IFERROR(IF(ISNUMBER('Revenues &amp; Outlays in GDP'!C163),TEXT('Revenues &amp; Outlays in GDP'!C163, "0.00"),""), "")</f>
        <v/>
      </c>
      <c r="D157" t="str">
        <f>IFERROR(IF(ISNUMBER('Revenues &amp; Outlays in GDP'!H163),TEXT('Revenues &amp; Outlays in GDP'!H163, "0.00"),""), "")</f>
        <v/>
      </c>
      <c r="E157" t="str">
        <f>IFERROR(IF(ISNUMBER('Revenues &amp; Outlays in GDP'!D163),TEXT('Revenues &amp; Outlays in GDP'!D163, "0.00"),""), "")</f>
        <v/>
      </c>
      <c r="F157" t="str">
        <f>IFERROR(IF(ISNUMBER('Revenues &amp; Outlays in GDP'!B163), 'Revenues &amp; Outlays in GDP'!J163, ""), "")</f>
        <v/>
      </c>
    </row>
    <row r="158" spans="1:6">
      <c r="A158" t="str">
        <f>TEXT(IF('Revenues &amp; Outlays in GDP'!B164&lt;&gt;0,'Revenues &amp; Outlays in GDP'!B164, ""), "mm/dd/yyyy")</f>
        <v/>
      </c>
      <c r="B158" t="str">
        <f>IFERROR(IF(ISNUMBER('Revenues &amp; Outlays in GDP'!G164),TEXT('Revenues &amp; Outlays in GDP'!G164, "0.00"),""), "")</f>
        <v/>
      </c>
      <c r="C158" t="str">
        <f>IFERROR(IF(ISNUMBER('Revenues &amp; Outlays in GDP'!C164),TEXT('Revenues &amp; Outlays in GDP'!C164, "0.00"),""), "")</f>
        <v/>
      </c>
      <c r="D158" t="str">
        <f>IFERROR(IF(ISNUMBER('Revenues &amp; Outlays in GDP'!H164),TEXT('Revenues &amp; Outlays in GDP'!H164, "0.00"),""), "")</f>
        <v/>
      </c>
      <c r="E158" t="str">
        <f>IFERROR(IF(ISNUMBER('Revenues &amp; Outlays in GDP'!D164),TEXT('Revenues &amp; Outlays in GDP'!D164, "0.00"),""), "")</f>
        <v/>
      </c>
      <c r="F158" t="str">
        <f>IFERROR(IF(ISNUMBER('Revenues &amp; Outlays in GDP'!B164), 'Revenues &amp; Outlays in GDP'!J164, ""), "")</f>
        <v/>
      </c>
    </row>
    <row r="159" spans="1:6">
      <c r="A159" t="str">
        <f>TEXT(IF('Revenues &amp; Outlays in GDP'!B165&lt;&gt;0,'Revenues &amp; Outlays in GDP'!B165, ""), "mm/dd/yyyy")</f>
        <v/>
      </c>
      <c r="B159" t="str">
        <f>IFERROR(IF(ISNUMBER('Revenues &amp; Outlays in GDP'!G165),TEXT('Revenues &amp; Outlays in GDP'!G165, "0.00"),""), "")</f>
        <v/>
      </c>
      <c r="C159" t="str">
        <f>IFERROR(IF(ISNUMBER('Revenues &amp; Outlays in GDP'!C165),TEXT('Revenues &amp; Outlays in GDP'!C165, "0.00"),""), "")</f>
        <v/>
      </c>
      <c r="D159" t="str">
        <f>IFERROR(IF(ISNUMBER('Revenues &amp; Outlays in GDP'!H165),TEXT('Revenues &amp; Outlays in GDP'!H165, "0.00"),""), "")</f>
        <v/>
      </c>
      <c r="E159" t="str">
        <f>IFERROR(IF(ISNUMBER('Revenues &amp; Outlays in GDP'!D165),TEXT('Revenues &amp; Outlays in GDP'!D165, "0.00"),""), "")</f>
        <v/>
      </c>
      <c r="F159" t="str">
        <f>IFERROR(IF(ISNUMBER('Revenues &amp; Outlays in GDP'!B165), 'Revenues &amp; Outlays in GDP'!J165, ""), "")</f>
        <v/>
      </c>
    </row>
    <row r="160" spans="1:6">
      <c r="A160" t="str">
        <f>TEXT(IF('Revenues &amp; Outlays in GDP'!B166&lt;&gt;0,'Revenues &amp; Outlays in GDP'!B166, ""), "mm/dd/yyyy")</f>
        <v/>
      </c>
      <c r="B160" t="str">
        <f>IFERROR(IF(ISNUMBER('Revenues &amp; Outlays in GDP'!G166),TEXT('Revenues &amp; Outlays in GDP'!G166, "0.00"),""), "")</f>
        <v/>
      </c>
      <c r="C160" t="str">
        <f>IFERROR(IF(ISNUMBER('Revenues &amp; Outlays in GDP'!C166),TEXT('Revenues &amp; Outlays in GDP'!C166, "0.00"),""), "")</f>
        <v/>
      </c>
      <c r="D160" t="str">
        <f>IFERROR(IF(ISNUMBER('Revenues &amp; Outlays in GDP'!H166),TEXT('Revenues &amp; Outlays in GDP'!H166, "0.00"),""), "")</f>
        <v/>
      </c>
      <c r="E160" t="str">
        <f>IFERROR(IF(ISNUMBER('Revenues &amp; Outlays in GDP'!D166),TEXT('Revenues &amp; Outlays in GDP'!D166, "0.00"),""), "")</f>
        <v/>
      </c>
      <c r="F160" t="str">
        <f>IFERROR(IF(ISNUMBER('Revenues &amp; Outlays in GDP'!B166), 'Revenues &amp; Outlays in GDP'!J166, ""), "")</f>
        <v/>
      </c>
    </row>
    <row r="161" spans="1:6">
      <c r="A161" t="str">
        <f>TEXT(IF('Revenues &amp; Outlays in GDP'!B167&lt;&gt;0,'Revenues &amp; Outlays in GDP'!B167, ""), "mm/dd/yyyy")</f>
        <v/>
      </c>
      <c r="B161" t="str">
        <f>IFERROR(IF(ISNUMBER('Revenues &amp; Outlays in GDP'!G167),TEXT('Revenues &amp; Outlays in GDP'!G167, "0.00"),""), "")</f>
        <v/>
      </c>
      <c r="C161" t="str">
        <f>IFERROR(IF(ISNUMBER('Revenues &amp; Outlays in GDP'!C167),TEXT('Revenues &amp; Outlays in GDP'!C167, "0.00"),""), "")</f>
        <v/>
      </c>
      <c r="D161" t="str">
        <f>IFERROR(IF(ISNUMBER('Revenues &amp; Outlays in GDP'!H167),TEXT('Revenues &amp; Outlays in GDP'!H167, "0.00"),""), "")</f>
        <v/>
      </c>
      <c r="E161" t="str">
        <f>IFERROR(IF(ISNUMBER('Revenues &amp; Outlays in GDP'!D167),TEXT('Revenues &amp; Outlays in GDP'!D167, "0.00"),""), "")</f>
        <v/>
      </c>
      <c r="F161" t="str">
        <f>IFERROR(IF(ISNUMBER('Revenues &amp; Outlays in GDP'!B167), 'Revenues &amp; Outlays in GDP'!J167, ""), "")</f>
        <v/>
      </c>
    </row>
    <row r="162" spans="1:6">
      <c r="A162" t="str">
        <f>TEXT(IF('Revenues &amp; Outlays in GDP'!B168&lt;&gt;0,'Revenues &amp; Outlays in GDP'!B168, ""), "mm/dd/yyyy")</f>
        <v/>
      </c>
      <c r="B162" t="str">
        <f>IFERROR(IF(ISNUMBER('Revenues &amp; Outlays in GDP'!G168),TEXT('Revenues &amp; Outlays in GDP'!G168, "0.00"),""), "")</f>
        <v/>
      </c>
      <c r="C162" t="str">
        <f>IFERROR(IF(ISNUMBER('Revenues &amp; Outlays in GDP'!C168),TEXT('Revenues &amp; Outlays in GDP'!C168, "0.00"),""), "")</f>
        <v/>
      </c>
      <c r="D162" t="str">
        <f>IFERROR(IF(ISNUMBER('Revenues &amp; Outlays in GDP'!H168),TEXT('Revenues &amp; Outlays in GDP'!H168, "0.00"),""), "")</f>
        <v/>
      </c>
      <c r="E162" t="str">
        <f>IFERROR(IF(ISNUMBER('Revenues &amp; Outlays in GDP'!D168),TEXT('Revenues &amp; Outlays in GDP'!D168, "0.00"),""), "")</f>
        <v/>
      </c>
      <c r="F162" t="str">
        <f>IFERROR(IF(ISNUMBER('Revenues &amp; Outlays in GDP'!B168), 'Revenues &amp; Outlays in GDP'!J168, ""), "")</f>
        <v/>
      </c>
    </row>
    <row r="163" spans="1:6">
      <c r="A163" t="str">
        <f>TEXT(IF('Revenues &amp; Outlays in GDP'!B169&lt;&gt;0,'Revenues &amp; Outlays in GDP'!B169, ""), "mm/dd/yyyy")</f>
        <v/>
      </c>
      <c r="B163" t="str">
        <f>IFERROR(IF(ISNUMBER('Revenues &amp; Outlays in GDP'!G169),TEXT('Revenues &amp; Outlays in GDP'!G169, "0.00"),""), "")</f>
        <v/>
      </c>
      <c r="C163" t="str">
        <f>IFERROR(IF(ISNUMBER('Revenues &amp; Outlays in GDP'!C169),TEXT('Revenues &amp; Outlays in GDP'!C169, "0.00"),""), "")</f>
        <v/>
      </c>
      <c r="D163" t="str">
        <f>IFERROR(IF(ISNUMBER('Revenues &amp; Outlays in GDP'!H169),TEXT('Revenues &amp; Outlays in GDP'!H169, "0.00"),""), "")</f>
        <v/>
      </c>
      <c r="E163" t="str">
        <f>IFERROR(IF(ISNUMBER('Revenues &amp; Outlays in GDP'!D169),TEXT('Revenues &amp; Outlays in GDP'!D169, "0.00"),""), "")</f>
        <v/>
      </c>
      <c r="F163" t="str">
        <f>IFERROR(IF(ISNUMBER('Revenues &amp; Outlays in GDP'!B169), 'Revenues &amp; Outlays in GDP'!J169, ""), "")</f>
        <v/>
      </c>
    </row>
    <row r="164" spans="1:6">
      <c r="A164" t="str">
        <f>TEXT(IF('Revenues &amp; Outlays in GDP'!B170&lt;&gt;0,'Revenues &amp; Outlays in GDP'!B170, ""), "mm/dd/yyyy")</f>
        <v/>
      </c>
      <c r="B164" t="str">
        <f>IFERROR(IF(ISNUMBER('Revenues &amp; Outlays in GDP'!G170),TEXT('Revenues &amp; Outlays in GDP'!G170, "0.00"),""), "")</f>
        <v/>
      </c>
      <c r="C164" t="str">
        <f>IFERROR(IF(ISNUMBER('Revenues &amp; Outlays in GDP'!C170),TEXT('Revenues &amp; Outlays in GDP'!C170, "0.00"),""), "")</f>
        <v/>
      </c>
      <c r="D164" t="str">
        <f>IFERROR(IF(ISNUMBER('Revenues &amp; Outlays in GDP'!H170),TEXT('Revenues &amp; Outlays in GDP'!H170, "0.00"),""), "")</f>
        <v/>
      </c>
      <c r="E164" t="str">
        <f>IFERROR(IF(ISNUMBER('Revenues &amp; Outlays in GDP'!D170),TEXT('Revenues &amp; Outlays in GDP'!D170, "0.00"),""), "")</f>
        <v/>
      </c>
      <c r="F164" t="str">
        <f>IFERROR(IF(ISNUMBER('Revenues &amp; Outlays in GDP'!B170), 'Revenues &amp; Outlays in GDP'!J170, ""), "")</f>
        <v/>
      </c>
    </row>
    <row r="165" spans="1:6">
      <c r="A165" t="str">
        <f>TEXT(IF('Revenues &amp; Outlays in GDP'!B171&lt;&gt;0,'Revenues &amp; Outlays in GDP'!B171, ""), "mm/dd/yyyy")</f>
        <v/>
      </c>
      <c r="B165" t="str">
        <f>IFERROR(IF(ISNUMBER('Revenues &amp; Outlays in GDP'!G171),TEXT('Revenues &amp; Outlays in GDP'!G171, "0.00"),""), "")</f>
        <v/>
      </c>
      <c r="C165" t="str">
        <f>IFERROR(IF(ISNUMBER('Revenues &amp; Outlays in GDP'!C171),TEXT('Revenues &amp; Outlays in GDP'!C171, "0.00"),""), "")</f>
        <v/>
      </c>
      <c r="D165" t="str">
        <f>IFERROR(IF(ISNUMBER('Revenues &amp; Outlays in GDP'!H171),TEXT('Revenues &amp; Outlays in GDP'!H171, "0.00"),""), "")</f>
        <v/>
      </c>
      <c r="E165" t="str">
        <f>IFERROR(IF(ISNUMBER('Revenues &amp; Outlays in GDP'!D171),TEXT('Revenues &amp; Outlays in GDP'!D171, "0.00"),""), "")</f>
        <v/>
      </c>
      <c r="F165" t="str">
        <f>IFERROR(IF(ISNUMBER('Revenues &amp; Outlays in GDP'!B171), 'Revenues &amp; Outlays in GDP'!J171, ""), "")</f>
        <v/>
      </c>
    </row>
    <row r="166" spans="1:6">
      <c r="A166" t="str">
        <f>TEXT(IF('Revenues &amp; Outlays in GDP'!B172&lt;&gt;0,'Revenues &amp; Outlays in GDP'!B172, ""), "mm/dd/yyyy")</f>
        <v/>
      </c>
      <c r="B166" t="str">
        <f>IFERROR(IF(ISNUMBER('Revenues &amp; Outlays in GDP'!G172),TEXT('Revenues &amp; Outlays in GDP'!G172, "0.00"),""), "")</f>
        <v/>
      </c>
      <c r="C166" t="str">
        <f>IFERROR(IF(ISNUMBER('Revenues &amp; Outlays in GDP'!C172),TEXT('Revenues &amp; Outlays in GDP'!C172, "0.00"),""), "")</f>
        <v/>
      </c>
      <c r="D166" t="str">
        <f>IFERROR(IF(ISNUMBER('Revenues &amp; Outlays in GDP'!H172),TEXT('Revenues &amp; Outlays in GDP'!H172, "0.00"),""), "")</f>
        <v/>
      </c>
      <c r="E166" t="str">
        <f>IFERROR(IF(ISNUMBER('Revenues &amp; Outlays in GDP'!D172),TEXT('Revenues &amp; Outlays in GDP'!D172, "0.00"),""), "")</f>
        <v/>
      </c>
      <c r="F166" t="str">
        <f>IFERROR(IF(ISNUMBER('Revenues &amp; Outlays in GDP'!B172), 'Revenues &amp; Outlays in GDP'!J172, ""), "")</f>
        <v/>
      </c>
    </row>
    <row r="167" spans="1:6">
      <c r="A167" t="str">
        <f>TEXT(IF('Revenues &amp; Outlays in GDP'!B173&lt;&gt;0,'Revenues &amp; Outlays in GDP'!B173, ""), "mm/dd/yyyy")</f>
        <v/>
      </c>
      <c r="B167" t="str">
        <f>IFERROR(IF(ISNUMBER('Revenues &amp; Outlays in GDP'!G173),TEXT('Revenues &amp; Outlays in GDP'!G173, "0.00"),""), "")</f>
        <v/>
      </c>
      <c r="C167" t="str">
        <f>IFERROR(IF(ISNUMBER('Revenues &amp; Outlays in GDP'!C173),TEXT('Revenues &amp; Outlays in GDP'!C173, "0.00"),""), "")</f>
        <v/>
      </c>
      <c r="D167" t="str">
        <f>IFERROR(IF(ISNUMBER('Revenues &amp; Outlays in GDP'!H173),TEXT('Revenues &amp; Outlays in GDP'!H173, "0.00"),""), "")</f>
        <v/>
      </c>
      <c r="E167" t="str">
        <f>IFERROR(IF(ISNUMBER('Revenues &amp; Outlays in GDP'!D173),TEXT('Revenues &amp; Outlays in GDP'!D173, "0.00"),""), "")</f>
        <v/>
      </c>
      <c r="F167" t="str">
        <f>IFERROR(IF(ISNUMBER('Revenues &amp; Outlays in GDP'!B173), 'Revenues &amp; Outlays in GDP'!J173, ""), "")</f>
        <v/>
      </c>
    </row>
    <row r="168" spans="1:6">
      <c r="A168" t="str">
        <f>TEXT(IF('Revenues &amp; Outlays in GDP'!B174&lt;&gt;0,'Revenues &amp; Outlays in GDP'!B174, ""), "mm/dd/yyyy")</f>
        <v/>
      </c>
      <c r="B168" t="str">
        <f>IFERROR(IF(ISNUMBER('Revenues &amp; Outlays in GDP'!G174),TEXT('Revenues &amp; Outlays in GDP'!G174, "0.00"),""), "")</f>
        <v/>
      </c>
      <c r="C168" t="str">
        <f>IFERROR(IF(ISNUMBER('Revenues &amp; Outlays in GDP'!C174),TEXT('Revenues &amp; Outlays in GDP'!C174, "0.00"),""), "")</f>
        <v/>
      </c>
      <c r="D168" t="str">
        <f>IFERROR(IF(ISNUMBER('Revenues &amp; Outlays in GDP'!H174),TEXT('Revenues &amp; Outlays in GDP'!H174, "0.00"),""), "")</f>
        <v/>
      </c>
      <c r="E168" t="str">
        <f>IFERROR(IF(ISNUMBER('Revenues &amp; Outlays in GDP'!D174),TEXT('Revenues &amp; Outlays in GDP'!D174, "0.00"),""), "")</f>
        <v/>
      </c>
      <c r="F168" t="str">
        <f>IFERROR(IF(ISNUMBER('Revenues &amp; Outlays in GDP'!B174), 'Revenues &amp; Outlays in GDP'!J174, ""), "")</f>
        <v/>
      </c>
    </row>
    <row r="169" spans="1:6">
      <c r="A169" t="str">
        <f>TEXT(IF('Revenues &amp; Outlays in GDP'!B175&lt;&gt;0,'Revenues &amp; Outlays in GDP'!B175, ""), "mm/dd/yyyy")</f>
        <v/>
      </c>
      <c r="B169" t="str">
        <f>IFERROR(IF(ISNUMBER('Revenues &amp; Outlays in GDP'!G175),TEXT('Revenues &amp; Outlays in GDP'!G175, "0.00"),""), "")</f>
        <v/>
      </c>
      <c r="C169" t="str">
        <f>IFERROR(IF(ISNUMBER('Revenues &amp; Outlays in GDP'!C175),TEXT('Revenues &amp; Outlays in GDP'!C175, "0.00"),""), "")</f>
        <v/>
      </c>
      <c r="D169" t="str">
        <f>IFERROR(IF(ISNUMBER('Revenues &amp; Outlays in GDP'!H175),TEXT('Revenues &amp; Outlays in GDP'!H175, "0.00"),""), "")</f>
        <v/>
      </c>
      <c r="E169" t="str">
        <f>IFERROR(IF(ISNUMBER('Revenues &amp; Outlays in GDP'!D175),TEXT('Revenues &amp; Outlays in GDP'!D175, "0.00"),""), "")</f>
        <v/>
      </c>
      <c r="F169" t="str">
        <f>IFERROR(IF(ISNUMBER('Revenues &amp; Outlays in GDP'!B175), 'Revenues &amp; Outlays in GDP'!J175, ""), "")</f>
        <v/>
      </c>
    </row>
    <row r="170" spans="1:6">
      <c r="A170" t="str">
        <f>TEXT(IF('Revenues &amp; Outlays in GDP'!B176&lt;&gt;0,'Revenues &amp; Outlays in GDP'!B176, ""), "mm/dd/yyyy")</f>
        <v/>
      </c>
      <c r="B170" t="str">
        <f>IFERROR(IF(ISNUMBER('Revenues &amp; Outlays in GDP'!G176),TEXT('Revenues &amp; Outlays in GDP'!G176, "0.00"),""), "")</f>
        <v/>
      </c>
      <c r="C170" t="str">
        <f>IFERROR(IF(ISNUMBER('Revenues &amp; Outlays in GDP'!C176),TEXT('Revenues &amp; Outlays in GDP'!C176, "0.00"),""), "")</f>
        <v/>
      </c>
      <c r="D170" t="str">
        <f>IFERROR(IF(ISNUMBER('Revenues &amp; Outlays in GDP'!H176),TEXT('Revenues &amp; Outlays in GDP'!H176, "0.00"),""), "")</f>
        <v/>
      </c>
      <c r="E170" t="str">
        <f>IFERROR(IF(ISNUMBER('Revenues &amp; Outlays in GDP'!D176),TEXT('Revenues &amp; Outlays in GDP'!D176, "0.00"),""), "")</f>
        <v/>
      </c>
      <c r="F170" t="str">
        <f>IFERROR(IF(ISNUMBER('Revenues &amp; Outlays in GDP'!B176), 'Revenues &amp; Outlays in GDP'!J176, ""), "")</f>
        <v/>
      </c>
    </row>
    <row r="171" spans="1:6">
      <c r="A171" t="str">
        <f>TEXT(IF('Revenues &amp; Outlays in GDP'!B177&lt;&gt;0,'Revenues &amp; Outlays in GDP'!B177, ""), "mm/dd/yyyy")</f>
        <v/>
      </c>
      <c r="B171" t="str">
        <f>IFERROR(IF(ISNUMBER('Revenues &amp; Outlays in GDP'!G177),TEXT('Revenues &amp; Outlays in GDP'!G177, "0.00"),""), "")</f>
        <v/>
      </c>
      <c r="C171" t="str">
        <f>IFERROR(IF(ISNUMBER('Revenues &amp; Outlays in GDP'!C177),TEXT('Revenues &amp; Outlays in GDP'!C177, "0.00"),""), "")</f>
        <v/>
      </c>
      <c r="D171" t="str">
        <f>IFERROR(IF(ISNUMBER('Revenues &amp; Outlays in GDP'!H177),TEXT('Revenues &amp; Outlays in GDP'!H177, "0.00"),""), "")</f>
        <v/>
      </c>
      <c r="E171" t="str">
        <f>IFERROR(IF(ISNUMBER('Revenues &amp; Outlays in GDP'!D177),TEXT('Revenues &amp; Outlays in GDP'!D177, "0.00"),""), "")</f>
        <v/>
      </c>
      <c r="F171" t="str">
        <f>IFERROR(IF(ISNUMBER('Revenues &amp; Outlays in GDP'!B177), 'Revenues &amp; Outlays in GDP'!J177, ""), "")</f>
        <v/>
      </c>
    </row>
    <row r="172" spans="1:6">
      <c r="A172" t="str">
        <f>TEXT(IF('Revenues &amp; Outlays in GDP'!B178&lt;&gt;0,'Revenues &amp; Outlays in GDP'!B178, ""), "mm/dd/yyyy")</f>
        <v/>
      </c>
      <c r="B172" t="str">
        <f>IFERROR(IF(ISNUMBER('Revenues &amp; Outlays in GDP'!G178),TEXT('Revenues &amp; Outlays in GDP'!G178, "0.00"),""), "")</f>
        <v/>
      </c>
      <c r="C172" t="str">
        <f>IFERROR(IF(ISNUMBER('Revenues &amp; Outlays in GDP'!C178),TEXT('Revenues &amp; Outlays in GDP'!C178, "0.00"),""), "")</f>
        <v/>
      </c>
      <c r="D172" t="str">
        <f>IFERROR(IF(ISNUMBER('Revenues &amp; Outlays in GDP'!H178),TEXT('Revenues &amp; Outlays in GDP'!H178, "0.00"),""), "")</f>
        <v/>
      </c>
      <c r="E172" t="str">
        <f>IFERROR(IF(ISNUMBER('Revenues &amp; Outlays in GDP'!D178),TEXT('Revenues &amp; Outlays in GDP'!D178, "0.00"),""), "")</f>
        <v/>
      </c>
      <c r="F172" t="str">
        <f>IFERROR(IF(ISNUMBER('Revenues &amp; Outlays in GDP'!B178), 'Revenues &amp; Outlays in GDP'!J178, ""), "")</f>
        <v/>
      </c>
    </row>
    <row r="173" spans="1:6">
      <c r="A173" t="str">
        <f>TEXT(IF('Revenues &amp; Outlays in GDP'!B179&lt;&gt;0,'Revenues &amp; Outlays in GDP'!B179, ""), "mm/dd/yyyy")</f>
        <v/>
      </c>
      <c r="B173" t="str">
        <f>IFERROR(IF(ISNUMBER('Revenues &amp; Outlays in GDP'!G179),TEXT('Revenues &amp; Outlays in GDP'!G179, "0.00"),""), "")</f>
        <v/>
      </c>
      <c r="C173" t="str">
        <f>IFERROR(IF(ISNUMBER('Revenues &amp; Outlays in GDP'!C179),TEXT('Revenues &amp; Outlays in GDP'!C179, "0.00"),""), "")</f>
        <v/>
      </c>
      <c r="D173" t="str">
        <f>IFERROR(IF(ISNUMBER('Revenues &amp; Outlays in GDP'!H179),TEXT('Revenues &amp; Outlays in GDP'!H179, "0.00"),""), "")</f>
        <v/>
      </c>
      <c r="E173" t="str">
        <f>IFERROR(IF(ISNUMBER('Revenues &amp; Outlays in GDP'!D179),TEXT('Revenues &amp; Outlays in GDP'!D179, "0.00"),""), "")</f>
        <v/>
      </c>
      <c r="F173" t="str">
        <f>IFERROR(IF(ISNUMBER('Revenues &amp; Outlays in GDP'!B179), 'Revenues &amp; Outlays in GDP'!J179, ""), "")</f>
        <v/>
      </c>
    </row>
    <row r="174" spans="1:6">
      <c r="A174" t="str">
        <f>TEXT(IF('Revenues &amp; Outlays in GDP'!B180&lt;&gt;0,'Revenues &amp; Outlays in GDP'!B180, ""), "mm/dd/yyyy")</f>
        <v/>
      </c>
      <c r="B174" t="str">
        <f>IFERROR(IF(ISNUMBER('Revenues &amp; Outlays in GDP'!G180),TEXT('Revenues &amp; Outlays in GDP'!G180, "0.00"),""), "")</f>
        <v/>
      </c>
      <c r="C174" t="str">
        <f>IFERROR(IF(ISNUMBER('Revenues &amp; Outlays in GDP'!C180),TEXT('Revenues &amp; Outlays in GDP'!C180, "0.00"),""), "")</f>
        <v/>
      </c>
      <c r="D174" t="str">
        <f>IFERROR(IF(ISNUMBER('Revenues &amp; Outlays in GDP'!H180),TEXT('Revenues &amp; Outlays in GDP'!H180, "0.00"),""), "")</f>
        <v/>
      </c>
      <c r="E174" t="str">
        <f>IFERROR(IF(ISNUMBER('Revenues &amp; Outlays in GDP'!D180),TEXT('Revenues &amp; Outlays in GDP'!D180, "0.00"),""), "")</f>
        <v/>
      </c>
      <c r="F174" t="str">
        <f>IFERROR(IF(ISNUMBER('Revenues &amp; Outlays in GDP'!B180), 'Revenues &amp; Outlays in GDP'!J180, ""), "")</f>
        <v/>
      </c>
    </row>
    <row r="175" spans="1:6">
      <c r="A175" t="str">
        <f>TEXT(IF('Revenues &amp; Outlays in GDP'!B181&lt;&gt;0,'Revenues &amp; Outlays in GDP'!B181, ""), "mm/dd/yyyy")</f>
        <v/>
      </c>
      <c r="B175" t="str">
        <f>IFERROR(IF(ISNUMBER('Revenues &amp; Outlays in GDP'!G181),TEXT('Revenues &amp; Outlays in GDP'!G181, "0.00"),""), "")</f>
        <v/>
      </c>
      <c r="C175" t="str">
        <f>IFERROR(IF(ISNUMBER('Revenues &amp; Outlays in GDP'!C181),TEXT('Revenues &amp; Outlays in GDP'!C181, "0.00"),""), "")</f>
        <v/>
      </c>
      <c r="D175" t="str">
        <f>IFERROR(IF(ISNUMBER('Revenues &amp; Outlays in GDP'!H181),TEXT('Revenues &amp; Outlays in GDP'!H181, "0.00"),""), "")</f>
        <v/>
      </c>
      <c r="E175" t="str">
        <f>IFERROR(IF(ISNUMBER('Revenues &amp; Outlays in GDP'!D181),TEXT('Revenues &amp; Outlays in GDP'!D181, "0.00"),""), "")</f>
        <v/>
      </c>
      <c r="F175" t="str">
        <f>IFERROR(IF(ISNUMBER('Revenues &amp; Outlays in GDP'!B181), 'Revenues &amp; Outlays in GDP'!J181, ""), "")</f>
        <v/>
      </c>
    </row>
    <row r="176" spans="1:6">
      <c r="A176" t="str">
        <f>TEXT(IF('Revenues &amp; Outlays in GDP'!B182&lt;&gt;0,'Revenues &amp; Outlays in GDP'!B182, ""), "mm/dd/yyyy")</f>
        <v/>
      </c>
      <c r="B176" t="str">
        <f>IFERROR(IF(ISNUMBER('Revenues &amp; Outlays in GDP'!G182),TEXT('Revenues &amp; Outlays in GDP'!G182, "0.00"),""), "")</f>
        <v/>
      </c>
      <c r="C176" t="str">
        <f>IFERROR(IF(ISNUMBER('Revenues &amp; Outlays in GDP'!C182),TEXT('Revenues &amp; Outlays in GDP'!C182, "0.00"),""), "")</f>
        <v/>
      </c>
      <c r="D176" t="str">
        <f>IFERROR(IF(ISNUMBER('Revenues &amp; Outlays in GDP'!H182),TEXT('Revenues &amp; Outlays in GDP'!H182, "0.00"),""), "")</f>
        <v/>
      </c>
      <c r="E176" t="str">
        <f>IFERROR(IF(ISNUMBER('Revenues &amp; Outlays in GDP'!D182),TEXT('Revenues &amp; Outlays in GDP'!D182, "0.00"),""), "")</f>
        <v/>
      </c>
      <c r="F176" t="str">
        <f>IFERROR(IF(ISNUMBER('Revenues &amp; Outlays in GDP'!B182), 'Revenues &amp; Outlays in GDP'!J182, ""), "")</f>
        <v/>
      </c>
    </row>
    <row r="177" spans="1:6">
      <c r="A177" t="str">
        <f>TEXT(IF('Revenues &amp; Outlays in GDP'!B183&lt;&gt;0,'Revenues &amp; Outlays in GDP'!B183, ""), "mm/dd/yyyy")</f>
        <v/>
      </c>
      <c r="B177" t="str">
        <f>IFERROR(IF(ISNUMBER('Revenues &amp; Outlays in GDP'!G183),TEXT('Revenues &amp; Outlays in GDP'!G183, "0.00"),""), "")</f>
        <v/>
      </c>
      <c r="C177" t="str">
        <f>IFERROR(IF(ISNUMBER('Revenues &amp; Outlays in GDP'!C183),TEXT('Revenues &amp; Outlays in GDP'!C183, "0.00"),""), "")</f>
        <v/>
      </c>
      <c r="D177" t="str">
        <f>IFERROR(IF(ISNUMBER('Revenues &amp; Outlays in GDP'!H183),TEXT('Revenues &amp; Outlays in GDP'!H183, "0.00"),""), "")</f>
        <v/>
      </c>
      <c r="E177" t="str">
        <f>IFERROR(IF(ISNUMBER('Revenues &amp; Outlays in GDP'!D183),TEXT('Revenues &amp; Outlays in GDP'!D183, "0.00"),""), "")</f>
        <v/>
      </c>
      <c r="F177" t="str">
        <f>IFERROR(IF(ISNUMBER('Revenues &amp; Outlays in GDP'!B183), 'Revenues &amp; Outlays in GDP'!J183, ""), "")</f>
        <v/>
      </c>
    </row>
    <row r="178" spans="1:6">
      <c r="A178" t="str">
        <f>TEXT(IF('Revenues &amp; Outlays in GDP'!B184&lt;&gt;0,'Revenues &amp; Outlays in GDP'!B184, ""), "mm/dd/yyyy")</f>
        <v/>
      </c>
      <c r="B178" t="str">
        <f>IFERROR(IF(ISNUMBER('Revenues &amp; Outlays in GDP'!G184),TEXT('Revenues &amp; Outlays in GDP'!G184, "0.00"),""), "")</f>
        <v/>
      </c>
      <c r="C178" t="str">
        <f>IFERROR(IF(ISNUMBER('Revenues &amp; Outlays in GDP'!C184),TEXT('Revenues &amp; Outlays in GDP'!C184, "0.00"),""), "")</f>
        <v/>
      </c>
      <c r="D178" t="str">
        <f>IFERROR(IF(ISNUMBER('Revenues &amp; Outlays in GDP'!H184),TEXT('Revenues &amp; Outlays in GDP'!H184, "0.00"),""), "")</f>
        <v/>
      </c>
      <c r="E178" t="str">
        <f>IFERROR(IF(ISNUMBER('Revenues &amp; Outlays in GDP'!D184),TEXT('Revenues &amp; Outlays in GDP'!D184, "0.00"),""), "")</f>
        <v/>
      </c>
      <c r="F178" t="str">
        <f>IFERROR(IF(ISNUMBER('Revenues &amp; Outlays in GDP'!B184), 'Revenues &amp; Outlays in GDP'!J184, ""), "")</f>
        <v/>
      </c>
    </row>
    <row r="179" spans="1:6">
      <c r="A179" t="str">
        <f>TEXT(IF('Revenues &amp; Outlays in GDP'!B185&lt;&gt;0,'Revenues &amp; Outlays in GDP'!B185, ""), "mm/dd/yyyy")</f>
        <v/>
      </c>
      <c r="B179" t="str">
        <f>IFERROR(IF(ISNUMBER('Revenues &amp; Outlays in GDP'!G185),TEXT('Revenues &amp; Outlays in GDP'!G185, "0.00"),""), "")</f>
        <v/>
      </c>
      <c r="C179" t="str">
        <f>IFERROR(IF(ISNUMBER('Revenues &amp; Outlays in GDP'!C185),TEXT('Revenues &amp; Outlays in GDP'!C185, "0.00"),""), "")</f>
        <v/>
      </c>
      <c r="D179" t="str">
        <f>IFERROR(IF(ISNUMBER('Revenues &amp; Outlays in GDP'!H185),TEXT('Revenues &amp; Outlays in GDP'!H185, "0.00"),""), "")</f>
        <v/>
      </c>
      <c r="E179" t="str">
        <f>IFERROR(IF(ISNUMBER('Revenues &amp; Outlays in GDP'!D185),TEXT('Revenues &amp; Outlays in GDP'!D185, "0.00"),""), "")</f>
        <v/>
      </c>
      <c r="F179" t="str">
        <f>IFERROR(IF(ISNUMBER('Revenues &amp; Outlays in GDP'!B185), 'Revenues &amp; Outlays in GDP'!J185, ""), "")</f>
        <v/>
      </c>
    </row>
    <row r="180" spans="1:6">
      <c r="A180" t="str">
        <f>TEXT(IF('Revenues &amp; Outlays in GDP'!B186&lt;&gt;0,'Revenues &amp; Outlays in GDP'!B186, ""), "mm/dd/yyyy")</f>
        <v/>
      </c>
      <c r="B180" t="str">
        <f>IFERROR(IF(ISNUMBER('Revenues &amp; Outlays in GDP'!G186),TEXT('Revenues &amp; Outlays in GDP'!G186, "0.00"),""), "")</f>
        <v/>
      </c>
      <c r="C180" t="str">
        <f>IFERROR(IF(ISNUMBER('Revenues &amp; Outlays in GDP'!C186),TEXT('Revenues &amp; Outlays in GDP'!C186, "0.00"),""), "")</f>
        <v/>
      </c>
      <c r="D180" t="str">
        <f>IFERROR(IF(ISNUMBER('Revenues &amp; Outlays in GDP'!H186),TEXT('Revenues &amp; Outlays in GDP'!H186, "0.00"),""), "")</f>
        <v/>
      </c>
      <c r="E180" t="str">
        <f>IFERROR(IF(ISNUMBER('Revenues &amp; Outlays in GDP'!D186),TEXT('Revenues &amp; Outlays in GDP'!D186, "0.00"),""), "")</f>
        <v/>
      </c>
      <c r="F180" t="str">
        <f>IFERROR(IF(ISNUMBER('Revenues &amp; Outlays in GDP'!B186), 'Revenues &amp; Outlays in GDP'!J186, ""), "")</f>
        <v/>
      </c>
    </row>
    <row r="181" spans="1:6">
      <c r="A181" t="str">
        <f>TEXT(IF('Revenues &amp; Outlays in GDP'!B187&lt;&gt;0,'Revenues &amp; Outlays in GDP'!B187, ""), "mm/dd/yyyy")</f>
        <v/>
      </c>
      <c r="B181" t="str">
        <f>IFERROR(IF(ISNUMBER('Revenues &amp; Outlays in GDP'!G187),TEXT('Revenues &amp; Outlays in GDP'!G187, "0.00"),""), "")</f>
        <v/>
      </c>
      <c r="C181" t="str">
        <f>IFERROR(IF(ISNUMBER('Revenues &amp; Outlays in GDP'!C187),TEXT('Revenues &amp; Outlays in GDP'!C187, "0.00"),""), "")</f>
        <v/>
      </c>
      <c r="D181" t="str">
        <f>IFERROR(IF(ISNUMBER('Revenues &amp; Outlays in GDP'!H187),TEXT('Revenues &amp; Outlays in GDP'!H187, "0.00"),""), "")</f>
        <v/>
      </c>
      <c r="E181" t="str">
        <f>IFERROR(IF(ISNUMBER('Revenues &amp; Outlays in GDP'!D187),TEXT('Revenues &amp; Outlays in GDP'!D187, "0.00"),""), "")</f>
        <v/>
      </c>
      <c r="F181" t="str">
        <f>IFERROR(IF(ISNUMBER('Revenues &amp; Outlays in GDP'!B187), 'Revenues &amp; Outlays in GDP'!J187, ""), "")</f>
        <v/>
      </c>
    </row>
    <row r="182" spans="1:6">
      <c r="A182" t="str">
        <f>TEXT(IF('Revenues &amp; Outlays in GDP'!B188&lt;&gt;0,'Revenues &amp; Outlays in GDP'!B188, ""), "mm/dd/yyyy")</f>
        <v/>
      </c>
      <c r="B182" t="str">
        <f>IFERROR(IF(ISNUMBER('Revenues &amp; Outlays in GDP'!G188),TEXT('Revenues &amp; Outlays in GDP'!G188, "0.00"),""), "")</f>
        <v/>
      </c>
      <c r="C182" t="str">
        <f>IFERROR(IF(ISNUMBER('Revenues &amp; Outlays in GDP'!C188),TEXT('Revenues &amp; Outlays in GDP'!C188, "0.00"),""), "")</f>
        <v/>
      </c>
      <c r="D182" t="str">
        <f>IFERROR(IF(ISNUMBER('Revenues &amp; Outlays in GDP'!H188),TEXT('Revenues &amp; Outlays in GDP'!H188, "0.00"),""), "")</f>
        <v/>
      </c>
      <c r="E182" t="str">
        <f>IFERROR(IF(ISNUMBER('Revenues &amp; Outlays in GDP'!D188),TEXT('Revenues &amp; Outlays in GDP'!D188, "0.00"),""), "")</f>
        <v/>
      </c>
      <c r="F182" t="str">
        <f>IFERROR(IF(ISNUMBER('Revenues &amp; Outlays in GDP'!B188), 'Revenues &amp; Outlays in GDP'!J188, ""), "")</f>
        <v/>
      </c>
    </row>
    <row r="183" spans="1:6">
      <c r="A183" t="str">
        <f>TEXT(IF('Revenues &amp; Outlays in GDP'!B189&lt;&gt;0,'Revenues &amp; Outlays in GDP'!B189, ""), "mm/dd/yyyy")</f>
        <v/>
      </c>
      <c r="B183" t="str">
        <f>IFERROR(IF(ISNUMBER('Revenues &amp; Outlays in GDP'!G189),TEXT('Revenues &amp; Outlays in GDP'!G189, "0.00"),""), "")</f>
        <v/>
      </c>
      <c r="C183" t="str">
        <f>IFERROR(IF(ISNUMBER('Revenues &amp; Outlays in GDP'!C189),TEXT('Revenues &amp; Outlays in GDP'!C189, "0.00"),""), "")</f>
        <v/>
      </c>
      <c r="D183" t="str">
        <f>IFERROR(IF(ISNUMBER('Revenues &amp; Outlays in GDP'!H189),TEXT('Revenues &amp; Outlays in GDP'!H189, "0.00"),""), "")</f>
        <v/>
      </c>
      <c r="E183" t="str">
        <f>IFERROR(IF(ISNUMBER('Revenues &amp; Outlays in GDP'!D189),TEXT('Revenues &amp; Outlays in GDP'!D189, "0.00"),""), "")</f>
        <v/>
      </c>
      <c r="F183" t="str">
        <f>IFERROR(IF(ISNUMBER('Revenues &amp; Outlays in GDP'!B189), 'Revenues &amp; Outlays in GDP'!J189, ""), "")</f>
        <v/>
      </c>
    </row>
    <row r="184" spans="1:6">
      <c r="A184" t="str">
        <f>TEXT(IF('Revenues &amp; Outlays in GDP'!B190&lt;&gt;0,'Revenues &amp; Outlays in GDP'!B190, ""), "mm/dd/yyyy")</f>
        <v/>
      </c>
      <c r="B184" t="str">
        <f>IFERROR(IF(ISNUMBER('Revenues &amp; Outlays in GDP'!G190),TEXT('Revenues &amp; Outlays in GDP'!G190, "0.00"),""), "")</f>
        <v/>
      </c>
      <c r="C184" t="str">
        <f>IFERROR(IF(ISNUMBER('Revenues &amp; Outlays in GDP'!C190),TEXT('Revenues &amp; Outlays in GDP'!C190, "0.00"),""), "")</f>
        <v/>
      </c>
      <c r="D184" t="str">
        <f>IFERROR(IF(ISNUMBER('Revenues &amp; Outlays in GDP'!H190),TEXT('Revenues &amp; Outlays in GDP'!H190, "0.00"),""), "")</f>
        <v/>
      </c>
      <c r="E184" t="str">
        <f>IFERROR(IF(ISNUMBER('Revenues &amp; Outlays in GDP'!D190),TEXT('Revenues &amp; Outlays in GDP'!D190, "0.00"),""), "")</f>
        <v/>
      </c>
      <c r="F184" t="str">
        <f>IFERROR(IF(ISNUMBER('Revenues &amp; Outlays in GDP'!B190), 'Revenues &amp; Outlays in GDP'!J190, ""), "")</f>
        <v/>
      </c>
    </row>
    <row r="185" spans="1:6">
      <c r="A185" t="str">
        <f>TEXT(IF('Revenues &amp; Outlays in GDP'!B191&lt;&gt;0,'Revenues &amp; Outlays in GDP'!B191, ""), "mm/dd/yyyy")</f>
        <v/>
      </c>
      <c r="B185" t="str">
        <f>IFERROR(IF(ISNUMBER('Revenues &amp; Outlays in GDP'!G191),TEXT('Revenues &amp; Outlays in GDP'!G191, "0.00"),""), "")</f>
        <v/>
      </c>
      <c r="C185" t="str">
        <f>IFERROR(IF(ISNUMBER('Revenues &amp; Outlays in GDP'!C191),TEXT('Revenues &amp; Outlays in GDP'!C191, "0.00"),""), "")</f>
        <v/>
      </c>
      <c r="D185" t="str">
        <f>IFERROR(IF(ISNUMBER('Revenues &amp; Outlays in GDP'!H191),TEXT('Revenues &amp; Outlays in GDP'!H191, "0.00"),""), "")</f>
        <v/>
      </c>
      <c r="E185" t="str">
        <f>IFERROR(IF(ISNUMBER('Revenues &amp; Outlays in GDP'!D191),TEXT('Revenues &amp; Outlays in GDP'!D191, "0.00"),""), "")</f>
        <v/>
      </c>
      <c r="F185" t="str">
        <f>IFERROR(IF(ISNUMBER('Revenues &amp; Outlays in GDP'!B191), 'Revenues &amp; Outlays in GDP'!J191, ""), "")</f>
        <v/>
      </c>
    </row>
    <row r="186" spans="1:6">
      <c r="A186" t="str">
        <f>TEXT(IF('Revenues &amp; Outlays in GDP'!B192&lt;&gt;0,'Revenues &amp; Outlays in GDP'!B192, ""), "mm/dd/yyyy")</f>
        <v/>
      </c>
      <c r="B186" t="str">
        <f>IFERROR(IF(ISNUMBER('Revenues &amp; Outlays in GDP'!G192),TEXT('Revenues &amp; Outlays in GDP'!G192, "0.00"),""), "")</f>
        <v/>
      </c>
      <c r="C186" t="str">
        <f>IFERROR(IF(ISNUMBER('Revenues &amp; Outlays in GDP'!C192),TEXT('Revenues &amp; Outlays in GDP'!C192, "0.00"),""), "")</f>
        <v/>
      </c>
      <c r="D186" t="str">
        <f>IFERROR(IF(ISNUMBER('Revenues &amp; Outlays in GDP'!H192),TEXT('Revenues &amp; Outlays in GDP'!H192, "0.00"),""), "")</f>
        <v/>
      </c>
      <c r="E186" t="str">
        <f>IFERROR(IF(ISNUMBER('Revenues &amp; Outlays in GDP'!D192),TEXT('Revenues &amp; Outlays in GDP'!D192, "0.00"),""), "")</f>
        <v/>
      </c>
      <c r="F186" t="str">
        <f>IFERROR(IF(ISNUMBER('Revenues &amp; Outlays in GDP'!B192), 'Revenues &amp; Outlays in GDP'!J192, ""), "")</f>
        <v/>
      </c>
    </row>
    <row r="187" spans="1:6">
      <c r="A187" t="str">
        <f>TEXT(IF('Revenues &amp; Outlays in GDP'!B193&lt;&gt;0,'Revenues &amp; Outlays in GDP'!B193, ""), "mm/dd/yyyy")</f>
        <v/>
      </c>
      <c r="B187" t="str">
        <f>IFERROR(IF(ISNUMBER('Revenues &amp; Outlays in GDP'!G193),TEXT('Revenues &amp; Outlays in GDP'!G193, "0.00"),""), "")</f>
        <v/>
      </c>
      <c r="C187" t="str">
        <f>IFERROR(IF(ISNUMBER('Revenues &amp; Outlays in GDP'!C193),TEXT('Revenues &amp; Outlays in GDP'!C193, "0.00"),""), "")</f>
        <v/>
      </c>
      <c r="D187" t="str">
        <f>IFERROR(IF(ISNUMBER('Revenues &amp; Outlays in GDP'!H193),TEXT('Revenues &amp; Outlays in GDP'!H193, "0.00"),""), "")</f>
        <v/>
      </c>
      <c r="E187" t="str">
        <f>IFERROR(IF(ISNUMBER('Revenues &amp; Outlays in GDP'!D193),TEXT('Revenues &amp; Outlays in GDP'!D193, "0.00"),""), "")</f>
        <v/>
      </c>
      <c r="F187" t="str">
        <f>IFERROR(IF(ISNUMBER('Revenues &amp; Outlays in GDP'!B193), 'Revenues &amp; Outlays in GDP'!J193, ""), "")</f>
        <v/>
      </c>
    </row>
    <row r="188" spans="1:6">
      <c r="A188" t="str">
        <f>TEXT(IF('Revenues &amp; Outlays in GDP'!B194&lt;&gt;0,'Revenues &amp; Outlays in GDP'!B194, ""), "mm/dd/yyyy")</f>
        <v/>
      </c>
      <c r="B188" t="str">
        <f>IFERROR(IF(ISNUMBER('Revenues &amp; Outlays in GDP'!G194),TEXT('Revenues &amp; Outlays in GDP'!G194, "0.00"),""), "")</f>
        <v/>
      </c>
      <c r="C188" t="str">
        <f>IFERROR(IF(ISNUMBER('Revenues &amp; Outlays in GDP'!C194),TEXT('Revenues &amp; Outlays in GDP'!C194, "0.00"),""), "")</f>
        <v/>
      </c>
      <c r="D188" t="str">
        <f>IFERROR(IF(ISNUMBER('Revenues &amp; Outlays in GDP'!H194),TEXT('Revenues &amp; Outlays in GDP'!H194, "0.00"),""), "")</f>
        <v/>
      </c>
      <c r="E188" t="str">
        <f>IFERROR(IF(ISNUMBER('Revenues &amp; Outlays in GDP'!D194),TEXT('Revenues &amp; Outlays in GDP'!D194, "0.00"),""), "")</f>
        <v/>
      </c>
      <c r="F188" t="str">
        <f>IFERROR(IF(ISNUMBER('Revenues &amp; Outlays in GDP'!B194), 'Revenues &amp; Outlays in GDP'!J194, ""), "")</f>
        <v/>
      </c>
    </row>
    <row r="189" spans="1:6">
      <c r="A189" t="str">
        <f>TEXT(IF('Revenues &amp; Outlays in GDP'!B195&lt;&gt;0,'Revenues &amp; Outlays in GDP'!B195, ""), "mm/dd/yyyy")</f>
        <v/>
      </c>
      <c r="B189" t="str">
        <f>IFERROR(IF(ISNUMBER('Revenues &amp; Outlays in GDP'!G195),TEXT('Revenues &amp; Outlays in GDP'!G195, "0.00"),""), "")</f>
        <v/>
      </c>
      <c r="C189" t="str">
        <f>IFERROR(IF(ISNUMBER('Revenues &amp; Outlays in GDP'!C195),TEXT('Revenues &amp; Outlays in GDP'!C195, "0.00"),""), "")</f>
        <v/>
      </c>
      <c r="D189" t="str">
        <f>IFERROR(IF(ISNUMBER('Revenues &amp; Outlays in GDP'!H195),TEXT('Revenues &amp; Outlays in GDP'!H195, "0.00"),""), "")</f>
        <v/>
      </c>
      <c r="E189" t="str">
        <f>IFERROR(IF(ISNUMBER('Revenues &amp; Outlays in GDP'!D195),TEXT('Revenues &amp; Outlays in GDP'!D195, "0.00"),""), "")</f>
        <v/>
      </c>
      <c r="F189" t="str">
        <f>IFERROR(IF(ISNUMBER('Revenues &amp; Outlays in GDP'!B195), 'Revenues &amp; Outlays in GDP'!J195, ""), "")</f>
        <v/>
      </c>
    </row>
    <row r="190" spans="1:6">
      <c r="A190" t="str">
        <f>TEXT(IF('Revenues &amp; Outlays in GDP'!B196&lt;&gt;0,'Revenues &amp; Outlays in GDP'!B196, ""), "mm/dd/yyyy")</f>
        <v/>
      </c>
      <c r="B190" t="str">
        <f>IFERROR(IF(ISNUMBER('Revenues &amp; Outlays in GDP'!G196),TEXT('Revenues &amp; Outlays in GDP'!G196, "0.00"),""), "")</f>
        <v/>
      </c>
      <c r="C190" t="str">
        <f>IFERROR(IF(ISNUMBER('Revenues &amp; Outlays in GDP'!C196),TEXT('Revenues &amp; Outlays in GDP'!C196, "0.00"),""), "")</f>
        <v/>
      </c>
      <c r="D190" t="str">
        <f>IFERROR(IF(ISNUMBER('Revenues &amp; Outlays in GDP'!H196),TEXT('Revenues &amp; Outlays in GDP'!H196, "0.00"),""), "")</f>
        <v/>
      </c>
      <c r="E190" t="str">
        <f>IFERROR(IF(ISNUMBER('Revenues &amp; Outlays in GDP'!D196),TEXT('Revenues &amp; Outlays in GDP'!D196, "0.00"),""), "")</f>
        <v/>
      </c>
      <c r="F190" t="str">
        <f>IFERROR(IF(ISNUMBER('Revenues &amp; Outlays in GDP'!B196), 'Revenues &amp; Outlays in GDP'!J196, ""), "")</f>
        <v/>
      </c>
    </row>
    <row r="191" spans="1:6">
      <c r="A191" t="str">
        <f>TEXT(IF('Revenues &amp; Outlays in GDP'!B197&lt;&gt;0,'Revenues &amp; Outlays in GDP'!B197, ""), "mm/dd/yyyy")</f>
        <v/>
      </c>
      <c r="B191" t="str">
        <f>IFERROR(IF(ISNUMBER('Revenues &amp; Outlays in GDP'!G197),TEXT('Revenues &amp; Outlays in GDP'!G197, "0.00"),""), "")</f>
        <v/>
      </c>
      <c r="C191" t="str">
        <f>IFERROR(IF(ISNUMBER('Revenues &amp; Outlays in GDP'!C197),TEXT('Revenues &amp; Outlays in GDP'!C197, "0.00"),""), "")</f>
        <v/>
      </c>
      <c r="D191" t="str">
        <f>IFERROR(IF(ISNUMBER('Revenues &amp; Outlays in GDP'!H197),TEXT('Revenues &amp; Outlays in GDP'!H197, "0.00"),""), "")</f>
        <v/>
      </c>
      <c r="E191" t="str">
        <f>IFERROR(IF(ISNUMBER('Revenues &amp; Outlays in GDP'!D197),TEXT('Revenues &amp; Outlays in GDP'!D197, "0.00"),""), "")</f>
        <v/>
      </c>
      <c r="F191" t="str">
        <f>IFERROR(IF(ISNUMBER('Revenues &amp; Outlays in GDP'!B197), 'Revenues &amp; Outlays in GDP'!J197, ""), "")</f>
        <v/>
      </c>
    </row>
    <row r="192" spans="1:6">
      <c r="A192" t="str">
        <f>TEXT(IF('Revenues &amp; Outlays in GDP'!B198&lt;&gt;0,'Revenues &amp; Outlays in GDP'!B198, ""), "mm/dd/yyyy")</f>
        <v/>
      </c>
      <c r="B192" t="str">
        <f>IFERROR(IF(ISNUMBER('Revenues &amp; Outlays in GDP'!G198),TEXT('Revenues &amp; Outlays in GDP'!G198, "0.00"),""), "")</f>
        <v/>
      </c>
      <c r="C192" t="str">
        <f>IFERROR(IF(ISNUMBER('Revenues &amp; Outlays in GDP'!C198),TEXT('Revenues &amp; Outlays in GDP'!C198, "0.00"),""), "")</f>
        <v/>
      </c>
      <c r="D192" t="str">
        <f>IFERROR(IF(ISNUMBER('Revenues &amp; Outlays in GDP'!H198),TEXT('Revenues &amp; Outlays in GDP'!H198, "0.00"),""), "")</f>
        <v/>
      </c>
      <c r="E192" t="str">
        <f>IFERROR(IF(ISNUMBER('Revenues &amp; Outlays in GDP'!D198),TEXT('Revenues &amp; Outlays in GDP'!D198, "0.00"),""), "")</f>
        <v/>
      </c>
      <c r="F192" t="str">
        <f>IFERROR(IF(ISNUMBER('Revenues &amp; Outlays in GDP'!B198), 'Revenues &amp; Outlays in GDP'!J198, ""), "")</f>
        <v/>
      </c>
    </row>
    <row r="193" spans="1:6">
      <c r="A193" t="str">
        <f>TEXT(IF('Revenues &amp; Outlays in GDP'!B199&lt;&gt;0,'Revenues &amp; Outlays in GDP'!B199, ""), "mm/dd/yyyy")</f>
        <v/>
      </c>
      <c r="B193" t="str">
        <f>IFERROR(IF(ISNUMBER('Revenues &amp; Outlays in GDP'!G199),TEXT('Revenues &amp; Outlays in GDP'!G199, "0.00"),""), "")</f>
        <v/>
      </c>
      <c r="C193" t="str">
        <f>IFERROR(IF(ISNUMBER('Revenues &amp; Outlays in GDP'!C199),TEXT('Revenues &amp; Outlays in GDP'!C199, "0.00"),""), "")</f>
        <v/>
      </c>
      <c r="D193" t="str">
        <f>IFERROR(IF(ISNUMBER('Revenues &amp; Outlays in GDP'!H199),TEXT('Revenues &amp; Outlays in GDP'!H199, "0.00"),""), "")</f>
        <v/>
      </c>
      <c r="E193" t="str">
        <f>IFERROR(IF(ISNUMBER('Revenues &amp; Outlays in GDP'!D199),TEXT('Revenues &amp; Outlays in GDP'!D199, "0.00"),""), "")</f>
        <v/>
      </c>
      <c r="F193" t="str">
        <f>IFERROR(IF(ISNUMBER('Revenues &amp; Outlays in GDP'!B199), 'Revenues &amp; Outlays in GDP'!J199, ""), "")</f>
        <v/>
      </c>
    </row>
    <row r="194" spans="1:6">
      <c r="A194" t="str">
        <f>TEXT(IF('Revenues &amp; Outlays in GDP'!B200&lt;&gt;0,'Revenues &amp; Outlays in GDP'!B200, ""), "mm/dd/yyyy")</f>
        <v/>
      </c>
      <c r="B194" t="str">
        <f>IFERROR(IF(ISNUMBER('Revenues &amp; Outlays in GDP'!G200),TEXT('Revenues &amp; Outlays in GDP'!G200, "0.00"),""), "")</f>
        <v/>
      </c>
      <c r="C194" t="str">
        <f>IFERROR(IF(ISNUMBER('Revenues &amp; Outlays in GDP'!C200),TEXT('Revenues &amp; Outlays in GDP'!C200, "0.00"),""), "")</f>
        <v/>
      </c>
      <c r="D194" t="str">
        <f>IFERROR(IF(ISNUMBER('Revenues &amp; Outlays in GDP'!H200),TEXT('Revenues &amp; Outlays in GDP'!H200, "0.00"),""), "")</f>
        <v/>
      </c>
      <c r="E194" t="str">
        <f>IFERROR(IF(ISNUMBER('Revenues &amp; Outlays in GDP'!D200),TEXT('Revenues &amp; Outlays in GDP'!D200, "0.00"),""), "")</f>
        <v/>
      </c>
      <c r="F194" t="str">
        <f>IFERROR(IF(ISNUMBER('Revenues &amp; Outlays in GDP'!B200), 'Revenues &amp; Outlays in GDP'!J200, ""), "")</f>
        <v/>
      </c>
    </row>
    <row r="195" spans="1:6">
      <c r="A195" t="str">
        <f>TEXT(IF('Revenues &amp; Outlays in GDP'!B201&lt;&gt;0,'Revenues &amp; Outlays in GDP'!B201, ""), "mm/dd/yyyy")</f>
        <v/>
      </c>
      <c r="B195" t="str">
        <f>IFERROR(IF(ISNUMBER('Revenues &amp; Outlays in GDP'!G201),TEXT('Revenues &amp; Outlays in GDP'!G201, "0.00"),""), "")</f>
        <v/>
      </c>
      <c r="C195" t="str">
        <f>IFERROR(IF(ISNUMBER('Revenues &amp; Outlays in GDP'!C201),TEXT('Revenues &amp; Outlays in GDP'!C201, "0.00"),""), "")</f>
        <v/>
      </c>
      <c r="D195" t="str">
        <f>IFERROR(IF(ISNUMBER('Revenues &amp; Outlays in GDP'!H201),TEXT('Revenues &amp; Outlays in GDP'!H201, "0.00"),""), "")</f>
        <v/>
      </c>
      <c r="E195" t="str">
        <f>IFERROR(IF(ISNUMBER('Revenues &amp; Outlays in GDP'!D201),TEXT('Revenues &amp; Outlays in GDP'!D201, "0.00"),""), "")</f>
        <v/>
      </c>
      <c r="F195" t="str">
        <f>IFERROR(IF(ISNUMBER('Revenues &amp; Outlays in GDP'!B201), 'Revenues &amp; Outlays in GDP'!J201, ""), "")</f>
        <v/>
      </c>
    </row>
    <row r="196" spans="1:6">
      <c r="A196" t="str">
        <f>TEXT(IF('Revenues &amp; Outlays in GDP'!B202&lt;&gt;0,'Revenues &amp; Outlays in GDP'!B202, ""), "mm/dd/yyyy")</f>
        <v/>
      </c>
      <c r="B196" t="str">
        <f>IFERROR(IF(ISNUMBER('Revenues &amp; Outlays in GDP'!G202),TEXT('Revenues &amp; Outlays in GDP'!G202, "0.00"),""), "")</f>
        <v/>
      </c>
      <c r="C196" t="str">
        <f>IFERROR(IF(ISNUMBER('Revenues &amp; Outlays in GDP'!C202),TEXT('Revenues &amp; Outlays in GDP'!C202, "0.00"),""), "")</f>
        <v/>
      </c>
      <c r="D196" t="str">
        <f>IFERROR(IF(ISNUMBER('Revenues &amp; Outlays in GDP'!H202),TEXT('Revenues &amp; Outlays in GDP'!H202, "0.00"),""), "")</f>
        <v/>
      </c>
      <c r="E196" t="str">
        <f>IFERROR(IF(ISNUMBER('Revenues &amp; Outlays in GDP'!D202),TEXT('Revenues &amp; Outlays in GDP'!D202, "0.00"),""), "")</f>
        <v/>
      </c>
      <c r="F196" t="str">
        <f>IFERROR(IF(ISNUMBER('Revenues &amp; Outlays in GDP'!B202), 'Revenues &amp; Outlays in GDP'!J202, ""), "")</f>
        <v/>
      </c>
    </row>
    <row r="197" spans="1:6">
      <c r="A197" t="str">
        <f>TEXT(IF('Revenues &amp; Outlays in GDP'!B203&lt;&gt;0,'Revenues &amp; Outlays in GDP'!B203, ""), "mm/dd/yyyy")</f>
        <v/>
      </c>
      <c r="B197" t="str">
        <f>IFERROR(IF(ISNUMBER('Revenues &amp; Outlays in GDP'!G203),TEXT('Revenues &amp; Outlays in GDP'!G203, "0.00"),""), "")</f>
        <v/>
      </c>
      <c r="C197" t="str">
        <f>IFERROR(IF(ISNUMBER('Revenues &amp; Outlays in GDP'!C203),TEXT('Revenues &amp; Outlays in GDP'!C203, "0.00"),""), "")</f>
        <v/>
      </c>
      <c r="D197" t="str">
        <f>IFERROR(IF(ISNUMBER('Revenues &amp; Outlays in GDP'!H203),TEXT('Revenues &amp; Outlays in GDP'!H203, "0.00"),""), "")</f>
        <v/>
      </c>
      <c r="E197" t="str">
        <f>IFERROR(IF(ISNUMBER('Revenues &amp; Outlays in GDP'!D203),TEXT('Revenues &amp; Outlays in GDP'!D203, "0.00"),""), "")</f>
        <v/>
      </c>
      <c r="F197" t="str">
        <f>IFERROR(IF(ISNUMBER('Revenues &amp; Outlays in GDP'!B203), 'Revenues &amp; Outlays in GDP'!J203, ""), "")</f>
        <v/>
      </c>
    </row>
    <row r="198" spans="1:6">
      <c r="A198" t="str">
        <f>TEXT(IF('Revenues &amp; Outlays in GDP'!B204&lt;&gt;0,'Revenues &amp; Outlays in GDP'!B204, ""), "mm/dd/yyyy")</f>
        <v/>
      </c>
      <c r="B198" t="str">
        <f>IFERROR(IF(ISNUMBER('Revenues &amp; Outlays in GDP'!G204),TEXT('Revenues &amp; Outlays in GDP'!G204, "0.00"),""), "")</f>
        <v/>
      </c>
      <c r="C198" t="str">
        <f>IFERROR(IF(ISNUMBER('Revenues &amp; Outlays in GDP'!C204),TEXT('Revenues &amp; Outlays in GDP'!C204, "0.00"),""), "")</f>
        <v/>
      </c>
      <c r="D198" t="str">
        <f>IFERROR(IF(ISNUMBER('Revenues &amp; Outlays in GDP'!H204),TEXT('Revenues &amp; Outlays in GDP'!H204, "0.00"),""), "")</f>
        <v/>
      </c>
      <c r="E198" t="str">
        <f>IFERROR(IF(ISNUMBER('Revenues &amp; Outlays in GDP'!D204),TEXT('Revenues &amp; Outlays in GDP'!D204, "0.00"),""), "")</f>
        <v/>
      </c>
      <c r="F198" t="str">
        <f>IFERROR(IF(ISNUMBER('Revenues &amp; Outlays in GDP'!B204), 'Revenues &amp; Outlays in GDP'!J204, ""), "")</f>
        <v/>
      </c>
    </row>
    <row r="199" spans="1:6">
      <c r="A199" t="str">
        <f>TEXT(IF('Revenues &amp; Outlays in GDP'!B205&lt;&gt;0,'Revenues &amp; Outlays in GDP'!B205, ""), "mm/dd/yyyy")</f>
        <v/>
      </c>
      <c r="B199" t="str">
        <f>IFERROR(IF(ISNUMBER('Revenues &amp; Outlays in GDP'!G205),TEXT('Revenues &amp; Outlays in GDP'!G205, "0.00"),""), "")</f>
        <v/>
      </c>
      <c r="C199" t="str">
        <f>IFERROR(IF(ISNUMBER('Revenues &amp; Outlays in GDP'!C205),TEXT('Revenues &amp; Outlays in GDP'!C205, "0.00"),""), "")</f>
        <v/>
      </c>
      <c r="D199" t="str">
        <f>IFERROR(IF(ISNUMBER('Revenues &amp; Outlays in GDP'!H205),TEXT('Revenues &amp; Outlays in GDP'!H205, "0.00"),""), "")</f>
        <v/>
      </c>
      <c r="E199" t="str">
        <f>IFERROR(IF(ISNUMBER('Revenues &amp; Outlays in GDP'!D205),TEXT('Revenues &amp; Outlays in GDP'!D205, "0.00"),""), "")</f>
        <v/>
      </c>
      <c r="F199" t="str">
        <f>IFERROR(IF(ISNUMBER('Revenues &amp; Outlays in GDP'!B205), 'Revenues &amp; Outlays in GDP'!J205, ""), "")</f>
        <v/>
      </c>
    </row>
    <row r="200" spans="1:6">
      <c r="A200" t="str">
        <f>TEXT(IF('Revenues &amp; Outlays in GDP'!B206&lt;&gt;0,'Revenues &amp; Outlays in GDP'!B206, ""), "mm/dd/yyyy")</f>
        <v/>
      </c>
      <c r="B200" t="str">
        <f>IFERROR(IF(ISNUMBER('Revenues &amp; Outlays in GDP'!G206),TEXT('Revenues &amp; Outlays in GDP'!G206, "0.00"),""), "")</f>
        <v/>
      </c>
      <c r="C200" t="str">
        <f>IFERROR(IF(ISNUMBER('Revenues &amp; Outlays in GDP'!C206),TEXT('Revenues &amp; Outlays in GDP'!C206, "0.00"),""), "")</f>
        <v/>
      </c>
      <c r="D200" t="str">
        <f>IFERROR(IF(ISNUMBER('Revenues &amp; Outlays in GDP'!H206),TEXT('Revenues &amp; Outlays in GDP'!H206, "0.00"),""), "")</f>
        <v/>
      </c>
      <c r="E200" t="str">
        <f>IFERROR(IF(ISNUMBER('Revenues &amp; Outlays in GDP'!D206),TEXT('Revenues &amp; Outlays in GDP'!D206, "0.00"),""), "")</f>
        <v/>
      </c>
      <c r="F200" t="str">
        <f>IFERROR(IF(ISNUMBER('Revenues &amp; Outlays in GDP'!B206), 'Revenues &amp; Outlays in GDP'!J206, ""), "")</f>
        <v/>
      </c>
    </row>
    <row r="201" spans="1:6">
      <c r="A201" t="str">
        <f>TEXT(IF('Revenues &amp; Outlays in GDP'!B207&lt;&gt;0,'Revenues &amp; Outlays in GDP'!B207, ""), "mm/dd/yyyy")</f>
        <v/>
      </c>
      <c r="B201" t="str">
        <f>IFERROR(IF(ISNUMBER('Revenues &amp; Outlays in GDP'!G207),TEXT('Revenues &amp; Outlays in GDP'!G207, "0.00"),""), "")</f>
        <v/>
      </c>
      <c r="C201" t="str">
        <f>IFERROR(IF(ISNUMBER('Revenues &amp; Outlays in GDP'!C207),TEXT('Revenues &amp; Outlays in GDP'!C207, "0.00"),""), "")</f>
        <v/>
      </c>
      <c r="D201" t="str">
        <f>IFERROR(IF(ISNUMBER('Revenues &amp; Outlays in GDP'!H207),TEXT('Revenues &amp; Outlays in GDP'!H207, "0.00"),""), "")</f>
        <v/>
      </c>
      <c r="E201" t="str">
        <f>IFERROR(IF(ISNUMBER('Revenues &amp; Outlays in GDP'!D207),TEXT('Revenues &amp; Outlays in GDP'!D207, "0.00"),""), "")</f>
        <v/>
      </c>
      <c r="F201" t="str">
        <f>IFERROR(IF(ISNUMBER('Revenues &amp; Outlays in GDP'!B207), 'Revenues &amp; Outlays in GDP'!J207, ""), "")</f>
        <v/>
      </c>
    </row>
    <row r="202" spans="1:6">
      <c r="A202" t="str">
        <f>TEXT(IF('Revenues &amp; Outlays in GDP'!B208&lt;&gt;0,'Revenues &amp; Outlays in GDP'!B208, ""), "mm/dd/yyyy")</f>
        <v/>
      </c>
      <c r="B202" t="str">
        <f>IFERROR(IF(ISNUMBER('Revenues &amp; Outlays in GDP'!G208),TEXT('Revenues &amp; Outlays in GDP'!G208, "0.00"),""), "")</f>
        <v/>
      </c>
      <c r="C202" t="str">
        <f>IFERROR(IF(ISNUMBER('Revenues &amp; Outlays in GDP'!C208),TEXT('Revenues &amp; Outlays in GDP'!C208, "0.00"),""), "")</f>
        <v/>
      </c>
      <c r="D202" t="str">
        <f>IFERROR(IF(ISNUMBER('Revenues &amp; Outlays in GDP'!H208),TEXT('Revenues &amp; Outlays in GDP'!H208, "0.00"),""), "")</f>
        <v/>
      </c>
      <c r="E202" t="str">
        <f>IFERROR(IF(ISNUMBER('Revenues &amp; Outlays in GDP'!D208),TEXT('Revenues &amp; Outlays in GDP'!D208, "0.00"),""), "")</f>
        <v/>
      </c>
      <c r="F202" t="str">
        <f>IFERROR(IF(ISNUMBER('Revenues &amp; Outlays in GDP'!B208), 'Revenues &amp; Outlays in GDP'!J208, ""), "")</f>
        <v/>
      </c>
    </row>
    <row r="203" spans="1:6">
      <c r="A203" t="str">
        <f>TEXT(IF('Revenues &amp; Outlays in GDP'!B209&lt;&gt;0,'Revenues &amp; Outlays in GDP'!B209, ""), "mm/dd/yyyy")</f>
        <v/>
      </c>
      <c r="B203" t="str">
        <f>IFERROR(IF(ISNUMBER('Revenues &amp; Outlays in GDP'!G209),TEXT('Revenues &amp; Outlays in GDP'!G209, "0.00"),""), "")</f>
        <v/>
      </c>
      <c r="C203" t="str">
        <f>IFERROR(IF(ISNUMBER('Revenues &amp; Outlays in GDP'!C209),TEXT('Revenues &amp; Outlays in GDP'!C209, "0.00"),""), "")</f>
        <v/>
      </c>
      <c r="D203" t="str">
        <f>IFERROR(IF(ISNUMBER('Revenues &amp; Outlays in GDP'!H209),TEXT('Revenues &amp; Outlays in GDP'!H209, "0.00"),""), "")</f>
        <v/>
      </c>
      <c r="E203" t="str">
        <f>IFERROR(IF(ISNUMBER('Revenues &amp; Outlays in GDP'!D209),TEXT('Revenues &amp; Outlays in GDP'!D209, "0.00"),""), "")</f>
        <v/>
      </c>
      <c r="F203" t="str">
        <f>IFERROR(IF(ISNUMBER('Revenues &amp; Outlays in GDP'!B209), 'Revenues &amp; Outlays in GDP'!J209, ""), "")</f>
        <v/>
      </c>
    </row>
    <row r="204" spans="1:6">
      <c r="A204" t="str">
        <f>TEXT(IF('Revenues &amp; Outlays in GDP'!B210&lt;&gt;0,'Revenues &amp; Outlays in GDP'!B210, ""), "mm/dd/yyyy")</f>
        <v/>
      </c>
      <c r="B204" t="str">
        <f>IFERROR(IF(ISNUMBER('Revenues &amp; Outlays in GDP'!G210),TEXT('Revenues &amp; Outlays in GDP'!G210, "0.00"),""), "")</f>
        <v/>
      </c>
      <c r="C204" t="str">
        <f>IFERROR(IF(ISNUMBER('Revenues &amp; Outlays in GDP'!C210),TEXT('Revenues &amp; Outlays in GDP'!C210, "0.00"),""), "")</f>
        <v/>
      </c>
      <c r="D204" t="str">
        <f>IFERROR(IF(ISNUMBER('Revenues &amp; Outlays in GDP'!H210),TEXT('Revenues &amp; Outlays in GDP'!H210, "0.00"),""), "")</f>
        <v/>
      </c>
      <c r="E204" t="str">
        <f>IFERROR(IF(ISNUMBER('Revenues &amp; Outlays in GDP'!D210),TEXT('Revenues &amp; Outlays in GDP'!D210, "0.00"),""), "")</f>
        <v/>
      </c>
      <c r="F204" t="str">
        <f>IFERROR(IF(ISNUMBER('Revenues &amp; Outlays in GDP'!B210), 'Revenues &amp; Outlays in GDP'!J210, ""), "")</f>
        <v/>
      </c>
    </row>
    <row r="205" spans="1:6">
      <c r="A205" t="str">
        <f>TEXT(IF('Revenues &amp; Outlays in GDP'!B211&lt;&gt;0,'Revenues &amp; Outlays in GDP'!B211, ""), "mm/dd/yyyy")</f>
        <v/>
      </c>
      <c r="B205" t="str">
        <f>IFERROR(IF(ISNUMBER('Revenues &amp; Outlays in GDP'!G211),TEXT('Revenues &amp; Outlays in GDP'!G211, "0.00"),""), "")</f>
        <v/>
      </c>
      <c r="C205" t="str">
        <f>IFERROR(IF(ISNUMBER('Revenues &amp; Outlays in GDP'!C211),TEXT('Revenues &amp; Outlays in GDP'!C211, "0.00"),""), "")</f>
        <v/>
      </c>
      <c r="D205" t="str">
        <f>IFERROR(IF(ISNUMBER('Revenues &amp; Outlays in GDP'!H211),TEXT('Revenues &amp; Outlays in GDP'!H211, "0.00"),""), "")</f>
        <v/>
      </c>
      <c r="E205" t="str">
        <f>IFERROR(IF(ISNUMBER('Revenues &amp; Outlays in GDP'!D211),TEXT('Revenues &amp; Outlays in GDP'!D211, "0.00"),""), "")</f>
        <v/>
      </c>
      <c r="F205" t="str">
        <f>IFERROR(IF(ISNUMBER('Revenues &amp; Outlays in GDP'!B211), 'Revenues &amp; Outlays in GDP'!J211, ""), "")</f>
        <v/>
      </c>
    </row>
    <row r="206" spans="1:6">
      <c r="A206" t="str">
        <f>TEXT(IF('Revenues &amp; Outlays in GDP'!B212&lt;&gt;0,'Revenues &amp; Outlays in GDP'!B212, ""), "mm/dd/yyyy")</f>
        <v/>
      </c>
      <c r="B206" t="str">
        <f>IFERROR(IF(ISNUMBER('Revenues &amp; Outlays in GDP'!G212),TEXT('Revenues &amp; Outlays in GDP'!G212, "0.00"),""), "")</f>
        <v/>
      </c>
      <c r="C206" t="str">
        <f>IFERROR(IF(ISNUMBER('Revenues &amp; Outlays in GDP'!C212),TEXT('Revenues &amp; Outlays in GDP'!C212, "0.00"),""), "")</f>
        <v/>
      </c>
      <c r="D206" t="str">
        <f>IFERROR(IF(ISNUMBER('Revenues &amp; Outlays in GDP'!H212),TEXT('Revenues &amp; Outlays in GDP'!H212, "0.00"),""), "")</f>
        <v/>
      </c>
      <c r="E206" t="str">
        <f>IFERROR(IF(ISNUMBER('Revenues &amp; Outlays in GDP'!D212),TEXT('Revenues &amp; Outlays in GDP'!D212, "0.00"),""), "")</f>
        <v/>
      </c>
      <c r="F206" t="str">
        <f>IFERROR(IF(ISNUMBER('Revenues &amp; Outlays in GDP'!B212), 'Revenues &amp; Outlays in GDP'!J212, ""), "")</f>
        <v/>
      </c>
    </row>
    <row r="207" spans="1:6">
      <c r="A207" t="str">
        <f>TEXT(IF('Revenues &amp; Outlays in GDP'!B213&lt;&gt;0,'Revenues &amp; Outlays in GDP'!B213, ""), "mm/dd/yyyy")</f>
        <v/>
      </c>
      <c r="B207" t="str">
        <f>IFERROR(IF(ISNUMBER('Revenues &amp; Outlays in GDP'!G213),TEXT('Revenues &amp; Outlays in GDP'!G213, "0.00"),""), "")</f>
        <v/>
      </c>
      <c r="C207" t="str">
        <f>IFERROR(IF(ISNUMBER('Revenues &amp; Outlays in GDP'!C213),TEXT('Revenues &amp; Outlays in GDP'!C213, "0.00"),""), "")</f>
        <v/>
      </c>
      <c r="D207" t="str">
        <f>IFERROR(IF(ISNUMBER('Revenues &amp; Outlays in GDP'!H213),TEXT('Revenues &amp; Outlays in GDP'!H213, "0.00"),""), "")</f>
        <v/>
      </c>
      <c r="E207" t="str">
        <f>IFERROR(IF(ISNUMBER('Revenues &amp; Outlays in GDP'!D213),TEXT('Revenues &amp; Outlays in GDP'!D213, "0.00"),""), "")</f>
        <v/>
      </c>
      <c r="F207" t="str">
        <f>IFERROR(IF(ISNUMBER('Revenues &amp; Outlays in GDP'!B213), 'Revenues &amp; Outlays in GDP'!J213, ""), "")</f>
        <v/>
      </c>
    </row>
    <row r="208" spans="1:6">
      <c r="A208" t="str">
        <f>TEXT(IF('Revenues &amp; Outlays in GDP'!B214&lt;&gt;0,'Revenues &amp; Outlays in GDP'!B214, ""), "mm/dd/yyyy")</f>
        <v/>
      </c>
      <c r="B208" t="str">
        <f>IFERROR(IF(ISNUMBER('Revenues &amp; Outlays in GDP'!G214),TEXT('Revenues &amp; Outlays in GDP'!G214, "0.00"),""), "")</f>
        <v/>
      </c>
      <c r="C208" t="str">
        <f>IFERROR(IF(ISNUMBER('Revenues &amp; Outlays in GDP'!C214),TEXT('Revenues &amp; Outlays in GDP'!C214, "0.00"),""), "")</f>
        <v/>
      </c>
      <c r="D208" t="str">
        <f>IFERROR(IF(ISNUMBER('Revenues &amp; Outlays in GDP'!H214),TEXT('Revenues &amp; Outlays in GDP'!H214, "0.00"),""), "")</f>
        <v/>
      </c>
      <c r="E208" t="str">
        <f>IFERROR(IF(ISNUMBER('Revenues &amp; Outlays in GDP'!D214),TEXT('Revenues &amp; Outlays in GDP'!D214, "0.00"),""), "")</f>
        <v/>
      </c>
      <c r="F208" t="str">
        <f>IFERROR(IF(ISNUMBER('Revenues &amp; Outlays in GDP'!B214), 'Revenues &amp; Outlays in GDP'!J214, ""), "")</f>
        <v/>
      </c>
    </row>
    <row r="209" spans="1:6">
      <c r="A209" t="str">
        <f>TEXT(IF('Revenues &amp; Outlays in GDP'!B215&lt;&gt;0,'Revenues &amp; Outlays in GDP'!B215, ""), "mm/dd/yyyy")</f>
        <v/>
      </c>
      <c r="B209" t="str">
        <f>IFERROR(IF(ISNUMBER('Revenues &amp; Outlays in GDP'!G215),TEXT('Revenues &amp; Outlays in GDP'!G215, "0.00"),""), "")</f>
        <v/>
      </c>
      <c r="C209" t="str">
        <f>IFERROR(IF(ISNUMBER('Revenues &amp; Outlays in GDP'!C215),TEXT('Revenues &amp; Outlays in GDP'!C215, "0.00"),""), "")</f>
        <v/>
      </c>
      <c r="D209" t="str">
        <f>IFERROR(IF(ISNUMBER('Revenues &amp; Outlays in GDP'!H215),TEXT('Revenues &amp; Outlays in GDP'!H215, "0.00"),""), "")</f>
        <v/>
      </c>
      <c r="E209" t="str">
        <f>IFERROR(IF(ISNUMBER('Revenues &amp; Outlays in GDP'!D215),TEXT('Revenues &amp; Outlays in GDP'!D215, "0.00"),""), "")</f>
        <v/>
      </c>
      <c r="F209" t="str">
        <f>IFERROR(IF(ISNUMBER('Revenues &amp; Outlays in GDP'!B215), 'Revenues &amp; Outlays in GDP'!J215, ""), "")</f>
        <v/>
      </c>
    </row>
    <row r="210" spans="1:6">
      <c r="A210" t="str">
        <f>TEXT(IF('Revenues &amp; Outlays in GDP'!B216&lt;&gt;0,'Revenues &amp; Outlays in GDP'!B216, ""), "mm/dd/yyyy")</f>
        <v/>
      </c>
      <c r="B210" t="str">
        <f>IFERROR(IF(ISNUMBER('Revenues &amp; Outlays in GDP'!G216),TEXT('Revenues &amp; Outlays in GDP'!G216, "0.00"),""), "")</f>
        <v/>
      </c>
      <c r="C210" t="str">
        <f>IFERROR(IF(ISNUMBER('Revenues &amp; Outlays in GDP'!C216),TEXT('Revenues &amp; Outlays in GDP'!C216, "0.00"),""), "")</f>
        <v/>
      </c>
      <c r="D210" t="str">
        <f>IFERROR(IF(ISNUMBER('Revenues &amp; Outlays in GDP'!H216),TEXT('Revenues &amp; Outlays in GDP'!H216, "0.00"),""), "")</f>
        <v/>
      </c>
      <c r="E210" t="str">
        <f>IFERROR(IF(ISNUMBER('Revenues &amp; Outlays in GDP'!D216),TEXT('Revenues &amp; Outlays in GDP'!D216, "0.00"),""), "")</f>
        <v/>
      </c>
      <c r="F210" t="str">
        <f>IFERROR(IF(ISNUMBER('Revenues &amp; Outlays in GDP'!B216), 'Revenues &amp; Outlays in GDP'!J216, ""), "")</f>
        <v/>
      </c>
    </row>
    <row r="211" spans="1:6">
      <c r="A211" t="str">
        <f>TEXT(IF('Revenues &amp; Outlays in GDP'!B217&lt;&gt;0,'Revenues &amp; Outlays in GDP'!B217, ""), "mm/dd/yyyy")</f>
        <v/>
      </c>
      <c r="B211" t="str">
        <f>IFERROR(IF(ISNUMBER('Revenues &amp; Outlays in GDP'!G217),TEXT('Revenues &amp; Outlays in GDP'!G217, "0.00"),""), "")</f>
        <v/>
      </c>
      <c r="C211" t="str">
        <f>IFERROR(IF(ISNUMBER('Revenues &amp; Outlays in GDP'!C217),TEXT('Revenues &amp; Outlays in GDP'!C217, "0.00"),""), "")</f>
        <v/>
      </c>
      <c r="D211" t="str">
        <f>IFERROR(IF(ISNUMBER('Revenues &amp; Outlays in GDP'!H217),TEXT('Revenues &amp; Outlays in GDP'!H217, "0.00"),""), "")</f>
        <v/>
      </c>
      <c r="E211" t="str">
        <f>IFERROR(IF(ISNUMBER('Revenues &amp; Outlays in GDP'!D217),TEXT('Revenues &amp; Outlays in GDP'!D217, "0.00"),""), "")</f>
        <v/>
      </c>
      <c r="F211" t="str">
        <f>IFERROR(IF(ISNUMBER('Revenues &amp; Outlays in GDP'!B217), 'Revenues &amp; Outlays in GDP'!J217, ""), "")</f>
        <v/>
      </c>
    </row>
    <row r="212" spans="1:6">
      <c r="A212" t="str">
        <f>TEXT(IF('Revenues &amp; Outlays in GDP'!B218&lt;&gt;0,'Revenues &amp; Outlays in GDP'!B218, ""), "mm/dd/yyyy")</f>
        <v/>
      </c>
      <c r="B212" t="str">
        <f>IFERROR(IF(ISNUMBER('Revenues &amp; Outlays in GDP'!G218),TEXT('Revenues &amp; Outlays in GDP'!G218, "0.00"),""), "")</f>
        <v/>
      </c>
      <c r="C212" t="str">
        <f>IFERROR(IF(ISNUMBER('Revenues &amp; Outlays in GDP'!C218),TEXT('Revenues &amp; Outlays in GDP'!C218, "0.00"),""), "")</f>
        <v/>
      </c>
      <c r="D212" t="str">
        <f>IFERROR(IF(ISNUMBER('Revenues &amp; Outlays in GDP'!H218),TEXT('Revenues &amp; Outlays in GDP'!H218, "0.00"),""), "")</f>
        <v/>
      </c>
      <c r="E212" t="str">
        <f>IFERROR(IF(ISNUMBER('Revenues &amp; Outlays in GDP'!D218),TEXT('Revenues &amp; Outlays in GDP'!D218, "0.00"),""), "")</f>
        <v/>
      </c>
      <c r="F212" t="str">
        <f>IFERROR(IF(ISNUMBER('Revenues &amp; Outlays in GDP'!B218), 'Revenues &amp; Outlays in GDP'!J218, ""), "")</f>
        <v/>
      </c>
    </row>
    <row r="213" spans="1:6">
      <c r="A213" t="str">
        <f>TEXT(IF('Revenues &amp; Outlays in GDP'!B219&lt;&gt;0,'Revenues &amp; Outlays in GDP'!B219, ""), "mm/dd/yyyy")</f>
        <v/>
      </c>
      <c r="B213" t="str">
        <f>IFERROR(IF(ISNUMBER('Revenues &amp; Outlays in GDP'!G219),TEXT('Revenues &amp; Outlays in GDP'!G219, "0.00"),""), "")</f>
        <v/>
      </c>
      <c r="C213" t="str">
        <f>IFERROR(IF(ISNUMBER('Revenues &amp; Outlays in GDP'!C219),TEXT('Revenues &amp; Outlays in GDP'!C219, "0.00"),""), "")</f>
        <v/>
      </c>
      <c r="D213" t="str">
        <f>IFERROR(IF(ISNUMBER('Revenues &amp; Outlays in GDP'!H219),TEXT('Revenues &amp; Outlays in GDP'!H219, "0.00"),""), "")</f>
        <v/>
      </c>
      <c r="E213" t="str">
        <f>IFERROR(IF(ISNUMBER('Revenues &amp; Outlays in GDP'!D219),TEXT('Revenues &amp; Outlays in GDP'!D219, "0.00"),""), "")</f>
        <v/>
      </c>
      <c r="F213" t="str">
        <f>IFERROR(IF(ISNUMBER('Revenues &amp; Outlays in GDP'!B219), 'Revenues &amp; Outlays in GDP'!J219, ""), "")</f>
        <v/>
      </c>
    </row>
    <row r="214" spans="1:6">
      <c r="A214" t="str">
        <f>TEXT(IF('Revenues &amp; Outlays in GDP'!B220&lt;&gt;0,'Revenues &amp; Outlays in GDP'!B220, ""), "mm/dd/yyyy")</f>
        <v/>
      </c>
      <c r="B214" t="str">
        <f>IFERROR(IF(ISNUMBER('Revenues &amp; Outlays in GDP'!G220),TEXT('Revenues &amp; Outlays in GDP'!G220, "0.00"),""), "")</f>
        <v/>
      </c>
      <c r="C214" t="str">
        <f>IFERROR(IF(ISNUMBER('Revenues &amp; Outlays in GDP'!C220),TEXT('Revenues &amp; Outlays in GDP'!C220, "0.00"),""), "")</f>
        <v/>
      </c>
      <c r="D214" t="str">
        <f>IFERROR(IF(ISNUMBER('Revenues &amp; Outlays in GDP'!H220),TEXT('Revenues &amp; Outlays in GDP'!H220, "0.00"),""), "")</f>
        <v/>
      </c>
      <c r="E214" t="str">
        <f>IFERROR(IF(ISNUMBER('Revenues &amp; Outlays in GDP'!D220),TEXT('Revenues &amp; Outlays in GDP'!D220, "0.00"),""), "")</f>
        <v/>
      </c>
      <c r="F214" t="str">
        <f>IFERROR(IF(ISNUMBER('Revenues &amp; Outlays in GDP'!B220), 'Revenues &amp; Outlays in GDP'!J220, ""), "")</f>
        <v/>
      </c>
    </row>
    <row r="215" spans="1:6">
      <c r="A215" t="str">
        <f>TEXT(IF('Revenues &amp; Outlays in GDP'!B221&lt;&gt;0,'Revenues &amp; Outlays in GDP'!B221, ""), "mm/dd/yyyy")</f>
        <v/>
      </c>
      <c r="B215" t="str">
        <f>IFERROR(IF(ISNUMBER('Revenues &amp; Outlays in GDP'!G221),TEXT('Revenues &amp; Outlays in GDP'!G221, "0.00"),""), "")</f>
        <v/>
      </c>
      <c r="C215" t="str">
        <f>IFERROR(IF(ISNUMBER('Revenues &amp; Outlays in GDP'!C221),TEXT('Revenues &amp; Outlays in GDP'!C221, "0.00"),""), "")</f>
        <v/>
      </c>
      <c r="D215" t="str">
        <f>IFERROR(IF(ISNUMBER('Revenues &amp; Outlays in GDP'!H221),TEXT('Revenues &amp; Outlays in GDP'!H221, "0.00"),""), "")</f>
        <v/>
      </c>
      <c r="E215" t="str">
        <f>IFERROR(IF(ISNUMBER('Revenues &amp; Outlays in GDP'!D221),TEXT('Revenues &amp; Outlays in GDP'!D221, "0.00"),""), "")</f>
        <v/>
      </c>
      <c r="F215" t="str">
        <f>IFERROR(IF(ISNUMBER('Revenues &amp; Outlays in GDP'!B221), 'Revenues &amp; Outlays in GDP'!J221, ""), "")</f>
        <v/>
      </c>
    </row>
    <row r="216" spans="1:6">
      <c r="A216" t="str">
        <f>TEXT(IF('Revenues &amp; Outlays in GDP'!B222&lt;&gt;0,'Revenues &amp; Outlays in GDP'!B222, ""), "mm/dd/yyyy")</f>
        <v/>
      </c>
      <c r="B216" t="str">
        <f>IFERROR(IF(ISNUMBER('Revenues &amp; Outlays in GDP'!G222),TEXT('Revenues &amp; Outlays in GDP'!G222, "0.00"),""), "")</f>
        <v/>
      </c>
      <c r="C216" t="str">
        <f>IFERROR(IF(ISNUMBER('Revenues &amp; Outlays in GDP'!C222),TEXT('Revenues &amp; Outlays in GDP'!C222, "0.00"),""), "")</f>
        <v/>
      </c>
      <c r="D216" t="str">
        <f>IFERROR(IF(ISNUMBER('Revenues &amp; Outlays in GDP'!H222),TEXT('Revenues &amp; Outlays in GDP'!H222, "0.00"),""), "")</f>
        <v/>
      </c>
      <c r="E216" t="str">
        <f>IFERROR(IF(ISNUMBER('Revenues &amp; Outlays in GDP'!D222),TEXT('Revenues &amp; Outlays in GDP'!D222, "0.00"),""), "")</f>
        <v/>
      </c>
      <c r="F216" t="str">
        <f>IFERROR(IF(ISNUMBER('Revenues &amp; Outlays in GDP'!B222), 'Revenues &amp; Outlays in GDP'!J222, ""), "")</f>
        <v/>
      </c>
    </row>
    <row r="217" spans="1:6">
      <c r="A217" t="str">
        <f>TEXT(IF('Revenues &amp; Outlays in GDP'!B223&lt;&gt;0,'Revenues &amp; Outlays in GDP'!B223, ""), "mm/dd/yyyy")</f>
        <v/>
      </c>
      <c r="B217" t="str">
        <f>IFERROR(IF(ISNUMBER('Revenues &amp; Outlays in GDP'!G223),TEXT('Revenues &amp; Outlays in GDP'!G223, "0.00"),""), "")</f>
        <v/>
      </c>
      <c r="C217" t="str">
        <f>IFERROR(IF(ISNUMBER('Revenues &amp; Outlays in GDP'!C223),TEXT('Revenues &amp; Outlays in GDP'!C223, "0.00"),""), "")</f>
        <v/>
      </c>
      <c r="D217" t="str">
        <f>IFERROR(IF(ISNUMBER('Revenues &amp; Outlays in GDP'!H223),TEXT('Revenues &amp; Outlays in GDP'!H223, "0.00"),""), "")</f>
        <v/>
      </c>
      <c r="E217" t="str">
        <f>IFERROR(IF(ISNUMBER('Revenues &amp; Outlays in GDP'!D223),TEXT('Revenues &amp; Outlays in GDP'!D223, "0.00"),""), "")</f>
        <v/>
      </c>
      <c r="F217" t="str">
        <f>IFERROR(IF(ISNUMBER('Revenues &amp; Outlays in GDP'!B223), 'Revenues &amp; Outlays in GDP'!J223, ""), "")</f>
        <v/>
      </c>
    </row>
    <row r="218" spans="1:6">
      <c r="A218" t="str">
        <f>TEXT(IF('Revenues &amp; Outlays in GDP'!B224&lt;&gt;0,'Revenues &amp; Outlays in GDP'!B224, ""), "mm/dd/yyyy")</f>
        <v/>
      </c>
      <c r="B218" t="str">
        <f>IFERROR(IF(ISNUMBER('Revenues &amp; Outlays in GDP'!G224),TEXT('Revenues &amp; Outlays in GDP'!G224, "0.00"),""), "")</f>
        <v/>
      </c>
      <c r="C218" t="str">
        <f>IFERROR(IF(ISNUMBER('Revenues &amp; Outlays in GDP'!C224),TEXT('Revenues &amp; Outlays in GDP'!C224, "0.00"),""), "")</f>
        <v/>
      </c>
      <c r="D218" t="str">
        <f>IFERROR(IF(ISNUMBER('Revenues &amp; Outlays in GDP'!H224),TEXT('Revenues &amp; Outlays in GDP'!H224, "0.00"),""), "")</f>
        <v/>
      </c>
      <c r="E218" t="str">
        <f>IFERROR(IF(ISNUMBER('Revenues &amp; Outlays in GDP'!D224),TEXT('Revenues &amp; Outlays in GDP'!D224, "0.00"),""), "")</f>
        <v/>
      </c>
      <c r="F218" t="str">
        <f>IFERROR(IF(ISNUMBER('Revenues &amp; Outlays in GDP'!B224), 'Revenues &amp; Outlays in GDP'!J224, ""), "")</f>
        <v/>
      </c>
    </row>
    <row r="219" spans="1:6">
      <c r="A219" t="str">
        <f>TEXT(IF('Revenues &amp; Outlays in GDP'!B225&lt;&gt;0,'Revenues &amp; Outlays in GDP'!B225, ""), "mm/dd/yyyy")</f>
        <v/>
      </c>
      <c r="B219" t="str">
        <f>IFERROR(IF(ISNUMBER('Revenues &amp; Outlays in GDP'!G225),TEXT('Revenues &amp; Outlays in GDP'!G225, "0.00"),""), "")</f>
        <v/>
      </c>
      <c r="C219" t="str">
        <f>IFERROR(IF(ISNUMBER('Revenues &amp; Outlays in GDP'!C225),TEXT('Revenues &amp; Outlays in GDP'!C225, "0.00"),""), "")</f>
        <v/>
      </c>
      <c r="D219" t="str">
        <f>IFERROR(IF(ISNUMBER('Revenues &amp; Outlays in GDP'!H225),TEXT('Revenues &amp; Outlays in GDP'!H225, "0.00"),""), "")</f>
        <v/>
      </c>
      <c r="E219" t="str">
        <f>IFERROR(IF(ISNUMBER('Revenues &amp; Outlays in GDP'!D225),TEXT('Revenues &amp; Outlays in GDP'!D225, "0.00"),""), "")</f>
        <v/>
      </c>
      <c r="F219" t="str">
        <f>IFERROR(IF(ISNUMBER('Revenues &amp; Outlays in GDP'!B225), 'Revenues &amp; Outlays in GDP'!J225, ""), "")</f>
        <v/>
      </c>
    </row>
    <row r="220" spans="1:6">
      <c r="A220" t="str">
        <f>TEXT(IF('Revenues &amp; Outlays in GDP'!B226&lt;&gt;0,'Revenues &amp; Outlays in GDP'!B226, ""), "mm/dd/yyyy")</f>
        <v/>
      </c>
      <c r="B220" t="str">
        <f>IFERROR(IF(ISNUMBER('Revenues &amp; Outlays in GDP'!G226),TEXT('Revenues &amp; Outlays in GDP'!G226, "0.00"),""), "")</f>
        <v/>
      </c>
      <c r="C220" t="str">
        <f>IFERROR(IF(ISNUMBER('Revenues &amp; Outlays in GDP'!C226),TEXT('Revenues &amp; Outlays in GDP'!C226, "0.00"),""), "")</f>
        <v/>
      </c>
      <c r="D220" t="str">
        <f>IFERROR(IF(ISNUMBER('Revenues &amp; Outlays in GDP'!H226),TEXT('Revenues &amp; Outlays in GDP'!H226, "0.00"),""), "")</f>
        <v/>
      </c>
      <c r="E220" t="str">
        <f>IFERROR(IF(ISNUMBER('Revenues &amp; Outlays in GDP'!D226),TEXT('Revenues &amp; Outlays in GDP'!D226, "0.00"),""), "")</f>
        <v/>
      </c>
      <c r="F220" t="str">
        <f>IFERROR(IF(ISNUMBER('Revenues &amp; Outlays in GDP'!B226), 'Revenues &amp; Outlays in GDP'!J226, ""), "")</f>
        <v/>
      </c>
    </row>
    <row r="221" spans="1:6">
      <c r="A221" t="str">
        <f>TEXT(IF('Revenues &amp; Outlays in GDP'!B227&lt;&gt;0,'Revenues &amp; Outlays in GDP'!B227, ""), "mm/dd/yyyy")</f>
        <v/>
      </c>
      <c r="B221" t="str">
        <f>IFERROR(IF(ISNUMBER('Revenues &amp; Outlays in GDP'!G227),TEXT('Revenues &amp; Outlays in GDP'!G227, "0.00"),""), "")</f>
        <v/>
      </c>
      <c r="C221" t="str">
        <f>IFERROR(IF(ISNUMBER('Revenues &amp; Outlays in GDP'!C227),TEXT('Revenues &amp; Outlays in GDP'!C227, "0.00"),""), "")</f>
        <v/>
      </c>
      <c r="D221" t="str">
        <f>IFERROR(IF(ISNUMBER('Revenues &amp; Outlays in GDP'!H227),TEXT('Revenues &amp; Outlays in GDP'!H227, "0.00"),""), "")</f>
        <v/>
      </c>
      <c r="E221" t="str">
        <f>IFERROR(IF(ISNUMBER('Revenues &amp; Outlays in GDP'!D227),TEXT('Revenues &amp; Outlays in GDP'!D227, "0.00"),""), "")</f>
        <v/>
      </c>
      <c r="F221" t="str">
        <f>IFERROR(IF(ISNUMBER('Revenues &amp; Outlays in GDP'!B227), 'Revenues &amp; Outlays in GDP'!J227, ""), "")</f>
        <v/>
      </c>
    </row>
    <row r="222" spans="1:6">
      <c r="A222" t="str">
        <f>TEXT(IF('Revenues &amp; Outlays in GDP'!B228&lt;&gt;0,'Revenues &amp; Outlays in GDP'!B228, ""), "mm/dd/yyyy")</f>
        <v/>
      </c>
      <c r="B222" t="str">
        <f>IFERROR(IF(ISNUMBER('Revenues &amp; Outlays in GDP'!G228),TEXT('Revenues &amp; Outlays in GDP'!G228, "0.00"),""), "")</f>
        <v/>
      </c>
      <c r="C222" t="str">
        <f>IFERROR(IF(ISNUMBER('Revenues &amp; Outlays in GDP'!C228),TEXT('Revenues &amp; Outlays in GDP'!C228, "0.00"),""), "")</f>
        <v/>
      </c>
      <c r="D222" t="str">
        <f>IFERROR(IF(ISNUMBER('Revenues &amp; Outlays in GDP'!H228),TEXT('Revenues &amp; Outlays in GDP'!H228, "0.00"),""), "")</f>
        <v/>
      </c>
      <c r="E222" t="str">
        <f>IFERROR(IF(ISNUMBER('Revenues &amp; Outlays in GDP'!D228),TEXT('Revenues &amp; Outlays in GDP'!D228, "0.00"),""), "")</f>
        <v/>
      </c>
      <c r="F222" t="str">
        <f>IFERROR(IF(ISNUMBER('Revenues &amp; Outlays in GDP'!B228), 'Revenues &amp; Outlays in GDP'!J228, ""), "")</f>
        <v/>
      </c>
    </row>
    <row r="223" spans="1:6">
      <c r="A223" t="str">
        <f>TEXT(IF('Revenues &amp; Outlays in GDP'!B229&lt;&gt;0,'Revenues &amp; Outlays in GDP'!B229, ""), "mm/dd/yyyy")</f>
        <v/>
      </c>
      <c r="B223" t="str">
        <f>IFERROR(IF(ISNUMBER('Revenues &amp; Outlays in GDP'!G229),TEXT('Revenues &amp; Outlays in GDP'!G229, "0.00"),""), "")</f>
        <v/>
      </c>
      <c r="C223" t="str">
        <f>IFERROR(IF(ISNUMBER('Revenues &amp; Outlays in GDP'!C229),TEXT('Revenues &amp; Outlays in GDP'!C229, "0.00"),""), "")</f>
        <v/>
      </c>
      <c r="D223" t="str">
        <f>IFERROR(IF(ISNUMBER('Revenues &amp; Outlays in GDP'!H229),TEXT('Revenues &amp; Outlays in GDP'!H229, "0.00"),""), "")</f>
        <v/>
      </c>
      <c r="E223" t="str">
        <f>IFERROR(IF(ISNUMBER('Revenues &amp; Outlays in GDP'!D229),TEXT('Revenues &amp; Outlays in GDP'!D229, "0.00"),""), "")</f>
        <v/>
      </c>
      <c r="F223" t="str">
        <f>IFERROR(IF(ISNUMBER('Revenues &amp; Outlays in GDP'!B229), 'Revenues &amp; Outlays in GDP'!J229, ""), "")</f>
        <v/>
      </c>
    </row>
    <row r="224" spans="1:6">
      <c r="A224" t="str">
        <f>TEXT(IF('Revenues &amp; Outlays in GDP'!B230&lt;&gt;0,'Revenues &amp; Outlays in GDP'!B230, ""), "mm/dd/yyyy")</f>
        <v/>
      </c>
      <c r="B224" t="str">
        <f>IFERROR(IF(ISNUMBER('Revenues &amp; Outlays in GDP'!G230),TEXT('Revenues &amp; Outlays in GDP'!G230, "0.00"),""), "")</f>
        <v/>
      </c>
      <c r="C224" t="str">
        <f>IFERROR(IF(ISNUMBER('Revenues &amp; Outlays in GDP'!C230),TEXT('Revenues &amp; Outlays in GDP'!C230, "0.00"),""), "")</f>
        <v/>
      </c>
      <c r="D224" t="str">
        <f>IFERROR(IF(ISNUMBER('Revenues &amp; Outlays in GDP'!H230),TEXT('Revenues &amp; Outlays in GDP'!H230, "0.00"),""), "")</f>
        <v/>
      </c>
      <c r="E224" t="str">
        <f>IFERROR(IF(ISNUMBER('Revenues &amp; Outlays in GDP'!D230),TEXT('Revenues &amp; Outlays in GDP'!D230, "0.00"),""), "")</f>
        <v/>
      </c>
      <c r="F224" t="str">
        <f>IFERROR(IF(ISNUMBER('Revenues &amp; Outlays in GDP'!B230), 'Revenues &amp; Outlays in GDP'!J230, ""), "")</f>
        <v/>
      </c>
    </row>
    <row r="225" spans="1:6">
      <c r="A225" t="str">
        <f>TEXT(IF('Revenues &amp; Outlays in GDP'!B231&lt;&gt;0,'Revenues &amp; Outlays in GDP'!B231, ""), "mm/dd/yyyy")</f>
        <v/>
      </c>
      <c r="B225" t="str">
        <f>IFERROR(IF(ISNUMBER('Revenues &amp; Outlays in GDP'!G231),TEXT('Revenues &amp; Outlays in GDP'!G231, "0.00"),""), "")</f>
        <v/>
      </c>
      <c r="C225" t="str">
        <f>IFERROR(IF(ISNUMBER('Revenues &amp; Outlays in GDP'!C231),TEXT('Revenues &amp; Outlays in GDP'!C231, "0.00"),""), "")</f>
        <v/>
      </c>
      <c r="D225" t="str">
        <f>IFERROR(IF(ISNUMBER('Revenues &amp; Outlays in GDP'!H231),TEXT('Revenues &amp; Outlays in GDP'!H231, "0.00"),""), "")</f>
        <v/>
      </c>
      <c r="E225" t="str">
        <f>IFERROR(IF(ISNUMBER('Revenues &amp; Outlays in GDP'!D231),TEXT('Revenues &amp; Outlays in GDP'!D231, "0.00"),""), "")</f>
        <v/>
      </c>
      <c r="F225" t="str">
        <f>IFERROR(IF(ISNUMBER('Revenues &amp; Outlays in GDP'!B231), 'Revenues &amp; Outlays in GDP'!J231, ""), "")</f>
        <v/>
      </c>
    </row>
    <row r="226" spans="1:6">
      <c r="A226" t="str">
        <f>TEXT(IF('Revenues &amp; Outlays in GDP'!B232&lt;&gt;0,'Revenues &amp; Outlays in GDP'!B232, ""), "mm/dd/yyyy")</f>
        <v/>
      </c>
      <c r="B226" t="str">
        <f>IFERROR(IF(ISNUMBER('Revenues &amp; Outlays in GDP'!G232),TEXT('Revenues &amp; Outlays in GDP'!G232, "0.00"),""), "")</f>
        <v/>
      </c>
      <c r="C226" t="str">
        <f>IFERROR(IF(ISNUMBER('Revenues &amp; Outlays in GDP'!C232),TEXT('Revenues &amp; Outlays in GDP'!C232, "0.00"),""), "")</f>
        <v/>
      </c>
      <c r="D226" t="str">
        <f>IFERROR(IF(ISNUMBER('Revenues &amp; Outlays in GDP'!H232),TEXT('Revenues &amp; Outlays in GDP'!H232, "0.00"),""), "")</f>
        <v/>
      </c>
      <c r="E226" t="str">
        <f>IFERROR(IF(ISNUMBER('Revenues &amp; Outlays in GDP'!D232),TEXT('Revenues &amp; Outlays in GDP'!D232, "0.00"),""), "")</f>
        <v/>
      </c>
      <c r="F226" t="str">
        <f>IFERROR(IF(ISNUMBER('Revenues &amp; Outlays in GDP'!B232), 'Revenues &amp; Outlays in GDP'!J232, ""), "")</f>
        <v/>
      </c>
    </row>
    <row r="227" spans="1:6">
      <c r="A227" t="str">
        <f>TEXT(IF('Revenues &amp; Outlays in GDP'!B233&lt;&gt;0,'Revenues &amp; Outlays in GDP'!B233, ""), "mm/dd/yyyy")</f>
        <v/>
      </c>
      <c r="B227" t="str">
        <f>IFERROR(IF(ISNUMBER('Revenues &amp; Outlays in GDP'!G233),TEXT('Revenues &amp; Outlays in GDP'!G233, "0.00"),""), "")</f>
        <v/>
      </c>
      <c r="C227" t="str">
        <f>IFERROR(IF(ISNUMBER('Revenues &amp; Outlays in GDP'!C233),TEXT('Revenues &amp; Outlays in GDP'!C233, "0.00"),""), "")</f>
        <v/>
      </c>
      <c r="D227" t="str">
        <f>IFERROR(IF(ISNUMBER('Revenues &amp; Outlays in GDP'!H233),TEXT('Revenues &amp; Outlays in GDP'!H233, "0.00"),""), "")</f>
        <v/>
      </c>
      <c r="E227" t="str">
        <f>IFERROR(IF(ISNUMBER('Revenues &amp; Outlays in GDP'!D233),TEXT('Revenues &amp; Outlays in GDP'!D233, "0.00"),""), "")</f>
        <v/>
      </c>
      <c r="F227" t="str">
        <f>IFERROR(IF(ISNUMBER('Revenues &amp; Outlays in GDP'!B233), 'Revenues &amp; Outlays in GDP'!J233, ""), "")</f>
        <v/>
      </c>
    </row>
    <row r="228" spans="1:6">
      <c r="A228" t="str">
        <f>TEXT(IF('Revenues &amp; Outlays in GDP'!B234&lt;&gt;0,'Revenues &amp; Outlays in GDP'!B234, ""), "mm/dd/yyyy")</f>
        <v/>
      </c>
      <c r="B228" t="str">
        <f>IFERROR(IF(ISNUMBER('Revenues &amp; Outlays in GDP'!G234),TEXT('Revenues &amp; Outlays in GDP'!G234, "0.00"),""), "")</f>
        <v/>
      </c>
      <c r="C228" t="str">
        <f>IFERROR(IF(ISNUMBER('Revenues &amp; Outlays in GDP'!C234),TEXT('Revenues &amp; Outlays in GDP'!C234, "0.00"),""), "")</f>
        <v/>
      </c>
      <c r="D228" t="str">
        <f>IFERROR(IF(ISNUMBER('Revenues &amp; Outlays in GDP'!H234),TEXT('Revenues &amp; Outlays in GDP'!H234, "0.00"),""), "")</f>
        <v/>
      </c>
      <c r="E228" t="str">
        <f>IFERROR(IF(ISNUMBER('Revenues &amp; Outlays in GDP'!D234),TEXT('Revenues &amp; Outlays in GDP'!D234, "0.00"),""), "")</f>
        <v/>
      </c>
      <c r="F228" t="str">
        <f>IFERROR(IF(ISNUMBER('Revenues &amp; Outlays in GDP'!B234), 'Revenues &amp; Outlays in GDP'!J234, ""), "")</f>
        <v/>
      </c>
    </row>
    <row r="229" spans="1:6">
      <c r="A229" t="str">
        <f>TEXT(IF('Revenues &amp; Outlays in GDP'!B235&lt;&gt;0,'Revenues &amp; Outlays in GDP'!B235, ""), "mm/dd/yyyy")</f>
        <v/>
      </c>
      <c r="B229" t="str">
        <f>IFERROR(IF(ISNUMBER('Revenues &amp; Outlays in GDP'!G235),TEXT('Revenues &amp; Outlays in GDP'!G235, "0.00"),""), "")</f>
        <v/>
      </c>
      <c r="C229" t="str">
        <f>IFERROR(IF(ISNUMBER('Revenues &amp; Outlays in GDP'!C235),TEXT('Revenues &amp; Outlays in GDP'!C235, "0.00"),""), "")</f>
        <v/>
      </c>
      <c r="D229" t="str">
        <f>IFERROR(IF(ISNUMBER('Revenues &amp; Outlays in GDP'!H235),TEXT('Revenues &amp; Outlays in GDP'!H235, "0.00"),""), "")</f>
        <v/>
      </c>
      <c r="E229" t="str">
        <f>IFERROR(IF(ISNUMBER('Revenues &amp; Outlays in GDP'!D235),TEXT('Revenues &amp; Outlays in GDP'!D235, "0.00"),""), "")</f>
        <v/>
      </c>
      <c r="F229" t="str">
        <f>IFERROR(IF(ISNUMBER('Revenues &amp; Outlays in GDP'!B235), 'Revenues &amp; Outlays in GDP'!J235, ""), "")</f>
        <v/>
      </c>
    </row>
    <row r="230" spans="1:6">
      <c r="A230" t="str">
        <f>TEXT(IF('Revenues &amp; Outlays in GDP'!B236&lt;&gt;0,'Revenues &amp; Outlays in GDP'!B236, ""), "mm/dd/yyyy")</f>
        <v/>
      </c>
      <c r="B230" t="str">
        <f>IFERROR(IF(ISNUMBER('Revenues &amp; Outlays in GDP'!G236),TEXT('Revenues &amp; Outlays in GDP'!G236, "0.00"),""), "")</f>
        <v/>
      </c>
      <c r="C230" t="str">
        <f>IFERROR(IF(ISNUMBER('Revenues &amp; Outlays in GDP'!C236),TEXT('Revenues &amp; Outlays in GDP'!C236, "0.00"),""), "")</f>
        <v/>
      </c>
      <c r="D230" t="str">
        <f>IFERROR(IF(ISNUMBER('Revenues &amp; Outlays in GDP'!H236),TEXT('Revenues &amp; Outlays in GDP'!H236, "0.00"),""), "")</f>
        <v/>
      </c>
      <c r="E230" t="str">
        <f>IFERROR(IF(ISNUMBER('Revenues &amp; Outlays in GDP'!D236),TEXT('Revenues &amp; Outlays in GDP'!D236, "0.00"),""), "")</f>
        <v/>
      </c>
      <c r="F230" t="str">
        <f>IFERROR(IF(ISNUMBER('Revenues &amp; Outlays in GDP'!B236), 'Revenues &amp; Outlays in GDP'!J236, ""), "")</f>
        <v/>
      </c>
    </row>
    <row r="231" spans="1:6">
      <c r="A231" t="str">
        <f>TEXT(IF('Revenues &amp; Outlays in GDP'!B237&lt;&gt;0,'Revenues &amp; Outlays in GDP'!B237, ""), "mm/dd/yyyy")</f>
        <v/>
      </c>
      <c r="B231" t="str">
        <f>IFERROR(IF(ISNUMBER('Revenues &amp; Outlays in GDP'!G237),TEXT('Revenues &amp; Outlays in GDP'!G237, "0.00"),""), "")</f>
        <v/>
      </c>
      <c r="C231" t="str">
        <f>IFERROR(IF(ISNUMBER('Revenues &amp; Outlays in GDP'!C237),TEXT('Revenues &amp; Outlays in GDP'!C237, "0.00"),""), "")</f>
        <v/>
      </c>
      <c r="D231" t="str">
        <f>IFERROR(IF(ISNUMBER('Revenues &amp; Outlays in GDP'!H237),TEXT('Revenues &amp; Outlays in GDP'!H237, "0.00"),""), "")</f>
        <v/>
      </c>
      <c r="E231" t="str">
        <f>IFERROR(IF(ISNUMBER('Revenues &amp; Outlays in GDP'!D237),TEXT('Revenues &amp; Outlays in GDP'!D237, "0.00"),""), "")</f>
        <v/>
      </c>
      <c r="F231" t="str">
        <f>IFERROR(IF(ISNUMBER('Revenues &amp; Outlays in GDP'!B237), 'Revenues &amp; Outlays in GDP'!J237, ""), "")</f>
        <v/>
      </c>
    </row>
    <row r="232" spans="1:6">
      <c r="A232" t="str">
        <f>TEXT(IF('Revenues &amp; Outlays in GDP'!B238&lt;&gt;0,'Revenues &amp; Outlays in GDP'!B238, ""), "mm/dd/yyyy")</f>
        <v/>
      </c>
      <c r="B232" t="str">
        <f>IFERROR(IF(ISNUMBER('Revenues &amp; Outlays in GDP'!G238),TEXT('Revenues &amp; Outlays in GDP'!G238, "0.00"),""), "")</f>
        <v/>
      </c>
      <c r="C232" t="str">
        <f>IFERROR(IF(ISNUMBER('Revenues &amp; Outlays in GDP'!C238),TEXT('Revenues &amp; Outlays in GDP'!C238, "0.00"),""), "")</f>
        <v/>
      </c>
      <c r="D232" t="str">
        <f>IFERROR(IF(ISNUMBER('Revenues &amp; Outlays in GDP'!H238),TEXT('Revenues &amp; Outlays in GDP'!H238, "0.00"),""), "")</f>
        <v/>
      </c>
      <c r="E232" t="str">
        <f>IFERROR(IF(ISNUMBER('Revenues &amp; Outlays in GDP'!D238),TEXT('Revenues &amp; Outlays in GDP'!D238, "0.00"),""), "")</f>
        <v/>
      </c>
      <c r="F232" t="str">
        <f>IFERROR(IF(ISNUMBER('Revenues &amp; Outlays in GDP'!B238), 'Revenues &amp; Outlays in GDP'!J238, ""), "")</f>
        <v/>
      </c>
    </row>
    <row r="233" spans="1:6">
      <c r="A233" t="str">
        <f>TEXT(IF('Revenues &amp; Outlays in GDP'!B239&lt;&gt;0,'Revenues &amp; Outlays in GDP'!B239, ""), "mm/dd/yyyy")</f>
        <v/>
      </c>
      <c r="B233" t="str">
        <f>IFERROR(IF(ISNUMBER('Revenues &amp; Outlays in GDP'!G239),TEXT('Revenues &amp; Outlays in GDP'!G239, "0.00"),""), "")</f>
        <v/>
      </c>
      <c r="C233" t="str">
        <f>IFERROR(IF(ISNUMBER('Revenues &amp; Outlays in GDP'!C239),TEXT('Revenues &amp; Outlays in GDP'!C239, "0.00"),""), "")</f>
        <v/>
      </c>
      <c r="D233" t="str">
        <f>IFERROR(IF(ISNUMBER('Revenues &amp; Outlays in GDP'!H239),TEXT('Revenues &amp; Outlays in GDP'!H239, "0.00"),""), "")</f>
        <v/>
      </c>
      <c r="E233" t="str">
        <f>IFERROR(IF(ISNUMBER('Revenues &amp; Outlays in GDP'!D239),TEXT('Revenues &amp; Outlays in GDP'!D239, "0.00"),""), "")</f>
        <v/>
      </c>
      <c r="F233" t="str">
        <f>IFERROR(IF(ISNUMBER('Revenues &amp; Outlays in GDP'!B239), 'Revenues &amp; Outlays in GDP'!J239, ""), "")</f>
        <v/>
      </c>
    </row>
    <row r="234" spans="1:6">
      <c r="A234" t="str">
        <f>TEXT(IF('Revenues &amp; Outlays in GDP'!B240&lt;&gt;0,'Revenues &amp; Outlays in GDP'!B240, ""), "mm/dd/yyyy")</f>
        <v/>
      </c>
      <c r="B234" t="str">
        <f>IFERROR(IF(ISNUMBER('Revenues &amp; Outlays in GDP'!G240),TEXT('Revenues &amp; Outlays in GDP'!G240, "0.00"),""), "")</f>
        <v/>
      </c>
      <c r="C234" t="str">
        <f>IFERROR(IF(ISNUMBER('Revenues &amp; Outlays in GDP'!C240),TEXT('Revenues &amp; Outlays in GDP'!C240, "0.00"),""), "")</f>
        <v/>
      </c>
      <c r="D234" t="str">
        <f>IFERROR(IF(ISNUMBER('Revenues &amp; Outlays in GDP'!H240),TEXT('Revenues &amp; Outlays in GDP'!H240, "0.00"),""), "")</f>
        <v/>
      </c>
      <c r="E234" t="str">
        <f>IFERROR(IF(ISNUMBER('Revenues &amp; Outlays in GDP'!D240),TEXT('Revenues &amp; Outlays in GDP'!D240, "0.00"),""), "")</f>
        <v/>
      </c>
      <c r="F234" t="str">
        <f>IFERROR(IF(ISNUMBER('Revenues &amp; Outlays in GDP'!B240), 'Revenues &amp; Outlays in GDP'!J240, ""), "")</f>
        <v/>
      </c>
    </row>
    <row r="235" spans="1:6">
      <c r="A235" t="str">
        <f>TEXT(IF('Revenues &amp; Outlays in GDP'!B241&lt;&gt;0,'Revenues &amp; Outlays in GDP'!B241, ""), "mm/dd/yyyy")</f>
        <v/>
      </c>
      <c r="B235" t="str">
        <f>IFERROR(IF(ISNUMBER('Revenues &amp; Outlays in GDP'!G241),TEXT('Revenues &amp; Outlays in GDP'!G241, "0.00"),""), "")</f>
        <v/>
      </c>
      <c r="C235" t="str">
        <f>IFERROR(IF(ISNUMBER('Revenues &amp; Outlays in GDP'!C241),TEXT('Revenues &amp; Outlays in GDP'!C241, "0.00"),""), "")</f>
        <v/>
      </c>
      <c r="D235" t="str">
        <f>IFERROR(IF(ISNUMBER('Revenues &amp; Outlays in GDP'!H241),TEXT('Revenues &amp; Outlays in GDP'!H241, "0.00"),""), "")</f>
        <v/>
      </c>
      <c r="E235" t="str">
        <f>IFERROR(IF(ISNUMBER('Revenues &amp; Outlays in GDP'!D241),TEXT('Revenues &amp; Outlays in GDP'!D241, "0.00"),""), "")</f>
        <v/>
      </c>
      <c r="F235" t="str">
        <f>IFERROR(IF(ISNUMBER('Revenues &amp; Outlays in GDP'!B241), 'Revenues &amp; Outlays in GDP'!J241, ""), "")</f>
        <v/>
      </c>
    </row>
    <row r="236" spans="1:6">
      <c r="A236" t="str">
        <f>TEXT(IF('Revenues &amp; Outlays in GDP'!B242&lt;&gt;0,'Revenues &amp; Outlays in GDP'!B242, ""), "mm/dd/yyyy")</f>
        <v/>
      </c>
      <c r="B236" t="str">
        <f>IFERROR(IF(ISNUMBER('Revenues &amp; Outlays in GDP'!G242),TEXT('Revenues &amp; Outlays in GDP'!G242, "0.00"),""), "")</f>
        <v/>
      </c>
      <c r="C236" t="str">
        <f>IFERROR(IF(ISNUMBER('Revenues &amp; Outlays in GDP'!C242),TEXT('Revenues &amp; Outlays in GDP'!C242, "0.00"),""), "")</f>
        <v/>
      </c>
      <c r="D236" t="str">
        <f>IFERROR(IF(ISNUMBER('Revenues &amp; Outlays in GDP'!H242),TEXT('Revenues &amp; Outlays in GDP'!H242, "0.00"),""), "")</f>
        <v/>
      </c>
      <c r="E236" t="str">
        <f>IFERROR(IF(ISNUMBER('Revenues &amp; Outlays in GDP'!D242),TEXT('Revenues &amp; Outlays in GDP'!D242, "0.00"),""), "")</f>
        <v/>
      </c>
      <c r="F236" t="str">
        <f>IFERROR(IF(ISNUMBER('Revenues &amp; Outlays in GDP'!B242), 'Revenues &amp; Outlays in GDP'!J242, ""), "")</f>
        <v/>
      </c>
    </row>
    <row r="237" spans="1:6">
      <c r="A237" t="str">
        <f>TEXT(IF('Revenues &amp; Outlays in GDP'!B243&lt;&gt;0,'Revenues &amp; Outlays in GDP'!B243, ""), "mm/dd/yyyy")</f>
        <v/>
      </c>
      <c r="B237" t="str">
        <f>IFERROR(IF(ISNUMBER('Revenues &amp; Outlays in GDP'!G243),TEXT('Revenues &amp; Outlays in GDP'!G243, "0.00"),""), "")</f>
        <v/>
      </c>
      <c r="C237" t="str">
        <f>IFERROR(IF(ISNUMBER('Revenues &amp; Outlays in GDP'!C243),TEXT('Revenues &amp; Outlays in GDP'!C243, "0.00"),""), "")</f>
        <v/>
      </c>
      <c r="D237" t="str">
        <f>IFERROR(IF(ISNUMBER('Revenues &amp; Outlays in GDP'!H243),TEXT('Revenues &amp; Outlays in GDP'!H243, "0.00"),""), "")</f>
        <v/>
      </c>
      <c r="E237" t="str">
        <f>IFERROR(IF(ISNUMBER('Revenues &amp; Outlays in GDP'!D243),TEXT('Revenues &amp; Outlays in GDP'!D243, "0.00"),""), "")</f>
        <v/>
      </c>
      <c r="F237" t="str">
        <f>IFERROR(IF(ISNUMBER('Revenues &amp; Outlays in GDP'!B243), 'Revenues &amp; Outlays in GDP'!J243, ""), "")</f>
        <v/>
      </c>
    </row>
    <row r="238" spans="1:6">
      <c r="A238" t="str">
        <f>TEXT(IF('Revenues &amp; Outlays in GDP'!B244&lt;&gt;0,'Revenues &amp; Outlays in GDP'!B244, ""), "mm/dd/yyyy")</f>
        <v/>
      </c>
      <c r="B238" t="str">
        <f>IFERROR(IF(ISNUMBER('Revenues &amp; Outlays in GDP'!G244),TEXT('Revenues &amp; Outlays in GDP'!G244, "0.00"),""), "")</f>
        <v/>
      </c>
      <c r="C238" t="str">
        <f>IFERROR(IF(ISNUMBER('Revenues &amp; Outlays in GDP'!C244),TEXT('Revenues &amp; Outlays in GDP'!C244, "0.00"),""), "")</f>
        <v/>
      </c>
      <c r="D238" t="str">
        <f>IFERROR(IF(ISNUMBER('Revenues &amp; Outlays in GDP'!H244),TEXT('Revenues &amp; Outlays in GDP'!H244, "0.00"),""), "")</f>
        <v/>
      </c>
      <c r="E238" t="str">
        <f>IFERROR(IF(ISNUMBER('Revenues &amp; Outlays in GDP'!D244),TEXT('Revenues &amp; Outlays in GDP'!D244, "0.00"),""), "")</f>
        <v/>
      </c>
      <c r="F238" t="str">
        <f>IFERROR(IF(ISNUMBER('Revenues &amp; Outlays in GDP'!B244), 'Revenues &amp; Outlays in GDP'!J244, ""), "")</f>
        <v/>
      </c>
    </row>
    <row r="239" spans="1:6">
      <c r="A239" t="str">
        <f>TEXT(IF('Revenues &amp; Outlays in GDP'!B245&lt;&gt;0,'Revenues &amp; Outlays in GDP'!B245, ""), "mm/dd/yyyy")</f>
        <v/>
      </c>
      <c r="B239" t="str">
        <f>IFERROR(IF(ISNUMBER('Revenues &amp; Outlays in GDP'!G245),TEXT('Revenues &amp; Outlays in GDP'!G245, "0.00"),""), "")</f>
        <v/>
      </c>
      <c r="C239" t="str">
        <f>IFERROR(IF(ISNUMBER('Revenues &amp; Outlays in GDP'!C245),TEXT('Revenues &amp; Outlays in GDP'!C245, "0.00"),""), "")</f>
        <v/>
      </c>
      <c r="D239" t="str">
        <f>IFERROR(IF(ISNUMBER('Revenues &amp; Outlays in GDP'!H245),TEXT('Revenues &amp; Outlays in GDP'!H245, "0.00"),""), "")</f>
        <v/>
      </c>
      <c r="E239" t="str">
        <f>IFERROR(IF(ISNUMBER('Revenues &amp; Outlays in GDP'!D245),TEXT('Revenues &amp; Outlays in GDP'!D245, "0.00"),""), "")</f>
        <v/>
      </c>
      <c r="F239" t="str">
        <f>IFERROR(IF(ISNUMBER('Revenues &amp; Outlays in GDP'!B245), 'Revenues &amp; Outlays in GDP'!J245, ""), "")</f>
        <v/>
      </c>
    </row>
    <row r="240" spans="1:6">
      <c r="A240" t="str">
        <f>TEXT(IF('Revenues &amp; Outlays in GDP'!B246&lt;&gt;0,'Revenues &amp; Outlays in GDP'!B246, ""), "mm/dd/yyyy")</f>
        <v/>
      </c>
      <c r="B240" t="str">
        <f>IFERROR(IF(ISNUMBER('Revenues &amp; Outlays in GDP'!G246),TEXT('Revenues &amp; Outlays in GDP'!G246, "0.00"),""), "")</f>
        <v/>
      </c>
      <c r="C240" t="str">
        <f>IFERROR(IF(ISNUMBER('Revenues &amp; Outlays in GDP'!C246),TEXT('Revenues &amp; Outlays in GDP'!C246, "0.00"),""), "")</f>
        <v/>
      </c>
      <c r="D240" t="str">
        <f>IFERROR(IF(ISNUMBER('Revenues &amp; Outlays in GDP'!H246),TEXT('Revenues &amp; Outlays in GDP'!H246, "0.00"),""), "")</f>
        <v/>
      </c>
      <c r="E240" t="str">
        <f>IFERROR(IF(ISNUMBER('Revenues &amp; Outlays in GDP'!D246),TEXT('Revenues &amp; Outlays in GDP'!D246, "0.00"),""), "")</f>
        <v/>
      </c>
      <c r="F240" t="str">
        <f>IFERROR(IF(ISNUMBER('Revenues &amp; Outlays in GDP'!B246), 'Revenues &amp; Outlays in GDP'!J246, ""), "")</f>
        <v/>
      </c>
    </row>
    <row r="241" spans="1:6">
      <c r="A241" t="str">
        <f>TEXT(IF('Revenues &amp; Outlays in GDP'!B247&lt;&gt;0,'Revenues &amp; Outlays in GDP'!B247, ""), "mm/dd/yyyy")</f>
        <v/>
      </c>
      <c r="B241" t="str">
        <f>IFERROR(IF(ISNUMBER('Revenues &amp; Outlays in GDP'!G247),TEXT('Revenues &amp; Outlays in GDP'!G247, "0.00"),""), "")</f>
        <v/>
      </c>
      <c r="C241" t="str">
        <f>IFERROR(IF(ISNUMBER('Revenues &amp; Outlays in GDP'!C247),TEXT('Revenues &amp; Outlays in GDP'!C247, "0.00"),""), "")</f>
        <v/>
      </c>
      <c r="D241" t="str">
        <f>IFERROR(IF(ISNUMBER('Revenues &amp; Outlays in GDP'!H247),TEXT('Revenues &amp; Outlays in GDP'!H247, "0.00"),""), "")</f>
        <v/>
      </c>
      <c r="E241" t="str">
        <f>IFERROR(IF(ISNUMBER('Revenues &amp; Outlays in GDP'!D247),TEXT('Revenues &amp; Outlays in GDP'!D247, "0.00"),""), "")</f>
        <v/>
      </c>
      <c r="F241" t="str">
        <f>IFERROR(IF(ISNUMBER('Revenues &amp; Outlays in GDP'!B247), 'Revenues &amp; Outlays in GDP'!J247, ""), "")</f>
        <v/>
      </c>
    </row>
    <row r="242" spans="1:6">
      <c r="A242" t="str">
        <f>TEXT(IF('Revenues &amp; Outlays in GDP'!B248&lt;&gt;0,'Revenues &amp; Outlays in GDP'!B248, ""), "mm/dd/yyyy")</f>
        <v/>
      </c>
      <c r="B242" t="str">
        <f>IFERROR(IF(ISNUMBER('Revenues &amp; Outlays in GDP'!G248),TEXT('Revenues &amp; Outlays in GDP'!G248, "0.00"),""), "")</f>
        <v/>
      </c>
      <c r="C242" t="str">
        <f>IFERROR(IF(ISNUMBER('Revenues &amp; Outlays in GDP'!C248),TEXT('Revenues &amp; Outlays in GDP'!C248, "0.00"),""), "")</f>
        <v/>
      </c>
      <c r="D242" t="str">
        <f>IFERROR(IF(ISNUMBER('Revenues &amp; Outlays in GDP'!H248),TEXT('Revenues &amp; Outlays in GDP'!H248, "0.00"),""), "")</f>
        <v/>
      </c>
      <c r="E242" t="str">
        <f>IFERROR(IF(ISNUMBER('Revenues &amp; Outlays in GDP'!D248),TEXT('Revenues &amp; Outlays in GDP'!D248, "0.00"),""), "")</f>
        <v/>
      </c>
      <c r="F242" t="str">
        <f>IFERROR(IF(ISNUMBER('Revenues &amp; Outlays in GDP'!B248), 'Revenues &amp; Outlays in GDP'!J248, ""), "")</f>
        <v/>
      </c>
    </row>
    <row r="243" spans="1:6">
      <c r="A243" t="str">
        <f>TEXT(IF('Revenues &amp; Outlays in GDP'!B249&lt;&gt;0,'Revenues &amp; Outlays in GDP'!B249, ""), "mm/dd/yyyy")</f>
        <v/>
      </c>
      <c r="B243" t="str">
        <f>IFERROR(IF(ISNUMBER('Revenues &amp; Outlays in GDP'!G249),TEXT('Revenues &amp; Outlays in GDP'!G249, "0.00"),""), "")</f>
        <v/>
      </c>
      <c r="C243" t="str">
        <f>IFERROR(IF(ISNUMBER('Revenues &amp; Outlays in GDP'!C249),TEXT('Revenues &amp; Outlays in GDP'!C249, "0.00"),""), "")</f>
        <v/>
      </c>
      <c r="D243" t="str">
        <f>IFERROR(IF(ISNUMBER('Revenues &amp; Outlays in GDP'!H249),TEXT('Revenues &amp; Outlays in GDP'!H249, "0.00"),""), "")</f>
        <v/>
      </c>
      <c r="E243" t="str">
        <f>IFERROR(IF(ISNUMBER('Revenues &amp; Outlays in GDP'!D249),TEXT('Revenues &amp; Outlays in GDP'!D249, "0.00"),""), "")</f>
        <v/>
      </c>
      <c r="F243" t="str">
        <f>IFERROR(IF(ISNUMBER('Revenues &amp; Outlays in GDP'!B249), 'Revenues &amp; Outlays in GDP'!J249, ""), "")</f>
        <v/>
      </c>
    </row>
    <row r="244" spans="1:6">
      <c r="A244" t="str">
        <f>TEXT(IF('Revenues &amp; Outlays in GDP'!B250&lt;&gt;0,'Revenues &amp; Outlays in GDP'!B250, ""), "mm/dd/yyyy")</f>
        <v/>
      </c>
      <c r="B244" t="str">
        <f>IFERROR(IF(ISNUMBER('Revenues &amp; Outlays in GDP'!G250),TEXT('Revenues &amp; Outlays in GDP'!G250, "0.00"),""), "")</f>
        <v/>
      </c>
      <c r="C244" t="str">
        <f>IFERROR(IF(ISNUMBER('Revenues &amp; Outlays in GDP'!C250),TEXT('Revenues &amp; Outlays in GDP'!C250, "0.00"),""), "")</f>
        <v/>
      </c>
      <c r="D244" t="str">
        <f>IFERROR(IF(ISNUMBER('Revenues &amp; Outlays in GDP'!H250),TEXT('Revenues &amp; Outlays in GDP'!H250, "0.00"),""), "")</f>
        <v/>
      </c>
      <c r="E244" t="str">
        <f>IFERROR(IF(ISNUMBER('Revenues &amp; Outlays in GDP'!D250),TEXT('Revenues &amp; Outlays in GDP'!D250, "0.00"),""), "")</f>
        <v/>
      </c>
      <c r="F244" t="str">
        <f>IFERROR(IF(ISNUMBER('Revenues &amp; Outlays in GDP'!B250), 'Revenues &amp; Outlays in GDP'!J250, ""), "")</f>
        <v/>
      </c>
    </row>
    <row r="245" spans="1:6">
      <c r="A245" t="str">
        <f>TEXT(IF('Revenues &amp; Outlays in GDP'!B251&lt;&gt;0,'Revenues &amp; Outlays in GDP'!B251, ""), "mm/dd/yyyy")</f>
        <v/>
      </c>
      <c r="B245" t="str">
        <f>IFERROR(IF(ISNUMBER('Revenues &amp; Outlays in GDP'!G251),TEXT('Revenues &amp; Outlays in GDP'!G251, "0.00"),""), "")</f>
        <v/>
      </c>
      <c r="C245" t="str">
        <f>IFERROR(IF(ISNUMBER('Revenues &amp; Outlays in GDP'!C251),TEXT('Revenues &amp; Outlays in GDP'!C251, "0.00"),""), "")</f>
        <v/>
      </c>
      <c r="D245" t="str">
        <f>IFERROR(IF(ISNUMBER('Revenues &amp; Outlays in GDP'!H251),TEXT('Revenues &amp; Outlays in GDP'!H251, "0.00"),""), "")</f>
        <v/>
      </c>
      <c r="E245" t="str">
        <f>IFERROR(IF(ISNUMBER('Revenues &amp; Outlays in GDP'!D251),TEXT('Revenues &amp; Outlays in GDP'!D251, "0.00"),""), "")</f>
        <v/>
      </c>
      <c r="F245" t="str">
        <f>IFERROR(IF(ISNUMBER('Revenues &amp; Outlays in GDP'!B251), 'Revenues &amp; Outlays in GDP'!J251, ""), "")</f>
        <v/>
      </c>
    </row>
    <row r="246" spans="1:6">
      <c r="A246" t="str">
        <f>TEXT(IF('Revenues &amp; Outlays in GDP'!B252&lt;&gt;0,'Revenues &amp; Outlays in GDP'!B252, ""), "mm/dd/yyyy")</f>
        <v/>
      </c>
      <c r="B246" t="str">
        <f>IFERROR(IF(ISNUMBER('Revenues &amp; Outlays in GDP'!G252),TEXT('Revenues &amp; Outlays in GDP'!G252, "0.00"),""), "")</f>
        <v/>
      </c>
      <c r="C246" t="str">
        <f>IFERROR(IF(ISNUMBER('Revenues &amp; Outlays in GDP'!C252),TEXT('Revenues &amp; Outlays in GDP'!C252, "0.00"),""), "")</f>
        <v/>
      </c>
      <c r="D246" t="str">
        <f>IFERROR(IF(ISNUMBER('Revenues &amp; Outlays in GDP'!H252),TEXT('Revenues &amp; Outlays in GDP'!H252, "0.00"),""), "")</f>
        <v/>
      </c>
      <c r="E246" t="str">
        <f>IFERROR(IF(ISNUMBER('Revenues &amp; Outlays in GDP'!D252),TEXT('Revenues &amp; Outlays in GDP'!D252, "0.00"),""), "")</f>
        <v/>
      </c>
      <c r="F246" t="str">
        <f>IFERROR(IF(ISNUMBER('Revenues &amp; Outlays in GDP'!B252), 'Revenues &amp; Outlays in GDP'!J252, ""), "")</f>
        <v/>
      </c>
    </row>
    <row r="247" spans="1:6">
      <c r="A247" t="str">
        <f>TEXT(IF('Revenues &amp; Outlays in GDP'!B253&lt;&gt;0,'Revenues &amp; Outlays in GDP'!B253, ""), "mm/dd/yyyy")</f>
        <v/>
      </c>
      <c r="B247" t="str">
        <f>IFERROR(IF(ISNUMBER('Revenues &amp; Outlays in GDP'!G253),TEXT('Revenues &amp; Outlays in GDP'!G253, "0.00"),""), "")</f>
        <v/>
      </c>
      <c r="C247" t="str">
        <f>IFERROR(IF(ISNUMBER('Revenues &amp; Outlays in GDP'!C253),TEXT('Revenues &amp; Outlays in GDP'!C253, "0.00"),""), "")</f>
        <v/>
      </c>
      <c r="D247" t="str">
        <f>IFERROR(IF(ISNUMBER('Revenues &amp; Outlays in GDP'!H253),TEXT('Revenues &amp; Outlays in GDP'!H253, "0.00"),""), "")</f>
        <v/>
      </c>
      <c r="E247" t="str">
        <f>IFERROR(IF(ISNUMBER('Revenues &amp; Outlays in GDP'!D253),TEXT('Revenues &amp; Outlays in GDP'!D253, "0.00"),""), "")</f>
        <v/>
      </c>
      <c r="F247" t="str">
        <f>IFERROR(IF(ISNUMBER('Revenues &amp; Outlays in GDP'!B253), 'Revenues &amp; Outlays in GDP'!J253, ""), "")</f>
        <v/>
      </c>
    </row>
    <row r="248" spans="1:6">
      <c r="A248" t="str">
        <f>TEXT(IF('Revenues &amp; Outlays in GDP'!B254&lt;&gt;0,'Revenues &amp; Outlays in GDP'!B254, ""), "mm/dd/yyyy")</f>
        <v/>
      </c>
      <c r="B248" t="str">
        <f>IFERROR(IF(ISNUMBER('Revenues &amp; Outlays in GDP'!G254),TEXT('Revenues &amp; Outlays in GDP'!G254, "0.00"),""), "")</f>
        <v/>
      </c>
      <c r="C248" t="str">
        <f>IFERROR(IF(ISNUMBER('Revenues &amp; Outlays in GDP'!C254),TEXT('Revenues &amp; Outlays in GDP'!C254, "0.00"),""), "")</f>
        <v/>
      </c>
      <c r="D248" t="str">
        <f>IFERROR(IF(ISNUMBER('Revenues &amp; Outlays in GDP'!H254),TEXT('Revenues &amp; Outlays in GDP'!H254, "0.00"),""), "")</f>
        <v/>
      </c>
      <c r="E248" t="str">
        <f>IFERROR(IF(ISNUMBER('Revenues &amp; Outlays in GDP'!D254),TEXT('Revenues &amp; Outlays in GDP'!D254, "0.00"),""), "")</f>
        <v/>
      </c>
      <c r="F248" t="str">
        <f>IFERROR(IF(ISNUMBER('Revenues &amp; Outlays in GDP'!B254), 'Revenues &amp; Outlays in GDP'!J254, ""), "")</f>
        <v/>
      </c>
    </row>
    <row r="249" spans="1:6">
      <c r="A249" t="str">
        <f>TEXT(IF('Revenues &amp; Outlays in GDP'!B255&lt;&gt;0,'Revenues &amp; Outlays in GDP'!B255, ""), "mm/dd/yyyy")</f>
        <v/>
      </c>
      <c r="B249" t="str">
        <f>IFERROR(IF(ISNUMBER('Revenues &amp; Outlays in GDP'!G255),TEXT('Revenues &amp; Outlays in GDP'!G255, "0.00"),""), "")</f>
        <v/>
      </c>
      <c r="C249" t="str">
        <f>IFERROR(IF(ISNUMBER('Revenues &amp; Outlays in GDP'!C255),TEXT('Revenues &amp; Outlays in GDP'!C255, "0.00"),""), "")</f>
        <v/>
      </c>
      <c r="D249" t="str">
        <f>IFERROR(IF(ISNUMBER('Revenues &amp; Outlays in GDP'!H255),TEXT('Revenues &amp; Outlays in GDP'!H255, "0.00"),""), "")</f>
        <v/>
      </c>
      <c r="E249" t="str">
        <f>IFERROR(IF(ISNUMBER('Revenues &amp; Outlays in GDP'!D255),TEXT('Revenues &amp; Outlays in GDP'!D255, "0.00"),""), "")</f>
        <v/>
      </c>
      <c r="F249" t="str">
        <f>IFERROR(IF(ISNUMBER('Revenues &amp; Outlays in GDP'!B255), 'Revenues &amp; Outlays in GDP'!J255, ""), "")</f>
        <v/>
      </c>
    </row>
    <row r="250" spans="1:6">
      <c r="A250" t="str">
        <f>TEXT(IF('Revenues &amp; Outlays in GDP'!B256&lt;&gt;0,'Revenues &amp; Outlays in GDP'!B256, ""), "mm/dd/yyyy")</f>
        <v/>
      </c>
      <c r="B250" t="str">
        <f>IFERROR(IF(ISNUMBER('Revenues &amp; Outlays in GDP'!G256),TEXT('Revenues &amp; Outlays in GDP'!G256, "0.00"),""), "")</f>
        <v/>
      </c>
      <c r="C250" t="str">
        <f>IFERROR(IF(ISNUMBER('Revenues &amp; Outlays in GDP'!C256),TEXT('Revenues &amp; Outlays in GDP'!C256, "0.00"),""), "")</f>
        <v/>
      </c>
      <c r="D250" t="str">
        <f>IFERROR(IF(ISNUMBER('Revenues &amp; Outlays in GDP'!H256),TEXT('Revenues &amp; Outlays in GDP'!H256, "0.00"),""), "")</f>
        <v/>
      </c>
      <c r="E250" t="str">
        <f>IFERROR(IF(ISNUMBER('Revenues &amp; Outlays in GDP'!D256),TEXT('Revenues &amp; Outlays in GDP'!D256, "0.00"),""), "")</f>
        <v/>
      </c>
      <c r="F250" t="str">
        <f>IFERROR(IF(ISNUMBER('Revenues &amp; Outlays in GDP'!B256), 'Revenues &amp; Outlays in GDP'!J256, ""), "")</f>
        <v/>
      </c>
    </row>
    <row r="251" spans="1:6">
      <c r="A251" t="str">
        <f>TEXT(IF('Revenues &amp; Outlays in GDP'!B257&lt;&gt;0,'Revenues &amp; Outlays in GDP'!B257, ""), "mm/dd/yyyy")</f>
        <v/>
      </c>
      <c r="B251" t="str">
        <f>IFERROR(IF(ISNUMBER('Revenues &amp; Outlays in GDP'!G257),TEXT('Revenues &amp; Outlays in GDP'!G257, "0.00"),""), "")</f>
        <v/>
      </c>
      <c r="C251" t="str">
        <f>IFERROR(IF(ISNUMBER('Revenues &amp; Outlays in GDP'!C257),TEXT('Revenues &amp; Outlays in GDP'!C257, "0.00"),""), "")</f>
        <v/>
      </c>
      <c r="D251" t="str">
        <f>IFERROR(IF(ISNUMBER('Revenues &amp; Outlays in GDP'!H257),TEXT('Revenues &amp; Outlays in GDP'!H257, "0.00"),""), "")</f>
        <v/>
      </c>
      <c r="E251" t="str">
        <f>IFERROR(IF(ISNUMBER('Revenues &amp; Outlays in GDP'!D257),TEXT('Revenues &amp; Outlays in GDP'!D257, "0.00"),""), "")</f>
        <v/>
      </c>
      <c r="F251" t="str">
        <f>IFERROR(IF(ISNUMBER('Revenues &amp; Outlays in GDP'!B257), 'Revenues &amp; Outlays in GDP'!J257, ""), "")</f>
        <v/>
      </c>
    </row>
    <row r="252" spans="1:6">
      <c r="A252" t="str">
        <f>TEXT(IF('Revenues &amp; Outlays in GDP'!B258&lt;&gt;0,'Revenues &amp; Outlays in GDP'!B258, ""), "mm/dd/yyyy")</f>
        <v/>
      </c>
      <c r="B252" t="str">
        <f>IFERROR(IF(ISNUMBER('Revenues &amp; Outlays in GDP'!G258),TEXT('Revenues &amp; Outlays in GDP'!G258, "0.00"),""), "")</f>
        <v/>
      </c>
      <c r="C252" t="str">
        <f>IFERROR(IF(ISNUMBER('Revenues &amp; Outlays in GDP'!C258),TEXT('Revenues &amp; Outlays in GDP'!C258, "0.00"),""), "")</f>
        <v/>
      </c>
      <c r="D252" t="str">
        <f>IFERROR(IF(ISNUMBER('Revenues &amp; Outlays in GDP'!H258),TEXT('Revenues &amp; Outlays in GDP'!H258, "0.00"),""), "")</f>
        <v/>
      </c>
      <c r="E252" t="str">
        <f>IFERROR(IF(ISNUMBER('Revenues &amp; Outlays in GDP'!D258),TEXT('Revenues &amp; Outlays in GDP'!D258, "0.00"),""), "")</f>
        <v/>
      </c>
      <c r="F252" t="str">
        <f>IFERROR(IF(ISNUMBER('Revenues &amp; Outlays in GDP'!B258), 'Revenues &amp; Outlays in GDP'!J258, ""), "")</f>
        <v/>
      </c>
    </row>
    <row r="253" spans="1:6">
      <c r="A253" t="str">
        <f>TEXT(IF('Revenues &amp; Outlays in GDP'!B259&lt;&gt;0,'Revenues &amp; Outlays in GDP'!B259, ""), "mm/dd/yyyy")</f>
        <v/>
      </c>
      <c r="B253" t="str">
        <f>IFERROR(IF(ISNUMBER('Revenues &amp; Outlays in GDP'!G259),TEXT('Revenues &amp; Outlays in GDP'!G259, "0.00"),""), "")</f>
        <v/>
      </c>
      <c r="C253" t="str">
        <f>IFERROR(IF(ISNUMBER('Revenues &amp; Outlays in GDP'!C259),TEXT('Revenues &amp; Outlays in GDP'!C259, "0.00"),""), "")</f>
        <v/>
      </c>
      <c r="D253" t="str">
        <f>IFERROR(IF(ISNUMBER('Revenues &amp; Outlays in GDP'!H259),TEXT('Revenues &amp; Outlays in GDP'!H259, "0.00"),""), "")</f>
        <v/>
      </c>
      <c r="E253" t="str">
        <f>IFERROR(IF(ISNUMBER('Revenues &amp; Outlays in GDP'!D259),TEXT('Revenues &amp; Outlays in GDP'!D259, "0.00"),""), "")</f>
        <v/>
      </c>
      <c r="F253" t="str">
        <f>IFERROR(IF(ISNUMBER('Revenues &amp; Outlays in GDP'!B259), 'Revenues &amp; Outlays in GDP'!J259, ""), "")</f>
        <v/>
      </c>
    </row>
    <row r="254" spans="1:6">
      <c r="A254" t="str">
        <f>TEXT(IF('Revenues &amp; Outlays in GDP'!B260&lt;&gt;0,'Revenues &amp; Outlays in GDP'!B260, ""), "mm/dd/yyyy")</f>
        <v/>
      </c>
      <c r="B254" t="str">
        <f>IFERROR(IF(ISNUMBER('Revenues &amp; Outlays in GDP'!G260),TEXT('Revenues &amp; Outlays in GDP'!G260, "0.00"),""), "")</f>
        <v/>
      </c>
      <c r="C254" t="str">
        <f>IFERROR(IF(ISNUMBER('Revenues &amp; Outlays in GDP'!C260),TEXT('Revenues &amp; Outlays in GDP'!C260, "0.00"),""), "")</f>
        <v/>
      </c>
      <c r="D254" t="str">
        <f>IFERROR(IF(ISNUMBER('Revenues &amp; Outlays in GDP'!H260),TEXT('Revenues &amp; Outlays in GDP'!H260, "0.00"),""), "")</f>
        <v/>
      </c>
      <c r="E254" t="str">
        <f>IFERROR(IF(ISNUMBER('Revenues &amp; Outlays in GDP'!D260),TEXT('Revenues &amp; Outlays in GDP'!D260, "0.00"),""), "")</f>
        <v/>
      </c>
      <c r="F254" t="str">
        <f>IFERROR(IF(ISNUMBER('Revenues &amp; Outlays in GDP'!B260), 'Revenues &amp; Outlays in GDP'!J260, ""), "")</f>
        <v/>
      </c>
    </row>
    <row r="255" spans="1:6">
      <c r="A255" t="str">
        <f>TEXT(IF('Revenues &amp; Outlays in GDP'!B261&lt;&gt;0,'Revenues &amp; Outlays in GDP'!B261, ""), "mm/dd/yyyy")</f>
        <v/>
      </c>
      <c r="B255" t="str">
        <f>IFERROR(IF(ISNUMBER('Revenues &amp; Outlays in GDP'!G261),TEXT('Revenues &amp; Outlays in GDP'!G261, "0.00"),""), "")</f>
        <v/>
      </c>
      <c r="C255" t="str">
        <f>IFERROR(IF(ISNUMBER('Revenues &amp; Outlays in GDP'!C261),TEXT('Revenues &amp; Outlays in GDP'!C261, "0.00"),""), "")</f>
        <v/>
      </c>
      <c r="D255" t="str">
        <f>IFERROR(IF(ISNUMBER('Revenues &amp; Outlays in GDP'!H261),TEXT('Revenues &amp; Outlays in GDP'!H261, "0.00"),""), "")</f>
        <v/>
      </c>
      <c r="E255" t="str">
        <f>IFERROR(IF(ISNUMBER('Revenues &amp; Outlays in GDP'!D261),TEXT('Revenues &amp; Outlays in GDP'!D261, "0.00"),""), "")</f>
        <v/>
      </c>
      <c r="F255" t="str">
        <f>IFERROR(IF(ISNUMBER('Revenues &amp; Outlays in GDP'!B261), 'Revenues &amp; Outlays in GDP'!J261, ""), "")</f>
        <v/>
      </c>
    </row>
    <row r="256" spans="1:6">
      <c r="A256" t="str">
        <f>TEXT(IF('Revenues &amp; Outlays in GDP'!B262&lt;&gt;0,'Revenues &amp; Outlays in GDP'!B262, ""), "mm/dd/yyyy")</f>
        <v/>
      </c>
      <c r="B256" t="str">
        <f>IFERROR(IF(ISNUMBER('Revenues &amp; Outlays in GDP'!G262),TEXT('Revenues &amp; Outlays in GDP'!G262, "0.00"),""), "")</f>
        <v/>
      </c>
      <c r="C256" t="str">
        <f>IFERROR(IF(ISNUMBER('Revenues &amp; Outlays in GDP'!C262),TEXT('Revenues &amp; Outlays in GDP'!C262, "0.00"),""), "")</f>
        <v/>
      </c>
      <c r="D256" t="str">
        <f>IFERROR(IF(ISNUMBER('Revenues &amp; Outlays in GDP'!H262),TEXT('Revenues &amp; Outlays in GDP'!H262, "0.00"),""), "")</f>
        <v/>
      </c>
      <c r="E256" t="str">
        <f>IFERROR(IF(ISNUMBER('Revenues &amp; Outlays in GDP'!D262),TEXT('Revenues &amp; Outlays in GDP'!D262, "0.00"),""), "")</f>
        <v/>
      </c>
      <c r="F256" t="str">
        <f>IFERROR(IF(ISNUMBER('Revenues &amp; Outlays in GDP'!B262), 'Revenues &amp; Outlays in GDP'!J262, ""), "")</f>
        <v/>
      </c>
    </row>
    <row r="257" spans="1:6">
      <c r="A257" t="str">
        <f>TEXT(IF('Revenues &amp; Outlays in GDP'!B263&lt;&gt;0,'Revenues &amp; Outlays in GDP'!B263, ""), "mm/dd/yyyy")</f>
        <v/>
      </c>
      <c r="B257" t="str">
        <f>IFERROR(IF(ISNUMBER('Revenues &amp; Outlays in GDP'!G263),TEXT('Revenues &amp; Outlays in GDP'!G263, "0.00"),""), "")</f>
        <v/>
      </c>
      <c r="C257" t="str">
        <f>IFERROR(IF(ISNUMBER('Revenues &amp; Outlays in GDP'!C263),TEXT('Revenues &amp; Outlays in GDP'!C263, "0.00"),""), "")</f>
        <v/>
      </c>
      <c r="D257" t="str">
        <f>IFERROR(IF(ISNUMBER('Revenues &amp; Outlays in GDP'!H263),TEXT('Revenues &amp; Outlays in GDP'!H263, "0.00"),""), "")</f>
        <v/>
      </c>
      <c r="E257" t="str">
        <f>IFERROR(IF(ISNUMBER('Revenues &amp; Outlays in GDP'!D263),TEXT('Revenues &amp; Outlays in GDP'!D263, "0.00"),""), "")</f>
        <v/>
      </c>
      <c r="F257" t="str">
        <f>IFERROR(IF(ISNUMBER('Revenues &amp; Outlays in GDP'!B263), 'Revenues &amp; Outlays in GDP'!J263, ""), "")</f>
        <v/>
      </c>
    </row>
    <row r="258" spans="1:6">
      <c r="A258" t="str">
        <f>TEXT(IF('Revenues &amp; Outlays in GDP'!B264&lt;&gt;0,'Revenues &amp; Outlays in GDP'!B264, ""), "mm/dd/yyyy")</f>
        <v/>
      </c>
      <c r="B258" t="str">
        <f>IFERROR(IF(ISNUMBER('Revenues &amp; Outlays in GDP'!G264),TEXT('Revenues &amp; Outlays in GDP'!G264, "0.00"),""), "")</f>
        <v/>
      </c>
      <c r="C258" t="str">
        <f>IFERROR(IF(ISNUMBER('Revenues &amp; Outlays in GDP'!C264),TEXT('Revenues &amp; Outlays in GDP'!C264, "0.00"),""), "")</f>
        <v/>
      </c>
      <c r="D258" t="str">
        <f>IFERROR(IF(ISNUMBER('Revenues &amp; Outlays in GDP'!H264),TEXT('Revenues &amp; Outlays in GDP'!H264, "0.00"),""), "")</f>
        <v/>
      </c>
      <c r="E258" t="str">
        <f>IFERROR(IF(ISNUMBER('Revenues &amp; Outlays in GDP'!D264),TEXT('Revenues &amp; Outlays in GDP'!D264, "0.00"),""), "")</f>
        <v/>
      </c>
      <c r="F258" t="str">
        <f>IFERROR(IF(ISNUMBER('Revenues &amp; Outlays in GDP'!B264), 'Revenues &amp; Outlays in GDP'!J264, ""), "")</f>
        <v/>
      </c>
    </row>
    <row r="259" spans="1:6">
      <c r="A259" t="str">
        <f>TEXT(IF('Revenues &amp; Outlays in GDP'!B265&lt;&gt;0,'Revenues &amp; Outlays in GDP'!B265, ""), "mm/dd/yyyy")</f>
        <v/>
      </c>
      <c r="B259" t="str">
        <f>IFERROR(IF(ISNUMBER('Revenues &amp; Outlays in GDP'!G265),TEXT('Revenues &amp; Outlays in GDP'!G265, "0.00"),""), "")</f>
        <v/>
      </c>
      <c r="C259" t="str">
        <f>IFERROR(IF(ISNUMBER('Revenues &amp; Outlays in GDP'!C265),TEXT('Revenues &amp; Outlays in GDP'!C265, "0.00"),""), "")</f>
        <v/>
      </c>
      <c r="D259" t="str">
        <f>IFERROR(IF(ISNUMBER('Revenues &amp; Outlays in GDP'!H265),TEXT('Revenues &amp; Outlays in GDP'!H265, "0.00"),""), "")</f>
        <v/>
      </c>
      <c r="E259" t="str">
        <f>IFERROR(IF(ISNUMBER('Revenues &amp; Outlays in GDP'!D265),TEXT('Revenues &amp; Outlays in GDP'!D265, "0.00"),""), "")</f>
        <v/>
      </c>
      <c r="F259" t="str">
        <f>IFERROR(IF(ISNUMBER('Revenues &amp; Outlays in GDP'!B265), 'Revenues &amp; Outlays in GDP'!J265, ""), "")</f>
        <v/>
      </c>
    </row>
    <row r="260" spans="1:6">
      <c r="A260" t="str">
        <f>TEXT(IF('Revenues &amp; Outlays in GDP'!B266&lt;&gt;0,'Revenues &amp; Outlays in GDP'!B266, ""), "mm/dd/yyyy")</f>
        <v/>
      </c>
      <c r="B260" t="str">
        <f>IFERROR(IF(ISNUMBER('Revenues &amp; Outlays in GDP'!G266),TEXT('Revenues &amp; Outlays in GDP'!G266, "0.00"),""), "")</f>
        <v/>
      </c>
      <c r="C260" t="str">
        <f>IFERROR(IF(ISNUMBER('Revenues &amp; Outlays in GDP'!C266),TEXT('Revenues &amp; Outlays in GDP'!C266, "0.00"),""), "")</f>
        <v/>
      </c>
      <c r="D260" t="str">
        <f>IFERROR(IF(ISNUMBER('Revenues &amp; Outlays in GDP'!H266),TEXT('Revenues &amp; Outlays in GDP'!H266, "0.00"),""), "")</f>
        <v/>
      </c>
      <c r="E260" t="str">
        <f>IFERROR(IF(ISNUMBER('Revenues &amp; Outlays in GDP'!D266),TEXT('Revenues &amp; Outlays in GDP'!D266, "0.00"),""), "")</f>
        <v/>
      </c>
      <c r="F260" t="str">
        <f>IFERROR(IF(ISNUMBER('Revenues &amp; Outlays in GDP'!B266), 'Revenues &amp; Outlays in GDP'!J266, ""), "")</f>
        <v/>
      </c>
    </row>
    <row r="261" spans="1:6">
      <c r="A261" t="str">
        <f>TEXT(IF('Revenues &amp; Outlays in GDP'!B267&lt;&gt;0,'Revenues &amp; Outlays in GDP'!B267, ""), "mm/dd/yyyy")</f>
        <v/>
      </c>
      <c r="B261" t="str">
        <f>IFERROR(IF(ISNUMBER('Revenues &amp; Outlays in GDP'!G267),TEXT('Revenues &amp; Outlays in GDP'!G267, "0.00"),""), "")</f>
        <v/>
      </c>
      <c r="C261" t="str">
        <f>IFERROR(IF(ISNUMBER('Revenues &amp; Outlays in GDP'!C267),TEXT('Revenues &amp; Outlays in GDP'!C267, "0.00"),""), "")</f>
        <v/>
      </c>
      <c r="D261" t="str">
        <f>IFERROR(IF(ISNUMBER('Revenues &amp; Outlays in GDP'!H267),TEXT('Revenues &amp; Outlays in GDP'!H267, "0.00"),""), "")</f>
        <v/>
      </c>
      <c r="E261" t="str">
        <f>IFERROR(IF(ISNUMBER('Revenues &amp; Outlays in GDP'!D267),TEXT('Revenues &amp; Outlays in GDP'!D267, "0.00"),""), "")</f>
        <v/>
      </c>
      <c r="F261" t="str">
        <f>IFERROR(IF(ISNUMBER('Revenues &amp; Outlays in GDP'!B267), 'Revenues &amp; Outlays in GDP'!J267, ""), "")</f>
        <v/>
      </c>
    </row>
    <row r="262" spans="1:6">
      <c r="A262" t="str">
        <f>TEXT(IF('Revenues &amp; Outlays in GDP'!B268&lt;&gt;0,'Revenues &amp; Outlays in GDP'!B268, ""), "mm/dd/yyyy")</f>
        <v/>
      </c>
      <c r="B262" t="str">
        <f>IFERROR(IF(ISNUMBER('Revenues &amp; Outlays in GDP'!G268),TEXT('Revenues &amp; Outlays in GDP'!G268, "0.00"),""), "")</f>
        <v/>
      </c>
      <c r="C262" t="str">
        <f>IFERROR(IF(ISNUMBER('Revenues &amp; Outlays in GDP'!C268),TEXT('Revenues &amp; Outlays in GDP'!C268, "0.00"),""), "")</f>
        <v/>
      </c>
      <c r="D262" t="str">
        <f>IFERROR(IF(ISNUMBER('Revenues &amp; Outlays in GDP'!H268),TEXT('Revenues &amp; Outlays in GDP'!H268, "0.00"),""), "")</f>
        <v/>
      </c>
      <c r="E262" t="str">
        <f>IFERROR(IF(ISNUMBER('Revenues &amp; Outlays in GDP'!D268),TEXT('Revenues &amp; Outlays in GDP'!D268, "0.00"),""), "")</f>
        <v/>
      </c>
      <c r="F262" t="str">
        <f>IFERROR(IF(ISNUMBER('Revenues &amp; Outlays in GDP'!B268), 'Revenues &amp; Outlays in GDP'!J268, ""), "")</f>
        <v/>
      </c>
    </row>
    <row r="263" spans="1:6">
      <c r="A263" t="str">
        <f>TEXT(IF('Revenues &amp; Outlays in GDP'!B269&lt;&gt;0,'Revenues &amp; Outlays in GDP'!B269, ""), "mm/dd/yyyy")</f>
        <v/>
      </c>
      <c r="B263" t="str">
        <f>IFERROR(IF(ISNUMBER('Revenues &amp; Outlays in GDP'!G269),TEXT('Revenues &amp; Outlays in GDP'!G269, "0.00"),""), "")</f>
        <v/>
      </c>
      <c r="C263" t="str">
        <f>IFERROR(IF(ISNUMBER('Revenues &amp; Outlays in GDP'!C269),TEXT('Revenues &amp; Outlays in GDP'!C269, "0.00"),""), "")</f>
        <v/>
      </c>
      <c r="D263" t="str">
        <f>IFERROR(IF(ISNUMBER('Revenues &amp; Outlays in GDP'!H269),TEXT('Revenues &amp; Outlays in GDP'!H269, "0.00"),""), "")</f>
        <v/>
      </c>
      <c r="E263" t="str">
        <f>IFERROR(IF(ISNUMBER('Revenues &amp; Outlays in GDP'!D269),TEXT('Revenues &amp; Outlays in GDP'!D269, "0.00"),""), "")</f>
        <v/>
      </c>
      <c r="F263" t="str">
        <f>IFERROR(IF(ISNUMBER('Revenues &amp; Outlays in GDP'!B269), 'Revenues &amp; Outlays in GDP'!J269, ""), "")</f>
        <v/>
      </c>
    </row>
    <row r="264" spans="1:6">
      <c r="A264" t="str">
        <f>TEXT(IF('Revenues &amp; Outlays in GDP'!B270&lt;&gt;0,'Revenues &amp; Outlays in GDP'!B270, ""), "mm/dd/yyyy")</f>
        <v/>
      </c>
      <c r="B264" t="str">
        <f>IFERROR(IF(ISNUMBER('Revenues &amp; Outlays in GDP'!G270),TEXT('Revenues &amp; Outlays in GDP'!G270, "0.00"),""), "")</f>
        <v/>
      </c>
      <c r="C264" t="str">
        <f>IFERROR(IF(ISNUMBER('Revenues &amp; Outlays in GDP'!C270),TEXT('Revenues &amp; Outlays in GDP'!C270, "0.00"),""), "")</f>
        <v/>
      </c>
      <c r="D264" t="str">
        <f>IFERROR(IF(ISNUMBER('Revenues &amp; Outlays in GDP'!H270),TEXT('Revenues &amp; Outlays in GDP'!H270, "0.00"),""), "")</f>
        <v/>
      </c>
      <c r="E264" t="str">
        <f>IFERROR(IF(ISNUMBER('Revenues &amp; Outlays in GDP'!D270),TEXT('Revenues &amp; Outlays in GDP'!D270, "0.00"),""), "")</f>
        <v/>
      </c>
      <c r="F264" t="str">
        <f>IFERROR(IF(ISNUMBER('Revenues &amp; Outlays in GDP'!B270), 'Revenues &amp; Outlays in GDP'!J270, ""), "")</f>
        <v/>
      </c>
    </row>
    <row r="265" spans="1:6">
      <c r="A265" t="str">
        <f>TEXT(IF('Revenues &amp; Outlays in GDP'!B271&lt;&gt;0,'Revenues &amp; Outlays in GDP'!B271, ""), "mm/dd/yyyy")</f>
        <v/>
      </c>
      <c r="B265" t="str">
        <f>IFERROR(IF(ISNUMBER('Revenues &amp; Outlays in GDP'!G271),TEXT('Revenues &amp; Outlays in GDP'!G271, "0.00"),""), "")</f>
        <v/>
      </c>
      <c r="C265" t="str">
        <f>IFERROR(IF(ISNUMBER('Revenues &amp; Outlays in GDP'!C271),TEXT('Revenues &amp; Outlays in GDP'!C271, "0.00"),""), "")</f>
        <v/>
      </c>
      <c r="D265" t="str">
        <f>IFERROR(IF(ISNUMBER('Revenues &amp; Outlays in GDP'!H271),TEXT('Revenues &amp; Outlays in GDP'!H271, "0.00"),""), "")</f>
        <v/>
      </c>
      <c r="E265" t="str">
        <f>IFERROR(IF(ISNUMBER('Revenues &amp; Outlays in GDP'!D271),TEXT('Revenues &amp; Outlays in GDP'!D271, "0.00"),""), "")</f>
        <v/>
      </c>
      <c r="F265" t="str">
        <f>IFERROR(IF(ISNUMBER('Revenues &amp; Outlays in GDP'!B271), 'Revenues &amp; Outlays in GDP'!J271, ""), "")</f>
        <v/>
      </c>
    </row>
    <row r="266" spans="1:6">
      <c r="A266" t="str">
        <f>TEXT(IF('Revenues &amp; Outlays in GDP'!B272&lt;&gt;0,'Revenues &amp; Outlays in GDP'!B272, ""), "mm/dd/yyyy")</f>
        <v/>
      </c>
      <c r="B266" t="str">
        <f>IFERROR(IF(ISNUMBER('Revenues &amp; Outlays in GDP'!G272),TEXT('Revenues &amp; Outlays in GDP'!G272, "0.00"),""), "")</f>
        <v/>
      </c>
      <c r="C266" t="str">
        <f>IFERROR(IF(ISNUMBER('Revenues &amp; Outlays in GDP'!C272),TEXT('Revenues &amp; Outlays in GDP'!C272, "0.00"),""), "")</f>
        <v/>
      </c>
      <c r="D266" t="str">
        <f>IFERROR(IF(ISNUMBER('Revenues &amp; Outlays in GDP'!H272),TEXT('Revenues &amp; Outlays in GDP'!H272, "0.00"),""), "")</f>
        <v/>
      </c>
      <c r="E266" t="str">
        <f>IFERROR(IF(ISNUMBER('Revenues &amp; Outlays in GDP'!D272),TEXT('Revenues &amp; Outlays in GDP'!D272, "0.00"),""), "")</f>
        <v/>
      </c>
      <c r="F266" t="str">
        <f>IFERROR(IF(ISNUMBER('Revenues &amp; Outlays in GDP'!B272), 'Revenues &amp; Outlays in GDP'!J272, ""), "")</f>
        <v/>
      </c>
    </row>
    <row r="267" spans="1:6">
      <c r="A267" t="str">
        <f>TEXT(IF('Revenues &amp; Outlays in GDP'!B273&lt;&gt;0,'Revenues &amp; Outlays in GDP'!B273, ""), "mm/dd/yyyy")</f>
        <v/>
      </c>
      <c r="B267" t="str">
        <f>IFERROR(IF(ISNUMBER('Revenues &amp; Outlays in GDP'!G273),TEXT('Revenues &amp; Outlays in GDP'!G273, "0.00"),""), "")</f>
        <v/>
      </c>
      <c r="C267" t="str">
        <f>IFERROR(IF(ISNUMBER('Revenues &amp; Outlays in GDP'!C273),TEXT('Revenues &amp; Outlays in GDP'!C273, "0.00"),""), "")</f>
        <v/>
      </c>
      <c r="D267" t="str">
        <f>IFERROR(IF(ISNUMBER('Revenues &amp; Outlays in GDP'!H273),TEXT('Revenues &amp; Outlays in GDP'!H273, "0.00"),""), "")</f>
        <v/>
      </c>
      <c r="E267" t="str">
        <f>IFERROR(IF(ISNUMBER('Revenues &amp; Outlays in GDP'!D273),TEXT('Revenues &amp; Outlays in GDP'!D273, "0.00"),""), "")</f>
        <v/>
      </c>
      <c r="F267" t="str">
        <f>IFERROR(IF(ISNUMBER('Revenues &amp; Outlays in GDP'!B273), 'Revenues &amp; Outlays in GDP'!J273, ""), "")</f>
        <v/>
      </c>
    </row>
    <row r="268" spans="1:6">
      <c r="A268" t="str">
        <f>TEXT(IF('Revenues &amp; Outlays in GDP'!B274&lt;&gt;0,'Revenues &amp; Outlays in GDP'!B274, ""), "mm/dd/yyyy")</f>
        <v/>
      </c>
      <c r="B268" t="str">
        <f>IFERROR(IF(ISNUMBER('Revenues &amp; Outlays in GDP'!G274),TEXT('Revenues &amp; Outlays in GDP'!G274, "0.00"),""), "")</f>
        <v/>
      </c>
      <c r="C268" t="str">
        <f>IFERROR(IF(ISNUMBER('Revenues &amp; Outlays in GDP'!C274),TEXT('Revenues &amp; Outlays in GDP'!C274, "0.00"),""), "")</f>
        <v/>
      </c>
      <c r="D268" t="str">
        <f>IFERROR(IF(ISNUMBER('Revenues &amp; Outlays in GDP'!H274),TEXT('Revenues &amp; Outlays in GDP'!H274, "0.00"),""), "")</f>
        <v/>
      </c>
      <c r="E268" t="str">
        <f>IFERROR(IF(ISNUMBER('Revenues &amp; Outlays in GDP'!D274),TEXT('Revenues &amp; Outlays in GDP'!D274, "0.00"),""), "")</f>
        <v/>
      </c>
      <c r="F268" t="str">
        <f>IFERROR(IF(ISNUMBER('Revenues &amp; Outlays in GDP'!B274), 'Revenues &amp; Outlays in GDP'!J274, ""), "")</f>
        <v/>
      </c>
    </row>
    <row r="269" spans="1:6">
      <c r="A269" t="str">
        <f>TEXT(IF('Revenues &amp; Outlays in GDP'!B275&lt;&gt;0,'Revenues &amp; Outlays in GDP'!B275, ""), "mm/dd/yyyy")</f>
        <v/>
      </c>
      <c r="B269" t="str">
        <f>IFERROR(IF(ISNUMBER('Revenues &amp; Outlays in GDP'!G275),TEXT('Revenues &amp; Outlays in GDP'!G275, "0.00"),""), "")</f>
        <v/>
      </c>
      <c r="C269" t="str">
        <f>IFERROR(IF(ISNUMBER('Revenues &amp; Outlays in GDP'!C275),TEXT('Revenues &amp; Outlays in GDP'!C275, "0.00"),""), "")</f>
        <v/>
      </c>
      <c r="D269" t="str">
        <f>IFERROR(IF(ISNUMBER('Revenues &amp; Outlays in GDP'!H275),TEXT('Revenues &amp; Outlays in GDP'!H275, "0.00"),""), "")</f>
        <v/>
      </c>
      <c r="E269" t="str">
        <f>IFERROR(IF(ISNUMBER('Revenues &amp; Outlays in GDP'!D275),TEXT('Revenues &amp; Outlays in GDP'!D275, "0.00"),""), "")</f>
        <v/>
      </c>
      <c r="F269" t="str">
        <f>IFERROR(IF(ISNUMBER('Revenues &amp; Outlays in GDP'!B275), 'Revenues &amp; Outlays in GDP'!J275, ""), "")</f>
        <v/>
      </c>
    </row>
    <row r="270" spans="1:6">
      <c r="A270" t="str">
        <f>TEXT(IF('Revenues &amp; Outlays in GDP'!B276&lt;&gt;0,'Revenues &amp; Outlays in GDP'!B276, ""), "mm/dd/yyyy")</f>
        <v/>
      </c>
      <c r="B270" t="str">
        <f>IFERROR(IF(ISNUMBER('Revenues &amp; Outlays in GDP'!G276),TEXT('Revenues &amp; Outlays in GDP'!G276, "0.00"),""), "")</f>
        <v/>
      </c>
      <c r="C270" t="str">
        <f>IFERROR(IF(ISNUMBER('Revenues &amp; Outlays in GDP'!C276),TEXT('Revenues &amp; Outlays in GDP'!C276, "0.00"),""), "")</f>
        <v/>
      </c>
      <c r="D270" t="str">
        <f>IFERROR(IF(ISNUMBER('Revenues &amp; Outlays in GDP'!H276),TEXT('Revenues &amp; Outlays in GDP'!H276, "0.00"),""), "")</f>
        <v/>
      </c>
      <c r="E270" t="str">
        <f>IFERROR(IF(ISNUMBER('Revenues &amp; Outlays in GDP'!D276),TEXT('Revenues &amp; Outlays in GDP'!D276, "0.00"),""), "")</f>
        <v/>
      </c>
      <c r="F270" t="str">
        <f>IFERROR(IF(ISNUMBER('Revenues &amp; Outlays in GDP'!B276), 'Revenues &amp; Outlays in GDP'!J276, ""), "")</f>
        <v/>
      </c>
    </row>
    <row r="271" spans="1:6">
      <c r="A271" t="str">
        <f>TEXT(IF('Revenues &amp; Outlays in GDP'!B277&lt;&gt;0,'Revenues &amp; Outlays in GDP'!B277, ""), "mm/dd/yyyy")</f>
        <v/>
      </c>
      <c r="B271" t="str">
        <f>IFERROR(IF(ISNUMBER('Revenues &amp; Outlays in GDP'!G277),TEXT('Revenues &amp; Outlays in GDP'!G277, "0.00"),""), "")</f>
        <v/>
      </c>
      <c r="C271" t="str">
        <f>IFERROR(IF(ISNUMBER('Revenues &amp; Outlays in GDP'!C277),TEXT('Revenues &amp; Outlays in GDP'!C277, "0.00"),""), "")</f>
        <v/>
      </c>
      <c r="D271" t="str">
        <f>IFERROR(IF(ISNUMBER('Revenues &amp; Outlays in GDP'!H277),TEXT('Revenues &amp; Outlays in GDP'!H277, "0.00"),""), "")</f>
        <v/>
      </c>
      <c r="E271" t="str">
        <f>IFERROR(IF(ISNUMBER('Revenues &amp; Outlays in GDP'!D277),TEXT('Revenues &amp; Outlays in GDP'!D277, "0.00"),""), "")</f>
        <v/>
      </c>
      <c r="F271" t="str">
        <f>IFERROR(IF(ISNUMBER('Revenues &amp; Outlays in GDP'!B277), 'Revenues &amp; Outlays in GDP'!J277, ""), "")</f>
        <v/>
      </c>
    </row>
    <row r="272" spans="1:6">
      <c r="A272" t="str">
        <f>TEXT(IF('Revenues &amp; Outlays in GDP'!B278&lt;&gt;0,'Revenues &amp; Outlays in GDP'!B278, ""), "mm/dd/yyyy")</f>
        <v/>
      </c>
      <c r="B272" t="str">
        <f>IFERROR(IF(ISNUMBER('Revenues &amp; Outlays in GDP'!G278),TEXT('Revenues &amp; Outlays in GDP'!G278, "0.00"),""), "")</f>
        <v/>
      </c>
      <c r="C272" t="str">
        <f>IFERROR(IF(ISNUMBER('Revenues &amp; Outlays in GDP'!C278),TEXT('Revenues &amp; Outlays in GDP'!C278, "0.00"),""), "")</f>
        <v/>
      </c>
      <c r="D272" t="str">
        <f>IFERROR(IF(ISNUMBER('Revenues &amp; Outlays in GDP'!H278),TEXT('Revenues &amp; Outlays in GDP'!H278, "0.00"),""), "")</f>
        <v/>
      </c>
      <c r="E272" t="str">
        <f>IFERROR(IF(ISNUMBER('Revenues &amp; Outlays in GDP'!D278),TEXT('Revenues &amp; Outlays in GDP'!D278, "0.00"),""), "")</f>
        <v/>
      </c>
      <c r="F272" t="str">
        <f>IFERROR(IF(ISNUMBER('Revenues &amp; Outlays in GDP'!B278), 'Revenues &amp; Outlays in GDP'!J278, ""), "")</f>
        <v/>
      </c>
    </row>
    <row r="273" spans="1:6">
      <c r="A273" t="str">
        <f>TEXT(IF('Revenues &amp; Outlays in GDP'!B279&lt;&gt;0,'Revenues &amp; Outlays in GDP'!B279, ""), "mm/dd/yyyy")</f>
        <v/>
      </c>
      <c r="B273" t="str">
        <f>IFERROR(IF(ISNUMBER('Revenues &amp; Outlays in GDP'!G279),TEXT('Revenues &amp; Outlays in GDP'!G279, "0.00"),""), "")</f>
        <v/>
      </c>
      <c r="C273" t="str">
        <f>IFERROR(IF(ISNUMBER('Revenues &amp; Outlays in GDP'!C279),TEXT('Revenues &amp; Outlays in GDP'!C279, "0.00"),""), "")</f>
        <v/>
      </c>
      <c r="D273" t="str">
        <f>IFERROR(IF(ISNUMBER('Revenues &amp; Outlays in GDP'!H279),TEXT('Revenues &amp; Outlays in GDP'!H279, "0.00"),""), "")</f>
        <v/>
      </c>
      <c r="E273" t="str">
        <f>IFERROR(IF(ISNUMBER('Revenues &amp; Outlays in GDP'!D279),TEXT('Revenues &amp; Outlays in GDP'!D279, "0.00"),""), "")</f>
        <v/>
      </c>
      <c r="F273" t="str">
        <f>IFERROR(IF(ISNUMBER('Revenues &amp; Outlays in GDP'!B279), 'Revenues &amp; Outlays in GDP'!J279, ""), "")</f>
        <v/>
      </c>
    </row>
    <row r="274" spans="1:6">
      <c r="A274" t="str">
        <f>TEXT(IF('Revenues &amp; Outlays in GDP'!B280&lt;&gt;0,'Revenues &amp; Outlays in GDP'!B280, ""), "mm/dd/yyyy")</f>
        <v/>
      </c>
      <c r="B274" t="str">
        <f>IFERROR(IF(ISNUMBER('Revenues &amp; Outlays in GDP'!G280),TEXT('Revenues &amp; Outlays in GDP'!G280, "0.00"),""), "")</f>
        <v/>
      </c>
      <c r="C274" t="str">
        <f>IFERROR(IF(ISNUMBER('Revenues &amp; Outlays in GDP'!C280),TEXT('Revenues &amp; Outlays in GDP'!C280, "0.00"),""), "")</f>
        <v/>
      </c>
      <c r="D274" t="str">
        <f>IFERROR(IF(ISNUMBER('Revenues &amp; Outlays in GDP'!H280),TEXT('Revenues &amp; Outlays in GDP'!H280, "0.00"),""), "")</f>
        <v/>
      </c>
      <c r="E274" t="str">
        <f>IFERROR(IF(ISNUMBER('Revenues &amp; Outlays in GDP'!D280),TEXT('Revenues &amp; Outlays in GDP'!D280, "0.00"),""), "")</f>
        <v/>
      </c>
      <c r="F274" t="str">
        <f>IFERROR(IF(ISNUMBER('Revenues &amp; Outlays in GDP'!B280), 'Revenues &amp; Outlays in GDP'!J280, ""), "")</f>
        <v/>
      </c>
    </row>
    <row r="275" spans="1:6">
      <c r="A275" t="str">
        <f>TEXT(IF('Revenues &amp; Outlays in GDP'!B281&lt;&gt;0,'Revenues &amp; Outlays in GDP'!B281, ""), "mm/dd/yyyy")</f>
        <v/>
      </c>
      <c r="B275" t="str">
        <f>IFERROR(IF(ISNUMBER('Revenues &amp; Outlays in GDP'!G281),TEXT('Revenues &amp; Outlays in GDP'!G281, "0.00"),""), "")</f>
        <v/>
      </c>
      <c r="C275" t="str">
        <f>IFERROR(IF(ISNUMBER('Revenues &amp; Outlays in GDP'!C281),TEXT('Revenues &amp; Outlays in GDP'!C281, "0.00"),""), "")</f>
        <v/>
      </c>
      <c r="D275" t="str">
        <f>IFERROR(IF(ISNUMBER('Revenues &amp; Outlays in GDP'!H281),TEXT('Revenues &amp; Outlays in GDP'!H281, "0.00"),""), "")</f>
        <v/>
      </c>
      <c r="E275" t="str">
        <f>IFERROR(IF(ISNUMBER('Revenues &amp; Outlays in GDP'!D281),TEXT('Revenues &amp; Outlays in GDP'!D281, "0.00"),""), "")</f>
        <v/>
      </c>
      <c r="F275" t="str">
        <f>IFERROR(IF(ISNUMBER('Revenues &amp; Outlays in GDP'!B281), 'Revenues &amp; Outlays in GDP'!J281, ""), "")</f>
        <v/>
      </c>
    </row>
    <row r="276" spans="1:6">
      <c r="A276" t="str">
        <f>TEXT(IF('Revenues &amp; Outlays in GDP'!B282&lt;&gt;0,'Revenues &amp; Outlays in GDP'!B282, ""), "mm/dd/yyyy")</f>
        <v/>
      </c>
      <c r="B276" t="str">
        <f>IFERROR(IF(ISNUMBER('Revenues &amp; Outlays in GDP'!G282),TEXT('Revenues &amp; Outlays in GDP'!G282, "0.00"),""), "")</f>
        <v/>
      </c>
      <c r="C276" t="str">
        <f>IFERROR(IF(ISNUMBER('Revenues &amp; Outlays in GDP'!C282),TEXT('Revenues &amp; Outlays in GDP'!C282, "0.00"),""), "")</f>
        <v/>
      </c>
      <c r="D276" t="str">
        <f>IFERROR(IF(ISNUMBER('Revenues &amp; Outlays in GDP'!H282),TEXT('Revenues &amp; Outlays in GDP'!H282, "0.00"),""), "")</f>
        <v/>
      </c>
      <c r="E276" t="str">
        <f>IFERROR(IF(ISNUMBER('Revenues &amp; Outlays in GDP'!D282),TEXT('Revenues &amp; Outlays in GDP'!D282, "0.00"),""), "")</f>
        <v/>
      </c>
      <c r="F276" t="str">
        <f>IFERROR(IF(ISNUMBER('Revenues &amp; Outlays in GDP'!B282), 'Revenues &amp; Outlays in GDP'!J282, ""), "")</f>
        <v/>
      </c>
    </row>
    <row r="277" spans="1:6">
      <c r="A277" t="str">
        <f>TEXT(IF('Revenues &amp; Outlays in GDP'!B283&lt;&gt;0,'Revenues &amp; Outlays in GDP'!B283, ""), "mm/dd/yyyy")</f>
        <v/>
      </c>
      <c r="B277" t="str">
        <f>IFERROR(IF(ISNUMBER('Revenues &amp; Outlays in GDP'!G283),TEXT('Revenues &amp; Outlays in GDP'!G283, "0.00"),""), "")</f>
        <v/>
      </c>
      <c r="C277" t="str">
        <f>IFERROR(IF(ISNUMBER('Revenues &amp; Outlays in GDP'!C283),TEXT('Revenues &amp; Outlays in GDP'!C283, "0.00"),""), "")</f>
        <v/>
      </c>
      <c r="D277" t="str">
        <f>IFERROR(IF(ISNUMBER('Revenues &amp; Outlays in GDP'!H283),TEXT('Revenues &amp; Outlays in GDP'!H283, "0.00"),""), "")</f>
        <v/>
      </c>
      <c r="E277" t="str">
        <f>IFERROR(IF(ISNUMBER('Revenues &amp; Outlays in GDP'!D283),TEXT('Revenues &amp; Outlays in GDP'!D283, "0.00"),""), "")</f>
        <v/>
      </c>
      <c r="F277" t="str">
        <f>IFERROR(IF(ISNUMBER('Revenues &amp; Outlays in GDP'!B283), 'Revenues &amp; Outlays in GDP'!J283, ""), "")</f>
        <v/>
      </c>
    </row>
    <row r="278" spans="1:6">
      <c r="A278" t="str">
        <f>TEXT(IF('Revenues &amp; Outlays in GDP'!B284&lt;&gt;0,'Revenues &amp; Outlays in GDP'!B284, ""), "mm/dd/yyyy")</f>
        <v/>
      </c>
      <c r="B278" t="str">
        <f>IFERROR(IF(ISNUMBER('Revenues &amp; Outlays in GDP'!G284),TEXT('Revenues &amp; Outlays in GDP'!G284, "0.00"),""), "")</f>
        <v/>
      </c>
      <c r="C278" t="str">
        <f>IFERROR(IF(ISNUMBER('Revenues &amp; Outlays in GDP'!C284),TEXT('Revenues &amp; Outlays in GDP'!C284, "0.00"),""), "")</f>
        <v/>
      </c>
      <c r="D278" t="str">
        <f>IFERROR(IF(ISNUMBER('Revenues &amp; Outlays in GDP'!H284),TEXT('Revenues &amp; Outlays in GDP'!H284, "0.00"),""), "")</f>
        <v/>
      </c>
      <c r="E278" t="str">
        <f>IFERROR(IF(ISNUMBER('Revenues &amp; Outlays in GDP'!D284),TEXT('Revenues &amp; Outlays in GDP'!D284, "0.00"),""), "")</f>
        <v/>
      </c>
      <c r="F278" t="str">
        <f>IFERROR(IF(ISNUMBER('Revenues &amp; Outlays in GDP'!B284), 'Revenues &amp; Outlays in GDP'!J284, ""), "")</f>
        <v/>
      </c>
    </row>
    <row r="279" spans="1:6">
      <c r="A279" t="str">
        <f>TEXT(IF('Revenues &amp; Outlays in GDP'!B285&lt;&gt;0,'Revenues &amp; Outlays in GDP'!B285, ""), "mm/dd/yyyy")</f>
        <v/>
      </c>
      <c r="B279" t="str">
        <f>IFERROR(IF(ISNUMBER('Revenues &amp; Outlays in GDP'!G285),TEXT('Revenues &amp; Outlays in GDP'!G285, "0.00"),""), "")</f>
        <v/>
      </c>
      <c r="C279" t="str">
        <f>IFERROR(IF(ISNUMBER('Revenues &amp; Outlays in GDP'!C285),TEXT('Revenues &amp; Outlays in GDP'!C285, "0.00"),""), "")</f>
        <v/>
      </c>
      <c r="D279" t="str">
        <f>IFERROR(IF(ISNUMBER('Revenues &amp; Outlays in GDP'!H285),TEXT('Revenues &amp; Outlays in GDP'!H285, "0.00"),""), "")</f>
        <v/>
      </c>
      <c r="E279" t="str">
        <f>IFERROR(IF(ISNUMBER('Revenues &amp; Outlays in GDP'!D285),TEXT('Revenues &amp; Outlays in GDP'!D285, "0.00"),""), "")</f>
        <v/>
      </c>
      <c r="F279" t="str">
        <f>IFERROR(IF(ISNUMBER('Revenues &amp; Outlays in GDP'!B285), 'Revenues &amp; Outlays in GDP'!J285, ""), "")</f>
        <v/>
      </c>
    </row>
    <row r="280" spans="1:6">
      <c r="A280" t="str">
        <f>TEXT(IF('Revenues &amp; Outlays in GDP'!B286&lt;&gt;0,'Revenues &amp; Outlays in GDP'!B286, ""), "mm/dd/yyyy")</f>
        <v/>
      </c>
      <c r="B280" t="str">
        <f>IFERROR(IF(ISNUMBER('Revenues &amp; Outlays in GDP'!G286),TEXT('Revenues &amp; Outlays in GDP'!G286, "0.00"),""), "")</f>
        <v/>
      </c>
      <c r="C280" t="str">
        <f>IFERROR(IF(ISNUMBER('Revenues &amp; Outlays in GDP'!C286),TEXT('Revenues &amp; Outlays in GDP'!C286, "0.00"),""), "")</f>
        <v/>
      </c>
      <c r="D280" t="str">
        <f>IFERROR(IF(ISNUMBER('Revenues &amp; Outlays in GDP'!H286),TEXT('Revenues &amp; Outlays in GDP'!H286, "0.00"),""), "")</f>
        <v/>
      </c>
      <c r="E280" t="str">
        <f>IFERROR(IF(ISNUMBER('Revenues &amp; Outlays in GDP'!D286),TEXT('Revenues &amp; Outlays in GDP'!D286, "0.00"),""), "")</f>
        <v/>
      </c>
      <c r="F280" t="str">
        <f>IFERROR(IF(ISNUMBER('Revenues &amp; Outlays in GDP'!B286), 'Revenues &amp; Outlays in GDP'!J286, ""), "")</f>
        <v/>
      </c>
    </row>
    <row r="281" spans="1:6">
      <c r="A281" t="str">
        <f>TEXT(IF('Revenues &amp; Outlays in GDP'!B287&lt;&gt;0,'Revenues &amp; Outlays in GDP'!B287, ""), "mm/dd/yyyy")</f>
        <v/>
      </c>
      <c r="B281" t="str">
        <f>IFERROR(IF(ISNUMBER('Revenues &amp; Outlays in GDP'!G287),TEXT('Revenues &amp; Outlays in GDP'!G287, "0.00"),""), "")</f>
        <v/>
      </c>
      <c r="C281" t="str">
        <f>IFERROR(IF(ISNUMBER('Revenues &amp; Outlays in GDP'!C287),TEXT('Revenues &amp; Outlays in GDP'!C287, "0.00"),""), "")</f>
        <v/>
      </c>
      <c r="D281" t="str">
        <f>IFERROR(IF(ISNUMBER('Revenues &amp; Outlays in GDP'!H287),TEXT('Revenues &amp; Outlays in GDP'!H287, "0.00"),""), "")</f>
        <v/>
      </c>
      <c r="E281" t="str">
        <f>IFERROR(IF(ISNUMBER('Revenues &amp; Outlays in GDP'!D287),TEXT('Revenues &amp; Outlays in GDP'!D287, "0.00"),""), "")</f>
        <v/>
      </c>
      <c r="F281" t="str">
        <f>IFERROR(IF(ISNUMBER('Revenues &amp; Outlays in GDP'!B287), 'Revenues &amp; Outlays in GDP'!J287, ""), "")</f>
        <v/>
      </c>
    </row>
    <row r="282" spans="1:6">
      <c r="A282" t="str">
        <f>TEXT(IF('Revenues &amp; Outlays in GDP'!B288&lt;&gt;0,'Revenues &amp; Outlays in GDP'!B288, ""), "mm/dd/yyyy")</f>
        <v/>
      </c>
      <c r="B282" t="str">
        <f>IFERROR(IF(ISNUMBER('Revenues &amp; Outlays in GDP'!G288),TEXT('Revenues &amp; Outlays in GDP'!G288, "0.00"),""), "")</f>
        <v/>
      </c>
      <c r="C282" t="str">
        <f>IFERROR(IF(ISNUMBER('Revenues &amp; Outlays in GDP'!C288),TEXT('Revenues &amp; Outlays in GDP'!C288, "0.00"),""), "")</f>
        <v/>
      </c>
      <c r="D282" t="str">
        <f>IFERROR(IF(ISNUMBER('Revenues &amp; Outlays in GDP'!H288),TEXT('Revenues &amp; Outlays in GDP'!H288, "0.00"),""), "")</f>
        <v/>
      </c>
      <c r="E282" t="str">
        <f>IFERROR(IF(ISNUMBER('Revenues &amp; Outlays in GDP'!D288),TEXT('Revenues &amp; Outlays in GDP'!D288, "0.00"),""), "")</f>
        <v/>
      </c>
      <c r="F282" t="str">
        <f>IFERROR(IF(ISNUMBER('Revenues &amp; Outlays in GDP'!B288), 'Revenues &amp; Outlays in GDP'!J288, ""), "")</f>
        <v/>
      </c>
    </row>
    <row r="283" spans="1:6">
      <c r="A283" t="str">
        <f>TEXT(IF('Revenues &amp; Outlays in GDP'!B289&lt;&gt;0,'Revenues &amp; Outlays in GDP'!B289, ""), "mm/dd/yyyy")</f>
        <v/>
      </c>
      <c r="B283" t="str">
        <f>IFERROR(IF(ISNUMBER('Revenues &amp; Outlays in GDP'!G289),TEXT('Revenues &amp; Outlays in GDP'!G289, "0.00"),""), "")</f>
        <v/>
      </c>
      <c r="C283" t="str">
        <f>IFERROR(IF(ISNUMBER('Revenues &amp; Outlays in GDP'!C289),TEXT('Revenues &amp; Outlays in GDP'!C289, "0.00"),""), "")</f>
        <v/>
      </c>
      <c r="D283" t="str">
        <f>IFERROR(IF(ISNUMBER('Revenues &amp; Outlays in GDP'!H289),TEXT('Revenues &amp; Outlays in GDP'!H289, "0.00"),""), "")</f>
        <v/>
      </c>
      <c r="E283" t="str">
        <f>IFERROR(IF(ISNUMBER('Revenues &amp; Outlays in GDP'!D289),TEXT('Revenues &amp; Outlays in GDP'!D289, "0.00"),""), "")</f>
        <v/>
      </c>
      <c r="F283" t="str">
        <f>IFERROR(IF(ISNUMBER('Revenues &amp; Outlays in GDP'!B289), 'Revenues &amp; Outlays in GDP'!J289, ""), "")</f>
        <v/>
      </c>
    </row>
    <row r="284" spans="1:6">
      <c r="A284" t="str">
        <f>TEXT(IF('Revenues &amp; Outlays in GDP'!B290&lt;&gt;0,'Revenues &amp; Outlays in GDP'!B290, ""), "mm/dd/yyyy")</f>
        <v/>
      </c>
      <c r="B284" t="str">
        <f>IFERROR(IF(ISNUMBER('Revenues &amp; Outlays in GDP'!G290),TEXT('Revenues &amp; Outlays in GDP'!G290, "0.00"),""), "")</f>
        <v/>
      </c>
      <c r="C284" t="str">
        <f>IFERROR(IF(ISNUMBER('Revenues &amp; Outlays in GDP'!C290),TEXT('Revenues &amp; Outlays in GDP'!C290, "0.00"),""), "")</f>
        <v/>
      </c>
      <c r="D284" t="str">
        <f>IFERROR(IF(ISNUMBER('Revenues &amp; Outlays in GDP'!H290),TEXT('Revenues &amp; Outlays in GDP'!H290, "0.00"),""), "")</f>
        <v/>
      </c>
      <c r="E284" t="str">
        <f>IFERROR(IF(ISNUMBER('Revenues &amp; Outlays in GDP'!D290),TEXT('Revenues &amp; Outlays in GDP'!D290, "0.00"),""), "")</f>
        <v/>
      </c>
      <c r="F284" t="str">
        <f>IFERROR(IF(ISNUMBER('Revenues &amp; Outlays in GDP'!B290), 'Revenues &amp; Outlays in GDP'!J290, ""), "")</f>
        <v/>
      </c>
    </row>
    <row r="285" spans="1:6">
      <c r="A285" t="str">
        <f>TEXT(IF('Revenues &amp; Outlays in GDP'!B291&lt;&gt;0,'Revenues &amp; Outlays in GDP'!B291, ""), "mm/dd/yyyy")</f>
        <v/>
      </c>
      <c r="B285" t="str">
        <f>IFERROR(IF(ISNUMBER('Revenues &amp; Outlays in GDP'!G291),TEXT('Revenues &amp; Outlays in GDP'!G291, "0.00"),""), "")</f>
        <v/>
      </c>
      <c r="C285" t="str">
        <f>IFERROR(IF(ISNUMBER('Revenues &amp; Outlays in GDP'!C291),TEXT('Revenues &amp; Outlays in GDP'!C291, "0.00"),""), "")</f>
        <v/>
      </c>
      <c r="D285" t="str">
        <f>IFERROR(IF(ISNUMBER('Revenues &amp; Outlays in GDP'!H291),TEXT('Revenues &amp; Outlays in GDP'!H291, "0.00"),""), "")</f>
        <v/>
      </c>
      <c r="E285" t="str">
        <f>IFERROR(IF(ISNUMBER('Revenues &amp; Outlays in GDP'!D291),TEXT('Revenues &amp; Outlays in GDP'!D291, "0.00"),""), "")</f>
        <v/>
      </c>
      <c r="F285" t="str">
        <f>IFERROR(IF(ISNUMBER('Revenues &amp; Outlays in GDP'!B291), 'Revenues &amp; Outlays in GDP'!J291, ""), "")</f>
        <v/>
      </c>
    </row>
    <row r="286" spans="1:6">
      <c r="A286" t="str">
        <f>TEXT(IF('Revenues &amp; Outlays in GDP'!B292&lt;&gt;0,'Revenues &amp; Outlays in GDP'!B292, ""), "mm/dd/yyyy")</f>
        <v/>
      </c>
      <c r="B286" t="str">
        <f>IFERROR(IF(ISNUMBER('Revenues &amp; Outlays in GDP'!G292),TEXT('Revenues &amp; Outlays in GDP'!G292, "0.00"),""), "")</f>
        <v/>
      </c>
      <c r="C286" t="str">
        <f>IFERROR(IF(ISNUMBER('Revenues &amp; Outlays in GDP'!C292),TEXT('Revenues &amp; Outlays in GDP'!C292, "0.00"),""), "")</f>
        <v/>
      </c>
      <c r="D286" t="str">
        <f>IFERROR(IF(ISNUMBER('Revenues &amp; Outlays in GDP'!H292),TEXT('Revenues &amp; Outlays in GDP'!H292, "0.00"),""), "")</f>
        <v/>
      </c>
      <c r="E286" t="str">
        <f>IFERROR(IF(ISNUMBER('Revenues &amp; Outlays in GDP'!D292),TEXT('Revenues &amp; Outlays in GDP'!D292, "0.00"),""), "")</f>
        <v/>
      </c>
      <c r="F286" t="str">
        <f>IFERROR(IF(ISNUMBER('Revenues &amp; Outlays in GDP'!B292), 'Revenues &amp; Outlays in GDP'!J292, ""), "")</f>
        <v/>
      </c>
    </row>
    <row r="287" spans="1:6">
      <c r="A287" t="str">
        <f>TEXT(IF('Revenues &amp; Outlays in GDP'!B293&lt;&gt;0,'Revenues &amp; Outlays in GDP'!B293, ""), "mm/dd/yyyy")</f>
        <v/>
      </c>
      <c r="B287" t="str">
        <f>IFERROR(IF(ISNUMBER('Revenues &amp; Outlays in GDP'!G293),TEXT('Revenues &amp; Outlays in GDP'!G293, "0.00"),""), "")</f>
        <v/>
      </c>
      <c r="C287" t="str">
        <f>IFERROR(IF(ISNUMBER('Revenues &amp; Outlays in GDP'!C293),TEXT('Revenues &amp; Outlays in GDP'!C293, "0.00"),""), "")</f>
        <v/>
      </c>
      <c r="D287" t="str">
        <f>IFERROR(IF(ISNUMBER('Revenues &amp; Outlays in GDP'!H293),TEXT('Revenues &amp; Outlays in GDP'!H293, "0.00"),""), "")</f>
        <v/>
      </c>
      <c r="E287" t="str">
        <f>IFERROR(IF(ISNUMBER('Revenues &amp; Outlays in GDP'!D293),TEXT('Revenues &amp; Outlays in GDP'!D293, "0.00"),""), "")</f>
        <v/>
      </c>
      <c r="F287" t="str">
        <f>IFERROR(IF(ISNUMBER('Revenues &amp; Outlays in GDP'!B293), 'Revenues &amp; Outlays in GDP'!J293, ""), "")</f>
        <v/>
      </c>
    </row>
    <row r="288" spans="1:6">
      <c r="A288" t="str">
        <f>TEXT(IF('Revenues &amp; Outlays in GDP'!B294&lt;&gt;0,'Revenues &amp; Outlays in GDP'!B294, ""), "mm/dd/yyyy")</f>
        <v/>
      </c>
      <c r="B288" t="str">
        <f>IFERROR(IF(ISNUMBER('Revenues &amp; Outlays in GDP'!G294),TEXT('Revenues &amp; Outlays in GDP'!G294, "0.00"),""), "")</f>
        <v/>
      </c>
      <c r="C288" t="str">
        <f>IFERROR(IF(ISNUMBER('Revenues &amp; Outlays in GDP'!C294),TEXT('Revenues &amp; Outlays in GDP'!C294, "0.00"),""), "")</f>
        <v/>
      </c>
      <c r="D288" t="str">
        <f>IFERROR(IF(ISNUMBER('Revenues &amp; Outlays in GDP'!H294),TEXT('Revenues &amp; Outlays in GDP'!H294, "0.00"),""), "")</f>
        <v/>
      </c>
      <c r="E288" t="str">
        <f>IFERROR(IF(ISNUMBER('Revenues &amp; Outlays in GDP'!D294),TEXT('Revenues &amp; Outlays in GDP'!D294, "0.00"),""), "")</f>
        <v/>
      </c>
      <c r="F288" t="str">
        <f>IFERROR(IF(ISNUMBER('Revenues &amp; Outlays in GDP'!B294), 'Revenues &amp; Outlays in GDP'!J294, ""), "")</f>
        <v/>
      </c>
    </row>
    <row r="289" spans="1:6">
      <c r="A289" t="str">
        <f>TEXT(IF('Revenues &amp; Outlays in GDP'!B295&lt;&gt;0,'Revenues &amp; Outlays in GDP'!B295, ""), "mm/dd/yyyy")</f>
        <v/>
      </c>
      <c r="B289" t="str">
        <f>IFERROR(IF(ISNUMBER('Revenues &amp; Outlays in GDP'!G295),TEXT('Revenues &amp; Outlays in GDP'!G295, "0.00"),""), "")</f>
        <v/>
      </c>
      <c r="C289" t="str">
        <f>IFERROR(IF(ISNUMBER('Revenues &amp; Outlays in GDP'!C295),TEXT('Revenues &amp; Outlays in GDP'!C295, "0.00"),""), "")</f>
        <v/>
      </c>
      <c r="D289" t="str">
        <f>IFERROR(IF(ISNUMBER('Revenues &amp; Outlays in GDP'!H295),TEXT('Revenues &amp; Outlays in GDP'!H295, "0.00"),""), "")</f>
        <v/>
      </c>
      <c r="E289" t="str">
        <f>IFERROR(IF(ISNUMBER('Revenues &amp; Outlays in GDP'!D295),TEXT('Revenues &amp; Outlays in GDP'!D295, "0.00"),""), "")</f>
        <v/>
      </c>
      <c r="F289" t="str">
        <f>IFERROR(IF(ISNUMBER('Revenues &amp; Outlays in GDP'!B295), 'Revenues &amp; Outlays in GDP'!J295, ""), "")</f>
        <v/>
      </c>
    </row>
    <row r="290" spans="1:6">
      <c r="A290" t="str">
        <f>TEXT(IF('Revenues &amp; Outlays in GDP'!B296&lt;&gt;0,'Revenues &amp; Outlays in GDP'!B296, ""), "mm/dd/yyyy")</f>
        <v/>
      </c>
      <c r="B290" t="str">
        <f>IFERROR(IF(ISNUMBER('Revenues &amp; Outlays in GDP'!G296),TEXT('Revenues &amp; Outlays in GDP'!G296, "0.00"),""), "")</f>
        <v/>
      </c>
      <c r="C290" t="str">
        <f>IFERROR(IF(ISNUMBER('Revenues &amp; Outlays in GDP'!C296),TEXT('Revenues &amp; Outlays in GDP'!C296, "0.00"),""), "")</f>
        <v/>
      </c>
      <c r="D290" t="str">
        <f>IFERROR(IF(ISNUMBER('Revenues &amp; Outlays in GDP'!H296),TEXT('Revenues &amp; Outlays in GDP'!H296, "0.00"),""), "")</f>
        <v/>
      </c>
      <c r="E290" t="str">
        <f>IFERROR(IF(ISNUMBER('Revenues &amp; Outlays in GDP'!D296),TEXT('Revenues &amp; Outlays in GDP'!D296, "0.00"),""), "")</f>
        <v/>
      </c>
      <c r="F290" t="str">
        <f>IFERROR(IF(ISNUMBER('Revenues &amp; Outlays in GDP'!B296), 'Revenues &amp; Outlays in GDP'!J296, ""), "")</f>
        <v/>
      </c>
    </row>
    <row r="291" spans="1:6">
      <c r="A291" t="str">
        <f>TEXT(IF('Revenues &amp; Outlays in GDP'!B297&lt;&gt;0,'Revenues &amp; Outlays in GDP'!B297, ""), "mm/dd/yyyy")</f>
        <v/>
      </c>
      <c r="B291" t="str">
        <f>IFERROR(IF(ISNUMBER('Revenues &amp; Outlays in GDP'!G297),TEXT('Revenues &amp; Outlays in GDP'!G297, "0.00"),""), "")</f>
        <v/>
      </c>
      <c r="C291" t="str">
        <f>IFERROR(IF(ISNUMBER('Revenues &amp; Outlays in GDP'!C297),TEXT('Revenues &amp; Outlays in GDP'!C297, "0.00"),""), "")</f>
        <v/>
      </c>
      <c r="D291" t="str">
        <f>IFERROR(IF(ISNUMBER('Revenues &amp; Outlays in GDP'!H297),TEXT('Revenues &amp; Outlays in GDP'!H297, "0.00"),""), "")</f>
        <v/>
      </c>
      <c r="E291" t="str">
        <f>IFERROR(IF(ISNUMBER('Revenues &amp; Outlays in GDP'!D297),TEXT('Revenues &amp; Outlays in GDP'!D297, "0.00"),""), "")</f>
        <v/>
      </c>
      <c r="F291" t="str">
        <f>IFERROR(IF(ISNUMBER('Revenues &amp; Outlays in GDP'!B297), 'Revenues &amp; Outlays in GDP'!J297, ""), "")</f>
        <v/>
      </c>
    </row>
    <row r="292" spans="1:6">
      <c r="A292" t="str">
        <f>TEXT(IF('Revenues &amp; Outlays in GDP'!B298&lt;&gt;0,'Revenues &amp; Outlays in GDP'!B298, ""), "mm/dd/yyyy")</f>
        <v/>
      </c>
      <c r="B292" t="str">
        <f>IFERROR(IF(ISNUMBER('Revenues &amp; Outlays in GDP'!G298),TEXT('Revenues &amp; Outlays in GDP'!G298, "0.00"),""), "")</f>
        <v/>
      </c>
      <c r="C292" t="str">
        <f>IFERROR(IF(ISNUMBER('Revenues &amp; Outlays in GDP'!C298),TEXT('Revenues &amp; Outlays in GDP'!C298, "0.00"),""), "")</f>
        <v/>
      </c>
      <c r="D292" t="str">
        <f>IFERROR(IF(ISNUMBER('Revenues &amp; Outlays in GDP'!H298),TEXT('Revenues &amp; Outlays in GDP'!H298, "0.00"),""), "")</f>
        <v/>
      </c>
      <c r="E292" t="str">
        <f>IFERROR(IF(ISNUMBER('Revenues &amp; Outlays in GDP'!D298),TEXT('Revenues &amp; Outlays in GDP'!D298, "0.00"),""), "")</f>
        <v/>
      </c>
      <c r="F292" t="str">
        <f>IFERROR(IF(ISNUMBER('Revenues &amp; Outlays in GDP'!B298), 'Revenues &amp; Outlays in GDP'!J298, ""), "")</f>
        <v/>
      </c>
    </row>
    <row r="293" spans="1:6">
      <c r="A293" t="str">
        <f>TEXT(IF('Revenues &amp; Outlays in GDP'!B299&lt;&gt;0,'Revenues &amp; Outlays in GDP'!B299, ""), "mm/dd/yyyy")</f>
        <v/>
      </c>
      <c r="B293" t="str">
        <f>IFERROR(IF(ISNUMBER('Revenues &amp; Outlays in GDP'!G299),TEXT('Revenues &amp; Outlays in GDP'!G299, "0.00"),""), "")</f>
        <v/>
      </c>
      <c r="C293" t="str">
        <f>IFERROR(IF(ISNUMBER('Revenues &amp; Outlays in GDP'!C299),TEXT('Revenues &amp; Outlays in GDP'!C299, "0.00"),""), "")</f>
        <v/>
      </c>
      <c r="D293" t="str">
        <f>IFERROR(IF(ISNUMBER('Revenues &amp; Outlays in GDP'!H299),TEXT('Revenues &amp; Outlays in GDP'!H299, "0.00"),""), "")</f>
        <v/>
      </c>
      <c r="E293" t="str">
        <f>IFERROR(IF(ISNUMBER('Revenues &amp; Outlays in GDP'!D299),TEXT('Revenues &amp; Outlays in GDP'!D299, "0.00"),""), "")</f>
        <v/>
      </c>
      <c r="F293" t="str">
        <f>IFERROR(IF(ISNUMBER('Revenues &amp; Outlays in GDP'!B299), 'Revenues &amp; Outlays in GDP'!J299, ""), "")</f>
        <v/>
      </c>
    </row>
    <row r="294" spans="1:6">
      <c r="A294" t="str">
        <f>TEXT(IF('Revenues &amp; Outlays in GDP'!B300&lt;&gt;0,'Revenues &amp; Outlays in GDP'!B300, ""), "mm/dd/yyyy")</f>
        <v/>
      </c>
      <c r="B294" t="str">
        <f>IFERROR(IF(ISNUMBER('Revenues &amp; Outlays in GDP'!G300),TEXT('Revenues &amp; Outlays in GDP'!G300, "0.00"),""), "")</f>
        <v/>
      </c>
      <c r="C294" t="str">
        <f>IFERROR(IF(ISNUMBER('Revenues &amp; Outlays in GDP'!C300),TEXT('Revenues &amp; Outlays in GDP'!C300, "0.00"),""), "")</f>
        <v/>
      </c>
      <c r="D294" t="str">
        <f>IFERROR(IF(ISNUMBER('Revenues &amp; Outlays in GDP'!H300),TEXT('Revenues &amp; Outlays in GDP'!H300, "0.00"),""), "")</f>
        <v/>
      </c>
      <c r="E294" t="str">
        <f>IFERROR(IF(ISNUMBER('Revenues &amp; Outlays in GDP'!D300),TEXT('Revenues &amp; Outlays in GDP'!D300, "0.00"),""), "")</f>
        <v/>
      </c>
      <c r="F294" t="str">
        <f>IFERROR(IF(ISNUMBER('Revenues &amp; Outlays in GDP'!B300), 'Revenues &amp; Outlays in GDP'!J300, ""), "")</f>
        <v/>
      </c>
    </row>
    <row r="295" spans="1:6">
      <c r="A295" t="str">
        <f>TEXT(IF('Revenues &amp; Outlays in GDP'!B301&lt;&gt;0,'Revenues &amp; Outlays in GDP'!B301, ""), "mm/dd/yyyy")</f>
        <v/>
      </c>
      <c r="B295" t="str">
        <f>IFERROR(IF(ISNUMBER('Revenues &amp; Outlays in GDP'!G301),TEXT('Revenues &amp; Outlays in GDP'!G301, "0.00"),""), "")</f>
        <v/>
      </c>
      <c r="C295" t="str">
        <f>IFERROR(IF(ISNUMBER('Revenues &amp; Outlays in GDP'!C301),TEXT('Revenues &amp; Outlays in GDP'!C301, "0.00"),""), "")</f>
        <v/>
      </c>
      <c r="D295" t="str">
        <f>IFERROR(IF(ISNUMBER('Revenues &amp; Outlays in GDP'!H301),TEXT('Revenues &amp; Outlays in GDP'!H301, "0.00"),""), "")</f>
        <v/>
      </c>
      <c r="E295" t="str">
        <f>IFERROR(IF(ISNUMBER('Revenues &amp; Outlays in GDP'!D301),TEXT('Revenues &amp; Outlays in GDP'!D301, "0.00"),""), "")</f>
        <v/>
      </c>
      <c r="F295" t="str">
        <f>IFERROR(IF(ISNUMBER('Revenues &amp; Outlays in GDP'!B301), 'Revenues &amp; Outlays in GDP'!J301, ""), "")</f>
        <v/>
      </c>
    </row>
    <row r="296" spans="1:6">
      <c r="A296" t="str">
        <f>TEXT(IF('Revenues &amp; Outlays in GDP'!B302&lt;&gt;0,'Revenues &amp; Outlays in GDP'!B302, ""), "mm/dd/yyyy")</f>
        <v/>
      </c>
      <c r="B296" t="str">
        <f>IFERROR(IF(ISNUMBER('Revenues &amp; Outlays in GDP'!G302),TEXT('Revenues &amp; Outlays in GDP'!G302, "0.00"),""), "")</f>
        <v/>
      </c>
      <c r="C296" t="str">
        <f>IFERROR(IF(ISNUMBER('Revenues &amp; Outlays in GDP'!C302),TEXT('Revenues &amp; Outlays in GDP'!C302, "0.00"),""), "")</f>
        <v/>
      </c>
      <c r="D296" t="str">
        <f>IFERROR(IF(ISNUMBER('Revenues &amp; Outlays in GDP'!H302),TEXT('Revenues &amp; Outlays in GDP'!H302, "0.00"),""), "")</f>
        <v/>
      </c>
      <c r="E296" t="str">
        <f>IFERROR(IF(ISNUMBER('Revenues &amp; Outlays in GDP'!D302),TEXT('Revenues &amp; Outlays in GDP'!D302, "0.00"),""), "")</f>
        <v/>
      </c>
      <c r="F296" t="str">
        <f>IFERROR(IF(ISNUMBER('Revenues &amp; Outlays in GDP'!B302), 'Revenues &amp; Outlays in GDP'!J302, ""), "")</f>
        <v/>
      </c>
    </row>
    <row r="297" spans="1:6">
      <c r="A297" t="str">
        <f>TEXT(IF('Revenues &amp; Outlays in GDP'!B303&lt;&gt;0,'Revenues &amp; Outlays in GDP'!B303, ""), "mm/dd/yyyy")</f>
        <v/>
      </c>
      <c r="B297" t="str">
        <f>IFERROR(IF(ISNUMBER('Revenues &amp; Outlays in GDP'!G303),TEXT('Revenues &amp; Outlays in GDP'!G303, "0.00"),""), "")</f>
        <v/>
      </c>
      <c r="C297" t="str">
        <f>IFERROR(IF(ISNUMBER('Revenues &amp; Outlays in GDP'!C303),TEXT('Revenues &amp; Outlays in GDP'!C303, "0.00"),""), "")</f>
        <v/>
      </c>
      <c r="D297" t="str">
        <f>IFERROR(IF(ISNUMBER('Revenues &amp; Outlays in GDP'!H303),TEXT('Revenues &amp; Outlays in GDP'!H303, "0.00"),""), "")</f>
        <v/>
      </c>
      <c r="E297" t="str">
        <f>IFERROR(IF(ISNUMBER('Revenues &amp; Outlays in GDP'!D303),TEXT('Revenues &amp; Outlays in GDP'!D303, "0.00"),""), "")</f>
        <v/>
      </c>
      <c r="F297" t="str">
        <f>IFERROR(IF(ISNUMBER('Revenues &amp; Outlays in GDP'!B303), 'Revenues &amp; Outlays in GDP'!J303, ""), "")</f>
        <v/>
      </c>
    </row>
    <row r="298" spans="1:6">
      <c r="A298" t="str">
        <f>TEXT(IF('Revenues &amp; Outlays in GDP'!B304&lt;&gt;0,'Revenues &amp; Outlays in GDP'!B304, ""), "mm/dd/yyyy")</f>
        <v/>
      </c>
      <c r="B298" t="str">
        <f>IFERROR(IF(ISNUMBER('Revenues &amp; Outlays in GDP'!G304),TEXT('Revenues &amp; Outlays in GDP'!G304, "0.00"),""), "")</f>
        <v/>
      </c>
      <c r="C298" t="str">
        <f>IFERROR(IF(ISNUMBER('Revenues &amp; Outlays in GDP'!C304),TEXT('Revenues &amp; Outlays in GDP'!C304, "0.00"),""), "")</f>
        <v/>
      </c>
      <c r="D298" t="str">
        <f>IFERROR(IF(ISNUMBER('Revenues &amp; Outlays in GDP'!H304),TEXT('Revenues &amp; Outlays in GDP'!H304, "0.00"),""), "")</f>
        <v/>
      </c>
      <c r="E298" t="str">
        <f>IFERROR(IF(ISNUMBER('Revenues &amp; Outlays in GDP'!D304),TEXT('Revenues &amp; Outlays in GDP'!D304, "0.00"),""), "")</f>
        <v/>
      </c>
      <c r="F298" t="str">
        <f>IFERROR(IF(ISNUMBER('Revenues &amp; Outlays in GDP'!B304), 'Revenues &amp; Outlays in GDP'!J304, ""), "")</f>
        <v/>
      </c>
    </row>
    <row r="299" spans="1:6">
      <c r="A299" t="str">
        <f>TEXT(IF('Revenues &amp; Outlays in GDP'!B305&lt;&gt;0,'Revenues &amp; Outlays in GDP'!B305, ""), "mm/dd/yyyy")</f>
        <v/>
      </c>
      <c r="B299" t="str">
        <f>IFERROR(IF(ISNUMBER('Revenues &amp; Outlays in GDP'!G305),TEXT('Revenues &amp; Outlays in GDP'!G305, "0.00"),""), "")</f>
        <v/>
      </c>
      <c r="C299" t="str">
        <f>IFERROR(IF(ISNUMBER('Revenues &amp; Outlays in GDP'!C305),TEXT('Revenues &amp; Outlays in GDP'!C305, "0.00"),""), "")</f>
        <v/>
      </c>
      <c r="D299" t="str">
        <f>IFERROR(IF(ISNUMBER('Revenues &amp; Outlays in GDP'!H305),TEXT('Revenues &amp; Outlays in GDP'!H305, "0.00"),""), "")</f>
        <v/>
      </c>
      <c r="E299" t="str">
        <f>IFERROR(IF(ISNUMBER('Revenues &amp; Outlays in GDP'!D305),TEXT('Revenues &amp; Outlays in GDP'!D305, "0.00"),""), "")</f>
        <v/>
      </c>
      <c r="F299" t="str">
        <f>IFERROR(IF(ISNUMBER('Revenues &amp; Outlays in GDP'!B305), 'Revenues &amp; Outlays in GDP'!J305, ""), "")</f>
        <v/>
      </c>
    </row>
    <row r="300" spans="1:6">
      <c r="A300" t="str">
        <f>TEXT(IF('Revenues &amp; Outlays in GDP'!B306&lt;&gt;0,'Revenues &amp; Outlays in GDP'!B306, ""), "mm/dd/yyyy")</f>
        <v/>
      </c>
      <c r="B300" t="str">
        <f>IFERROR(IF(ISNUMBER('Revenues &amp; Outlays in GDP'!G306),TEXT('Revenues &amp; Outlays in GDP'!G306, "0.00"),""), "")</f>
        <v/>
      </c>
      <c r="C300" t="str">
        <f>IFERROR(IF(ISNUMBER('Revenues &amp; Outlays in GDP'!C306),TEXT('Revenues &amp; Outlays in GDP'!C306, "0.00"),""), "")</f>
        <v/>
      </c>
      <c r="D300" t="str">
        <f>IFERROR(IF(ISNUMBER('Revenues &amp; Outlays in GDP'!H306),TEXT('Revenues &amp; Outlays in GDP'!H306, "0.00"),""), "")</f>
        <v/>
      </c>
      <c r="E300" t="str">
        <f>IFERROR(IF(ISNUMBER('Revenues &amp; Outlays in GDP'!D306),TEXT('Revenues &amp; Outlays in GDP'!D306, "0.00"),""), "")</f>
        <v/>
      </c>
      <c r="F300" t="str">
        <f>IFERROR(IF(ISNUMBER('Revenues &amp; Outlays in GDP'!B306), 'Revenues &amp; Outlays in GDP'!J306, ""), "")</f>
        <v/>
      </c>
    </row>
    <row r="301" spans="1:6">
      <c r="A301" t="str">
        <f>TEXT(IF('Revenues &amp; Outlays in GDP'!B307&lt;&gt;0,'Revenues &amp; Outlays in GDP'!B307, ""), "mm/dd/yyyy")</f>
        <v/>
      </c>
      <c r="B301" t="str">
        <f>IFERROR(IF(ISNUMBER('Revenues &amp; Outlays in GDP'!G307),TEXT('Revenues &amp; Outlays in GDP'!G307, "0.00"),""), "")</f>
        <v/>
      </c>
      <c r="C301" t="str">
        <f>IFERROR(IF(ISNUMBER('Revenues &amp; Outlays in GDP'!C307),TEXT('Revenues &amp; Outlays in GDP'!C307, "0.00"),""), "")</f>
        <v/>
      </c>
      <c r="D301" t="str">
        <f>IFERROR(IF(ISNUMBER('Revenues &amp; Outlays in GDP'!H307),TEXT('Revenues &amp; Outlays in GDP'!H307, "0.00"),""), "")</f>
        <v/>
      </c>
      <c r="E301" t="str">
        <f>IFERROR(IF(ISNUMBER('Revenues &amp; Outlays in GDP'!D307),TEXT('Revenues &amp; Outlays in GDP'!D307, "0.00"),""), "")</f>
        <v/>
      </c>
      <c r="F301" t="str">
        <f>IFERROR(IF(ISNUMBER('Revenues &amp; Outlays in GDP'!B307), 'Revenues &amp; Outlays in GDP'!J307, ""), "")</f>
        <v/>
      </c>
    </row>
    <row r="302" spans="1:6">
      <c r="A302" t="str">
        <f>TEXT(IF('Revenues &amp; Outlays in GDP'!B308&lt;&gt;0,'Revenues &amp; Outlays in GDP'!B308, ""), "mm/dd/yyyy")</f>
        <v/>
      </c>
      <c r="B302" t="str">
        <f>IFERROR(IF(ISNUMBER('Revenues &amp; Outlays in GDP'!G308),TEXT('Revenues &amp; Outlays in GDP'!G308, "0.00"),""), "")</f>
        <v/>
      </c>
      <c r="C302" t="str">
        <f>IFERROR(IF(ISNUMBER('Revenues &amp; Outlays in GDP'!C308),TEXT('Revenues &amp; Outlays in GDP'!C308, "0.00"),""), "")</f>
        <v/>
      </c>
      <c r="D302" t="str">
        <f>IFERROR(IF(ISNUMBER('Revenues &amp; Outlays in GDP'!H308),TEXT('Revenues &amp; Outlays in GDP'!H308, "0.00"),""), "")</f>
        <v/>
      </c>
      <c r="E302" t="str">
        <f>IFERROR(IF(ISNUMBER('Revenues &amp; Outlays in GDP'!D308),TEXT('Revenues &amp; Outlays in GDP'!D308, "0.00"),""), "")</f>
        <v/>
      </c>
      <c r="F302" t="str">
        <f>IFERROR(IF(ISNUMBER('Revenues &amp; Outlays in GDP'!B308), 'Revenues &amp; Outlays in GDP'!J308, ""), "")</f>
        <v/>
      </c>
    </row>
    <row r="303" spans="1:6">
      <c r="A303" t="str">
        <f>TEXT(IF('Revenues &amp; Outlays in GDP'!B309&lt;&gt;0,'Revenues &amp; Outlays in GDP'!B309, ""), "mm/dd/yyyy")</f>
        <v/>
      </c>
      <c r="B303" t="str">
        <f>IFERROR(IF(ISNUMBER('Revenues &amp; Outlays in GDP'!G309),TEXT('Revenues &amp; Outlays in GDP'!G309, "0.00"),""), "")</f>
        <v/>
      </c>
      <c r="C303" t="str">
        <f>IFERROR(IF(ISNUMBER('Revenues &amp; Outlays in GDP'!C309),TEXT('Revenues &amp; Outlays in GDP'!C309, "0.00"),""), "")</f>
        <v/>
      </c>
      <c r="D303" t="str">
        <f>IFERROR(IF(ISNUMBER('Revenues &amp; Outlays in GDP'!H309),TEXT('Revenues &amp; Outlays in GDP'!H309, "0.00"),""), "")</f>
        <v/>
      </c>
      <c r="E303" t="str">
        <f>IFERROR(IF(ISNUMBER('Revenues &amp; Outlays in GDP'!D309),TEXT('Revenues &amp; Outlays in GDP'!D309, "0.00"),""), "")</f>
        <v/>
      </c>
      <c r="F303" t="str">
        <f>IFERROR(IF(ISNUMBER('Revenues &amp; Outlays in GDP'!B309), 'Revenues &amp; Outlays in GDP'!J309, ""), "")</f>
        <v/>
      </c>
    </row>
    <row r="304" spans="1:6">
      <c r="A304" t="str">
        <f>TEXT(IF('Revenues &amp; Outlays in GDP'!B310&lt;&gt;0,'Revenues &amp; Outlays in GDP'!B310, ""), "mm/dd/yyyy")</f>
        <v/>
      </c>
      <c r="B304" t="str">
        <f>IFERROR(IF(ISNUMBER('Revenues &amp; Outlays in GDP'!G310),TEXT('Revenues &amp; Outlays in GDP'!G310, "0.00"),""), "")</f>
        <v/>
      </c>
      <c r="C304" t="str">
        <f>IFERROR(IF(ISNUMBER('Revenues &amp; Outlays in GDP'!C310),TEXT('Revenues &amp; Outlays in GDP'!C310, "0.00"),""), "")</f>
        <v/>
      </c>
      <c r="D304" t="str">
        <f>IFERROR(IF(ISNUMBER('Revenues &amp; Outlays in GDP'!H310),TEXT('Revenues &amp; Outlays in GDP'!H310, "0.00"),""), "")</f>
        <v/>
      </c>
      <c r="E304" t="str">
        <f>IFERROR(IF(ISNUMBER('Revenues &amp; Outlays in GDP'!D310),TEXT('Revenues &amp; Outlays in GDP'!D310, "0.00"),""), "")</f>
        <v/>
      </c>
      <c r="F304" t="str">
        <f>IFERROR(IF(ISNUMBER('Revenues &amp; Outlays in GDP'!B310), 'Revenues &amp; Outlays in GDP'!J310, ""), "")</f>
        <v/>
      </c>
    </row>
    <row r="305" spans="1:6">
      <c r="A305" t="str">
        <f>TEXT(IF('Revenues &amp; Outlays in GDP'!B311&lt;&gt;0,'Revenues &amp; Outlays in GDP'!B311, ""), "mm/dd/yyyy")</f>
        <v/>
      </c>
      <c r="B305" t="str">
        <f>IFERROR(IF(ISNUMBER('Revenues &amp; Outlays in GDP'!G311),TEXT('Revenues &amp; Outlays in GDP'!G311, "0.00"),""), "")</f>
        <v/>
      </c>
      <c r="C305" t="str">
        <f>IFERROR(IF(ISNUMBER('Revenues &amp; Outlays in GDP'!C311),TEXT('Revenues &amp; Outlays in GDP'!C311, "0.00"),""), "")</f>
        <v/>
      </c>
      <c r="D305" t="str">
        <f>IFERROR(IF(ISNUMBER('Revenues &amp; Outlays in GDP'!H311),TEXT('Revenues &amp; Outlays in GDP'!H311, "0.00"),""), "")</f>
        <v/>
      </c>
      <c r="E305" t="str">
        <f>IFERROR(IF(ISNUMBER('Revenues &amp; Outlays in GDP'!D311),TEXT('Revenues &amp; Outlays in GDP'!D311, "0.00"),""), "")</f>
        <v/>
      </c>
      <c r="F305" t="str">
        <f>IFERROR(IF(ISNUMBER('Revenues &amp; Outlays in GDP'!B311), 'Revenues &amp; Outlays in GDP'!J311, ""), "")</f>
        <v/>
      </c>
    </row>
    <row r="306" spans="1:6">
      <c r="A306" t="str">
        <f>TEXT(IF('Revenues &amp; Outlays in GDP'!B312&lt;&gt;0,'Revenues &amp; Outlays in GDP'!B312, ""), "mm/dd/yyyy")</f>
        <v/>
      </c>
      <c r="B306" t="str">
        <f>IFERROR(IF(ISNUMBER('Revenues &amp; Outlays in GDP'!G312),TEXT('Revenues &amp; Outlays in GDP'!G312, "0.00"),""), "")</f>
        <v/>
      </c>
      <c r="C306" t="str">
        <f>IFERROR(IF(ISNUMBER('Revenues &amp; Outlays in GDP'!C312),TEXT('Revenues &amp; Outlays in GDP'!C312, "0.00"),""), "")</f>
        <v/>
      </c>
      <c r="D306" t="str">
        <f>IFERROR(IF(ISNUMBER('Revenues &amp; Outlays in GDP'!H312),TEXT('Revenues &amp; Outlays in GDP'!H312, "0.00"),""), "")</f>
        <v/>
      </c>
      <c r="E306" t="str">
        <f>IFERROR(IF(ISNUMBER('Revenues &amp; Outlays in GDP'!D312),TEXT('Revenues &amp; Outlays in GDP'!D312, "0.00"),""), "")</f>
        <v/>
      </c>
      <c r="F306" t="str">
        <f>IFERROR(IF(ISNUMBER('Revenues &amp; Outlays in GDP'!B312), 'Revenues &amp; Outlays in GDP'!J312, ""), "")</f>
        <v/>
      </c>
    </row>
    <row r="307" spans="1:6">
      <c r="A307" t="str">
        <f>TEXT(IF('Revenues &amp; Outlays in GDP'!B313&lt;&gt;0,'Revenues &amp; Outlays in GDP'!B313, ""), "mm/dd/yyyy")</f>
        <v/>
      </c>
      <c r="B307" t="str">
        <f>IFERROR(IF(ISNUMBER('Revenues &amp; Outlays in GDP'!G313),TEXT('Revenues &amp; Outlays in GDP'!G313, "0.00"),""), "")</f>
        <v/>
      </c>
      <c r="C307" t="str">
        <f>IFERROR(IF(ISNUMBER('Revenues &amp; Outlays in GDP'!C313),TEXT('Revenues &amp; Outlays in GDP'!C313, "0.00"),""), "")</f>
        <v/>
      </c>
      <c r="D307" t="str">
        <f>IFERROR(IF(ISNUMBER('Revenues &amp; Outlays in GDP'!H313),TEXT('Revenues &amp; Outlays in GDP'!H313, "0.00"),""), "")</f>
        <v/>
      </c>
      <c r="E307" t="str">
        <f>IFERROR(IF(ISNUMBER('Revenues &amp; Outlays in GDP'!D313),TEXT('Revenues &amp; Outlays in GDP'!D313, "0.00"),""), "")</f>
        <v/>
      </c>
      <c r="F307" t="str">
        <f>IFERROR(IF(ISNUMBER('Revenues &amp; Outlays in GDP'!B313), 'Revenues &amp; Outlays in GDP'!J313, ""), "")</f>
        <v/>
      </c>
    </row>
    <row r="308" spans="1:6">
      <c r="A308" t="str">
        <f>TEXT(IF('Revenues &amp; Outlays in GDP'!B314&lt;&gt;0,'Revenues &amp; Outlays in GDP'!B314, ""), "mm/dd/yyyy")</f>
        <v/>
      </c>
      <c r="B308" t="str">
        <f>IFERROR(IF(ISNUMBER('Revenues &amp; Outlays in GDP'!G314),TEXT('Revenues &amp; Outlays in GDP'!G314, "0.00"),""), "")</f>
        <v/>
      </c>
      <c r="C308" t="str">
        <f>IFERROR(IF(ISNUMBER('Revenues &amp; Outlays in GDP'!C314),TEXT('Revenues &amp; Outlays in GDP'!C314, "0.00"),""), "")</f>
        <v/>
      </c>
      <c r="D308" t="str">
        <f>IFERROR(IF(ISNUMBER('Revenues &amp; Outlays in GDP'!H314),TEXT('Revenues &amp; Outlays in GDP'!H314, "0.00"),""), "")</f>
        <v/>
      </c>
      <c r="E308" t="str">
        <f>IFERROR(IF(ISNUMBER('Revenues &amp; Outlays in GDP'!D314),TEXT('Revenues &amp; Outlays in GDP'!D314, "0.00"),""), "")</f>
        <v/>
      </c>
      <c r="F308" t="str">
        <f>IFERROR(IF(ISNUMBER('Revenues &amp; Outlays in GDP'!B314), 'Revenues &amp; Outlays in GDP'!J314, ""), "")</f>
        <v/>
      </c>
    </row>
    <row r="309" spans="1:6">
      <c r="A309" t="str">
        <f>TEXT(IF('Revenues &amp; Outlays in GDP'!B315&lt;&gt;0,'Revenues &amp; Outlays in GDP'!B315, ""), "mm/dd/yyyy")</f>
        <v/>
      </c>
      <c r="B309" t="str">
        <f>IFERROR(IF(ISNUMBER('Revenues &amp; Outlays in GDP'!G315),TEXT('Revenues &amp; Outlays in GDP'!G315, "0.00"),""), "")</f>
        <v/>
      </c>
      <c r="C309" t="str">
        <f>IFERROR(IF(ISNUMBER('Revenues &amp; Outlays in GDP'!C315),TEXT('Revenues &amp; Outlays in GDP'!C315, "0.00"),""), "")</f>
        <v/>
      </c>
      <c r="D309" t="str">
        <f>IFERROR(IF(ISNUMBER('Revenues &amp; Outlays in GDP'!H315),TEXT('Revenues &amp; Outlays in GDP'!H315, "0.00"),""), "")</f>
        <v/>
      </c>
      <c r="E309" t="str">
        <f>IFERROR(IF(ISNUMBER('Revenues &amp; Outlays in GDP'!D315),TEXT('Revenues &amp; Outlays in GDP'!D315, "0.00"),""), "")</f>
        <v/>
      </c>
      <c r="F309" t="str">
        <f>IFERROR(IF(ISNUMBER('Revenues &amp; Outlays in GDP'!B315), 'Revenues &amp; Outlays in GDP'!J315, ""), "")</f>
        <v/>
      </c>
    </row>
    <row r="310" spans="1:6">
      <c r="A310" t="str">
        <f>TEXT(IF('Revenues &amp; Outlays in GDP'!B316&lt;&gt;0,'Revenues &amp; Outlays in GDP'!B316, ""), "mm/dd/yyyy")</f>
        <v/>
      </c>
      <c r="B310" t="str">
        <f>IFERROR(IF(ISNUMBER('Revenues &amp; Outlays in GDP'!G316),TEXT('Revenues &amp; Outlays in GDP'!G316, "0.00"),""), "")</f>
        <v/>
      </c>
      <c r="C310" t="str">
        <f>IFERROR(IF(ISNUMBER('Revenues &amp; Outlays in GDP'!C316),TEXT('Revenues &amp; Outlays in GDP'!C316, "0.00"),""), "")</f>
        <v/>
      </c>
      <c r="D310" t="str">
        <f>IFERROR(IF(ISNUMBER('Revenues &amp; Outlays in GDP'!H316),TEXT('Revenues &amp; Outlays in GDP'!H316, "0.00"),""), "")</f>
        <v/>
      </c>
      <c r="E310" t="str">
        <f>IFERROR(IF(ISNUMBER('Revenues &amp; Outlays in GDP'!D316),TEXT('Revenues &amp; Outlays in GDP'!D316, "0.00"),""), "")</f>
        <v/>
      </c>
      <c r="F310" t="str">
        <f>IFERROR(IF(ISNUMBER('Revenues &amp; Outlays in GDP'!B316), 'Revenues &amp; Outlays in GDP'!J316, ""), "")</f>
        <v/>
      </c>
    </row>
    <row r="311" spans="1:6">
      <c r="A311" t="str">
        <f>TEXT(IF('Revenues &amp; Outlays in GDP'!B317&lt;&gt;0,'Revenues &amp; Outlays in GDP'!B317, ""), "mm/dd/yyyy")</f>
        <v/>
      </c>
      <c r="B311" t="str">
        <f>IFERROR(IF(ISNUMBER('Revenues &amp; Outlays in GDP'!G317),TEXT('Revenues &amp; Outlays in GDP'!G317, "0.00"),""), "")</f>
        <v/>
      </c>
      <c r="C311" t="str">
        <f>IFERROR(IF(ISNUMBER('Revenues &amp; Outlays in GDP'!C317),TEXT('Revenues &amp; Outlays in GDP'!C317, "0.00"),""), "")</f>
        <v/>
      </c>
      <c r="D311" t="str">
        <f>IFERROR(IF(ISNUMBER('Revenues &amp; Outlays in GDP'!H317),TEXT('Revenues &amp; Outlays in GDP'!H317, "0.00"),""), "")</f>
        <v/>
      </c>
      <c r="E311" t="str">
        <f>IFERROR(IF(ISNUMBER('Revenues &amp; Outlays in GDP'!D317),TEXT('Revenues &amp; Outlays in GDP'!D317, "0.00"),""), "")</f>
        <v/>
      </c>
      <c r="F311" t="str">
        <f>IFERROR(IF(ISNUMBER('Revenues &amp; Outlays in GDP'!B317), 'Revenues &amp; Outlays in GDP'!J317, ""), "")</f>
        <v/>
      </c>
    </row>
    <row r="312" spans="1:6">
      <c r="A312" t="str">
        <f>TEXT(IF('Revenues &amp; Outlays in GDP'!B318&lt;&gt;0,'Revenues &amp; Outlays in GDP'!B318, ""), "mm/dd/yyyy")</f>
        <v/>
      </c>
      <c r="B312" t="str">
        <f>IFERROR(IF(ISNUMBER('Revenues &amp; Outlays in GDP'!G318),TEXT('Revenues &amp; Outlays in GDP'!G318, "0.00"),""), "")</f>
        <v/>
      </c>
      <c r="C312" t="str">
        <f>IFERROR(IF(ISNUMBER('Revenues &amp; Outlays in GDP'!C318),TEXT('Revenues &amp; Outlays in GDP'!C318, "0.00"),""), "")</f>
        <v/>
      </c>
      <c r="D312" t="str">
        <f>IFERROR(IF(ISNUMBER('Revenues &amp; Outlays in GDP'!H318),TEXT('Revenues &amp; Outlays in GDP'!H318, "0.00"),""), "")</f>
        <v/>
      </c>
      <c r="E312" t="str">
        <f>IFERROR(IF(ISNUMBER('Revenues &amp; Outlays in GDP'!D318),TEXT('Revenues &amp; Outlays in GDP'!D318, "0.00"),""), "")</f>
        <v/>
      </c>
      <c r="F312" t="str">
        <f>IFERROR(IF(ISNUMBER('Revenues &amp; Outlays in GDP'!B318), 'Revenues &amp; Outlays in GDP'!J318, ""), "")</f>
        <v/>
      </c>
    </row>
    <row r="313" spans="1:6">
      <c r="A313" t="str">
        <f>TEXT(IF('Revenues &amp; Outlays in GDP'!B319&lt;&gt;0,'Revenues &amp; Outlays in GDP'!B319, ""), "mm/dd/yyyy")</f>
        <v/>
      </c>
      <c r="B313" t="str">
        <f>IFERROR(IF(ISNUMBER('Revenues &amp; Outlays in GDP'!G319),TEXT('Revenues &amp; Outlays in GDP'!G319, "0.00"),""), "")</f>
        <v/>
      </c>
      <c r="C313" t="str">
        <f>IFERROR(IF(ISNUMBER('Revenues &amp; Outlays in GDP'!C319),TEXT('Revenues &amp; Outlays in GDP'!C319, "0.00"),""), "")</f>
        <v/>
      </c>
      <c r="D313" t="str">
        <f>IFERROR(IF(ISNUMBER('Revenues &amp; Outlays in GDP'!H319),TEXT('Revenues &amp; Outlays in GDP'!H319, "0.00"),""), "")</f>
        <v/>
      </c>
      <c r="E313" t="str">
        <f>IFERROR(IF(ISNUMBER('Revenues &amp; Outlays in GDP'!D319),TEXT('Revenues &amp; Outlays in GDP'!D319, "0.00"),""), "")</f>
        <v/>
      </c>
      <c r="F313" t="str">
        <f>IFERROR(IF(ISNUMBER('Revenues &amp; Outlays in GDP'!B319), 'Revenues &amp; Outlays in GDP'!J319, ""), "")</f>
        <v/>
      </c>
    </row>
    <row r="314" spans="1:6">
      <c r="A314" t="str">
        <f>TEXT(IF('Revenues &amp; Outlays in GDP'!B320&lt;&gt;0,'Revenues &amp; Outlays in GDP'!B320, ""), "mm/dd/yyyy")</f>
        <v/>
      </c>
      <c r="B314" t="str">
        <f>IFERROR(IF(ISNUMBER('Revenues &amp; Outlays in GDP'!G320),TEXT('Revenues &amp; Outlays in GDP'!G320, "0.00"),""), "")</f>
        <v/>
      </c>
      <c r="C314" t="str">
        <f>IFERROR(IF(ISNUMBER('Revenues &amp; Outlays in GDP'!C320),TEXT('Revenues &amp; Outlays in GDP'!C320, "0.00"),""), "")</f>
        <v/>
      </c>
      <c r="D314" t="str">
        <f>IFERROR(IF(ISNUMBER('Revenues &amp; Outlays in GDP'!H320),TEXT('Revenues &amp; Outlays in GDP'!H320, "0.00"),""), "")</f>
        <v/>
      </c>
      <c r="E314" t="str">
        <f>IFERROR(IF(ISNUMBER('Revenues &amp; Outlays in GDP'!D320),TEXT('Revenues &amp; Outlays in GDP'!D320, "0.00"),""), "")</f>
        <v/>
      </c>
      <c r="F314" t="str">
        <f>IFERROR(IF(ISNUMBER('Revenues &amp; Outlays in GDP'!B320), 'Revenues &amp; Outlays in GDP'!J320, ""), "")</f>
        <v/>
      </c>
    </row>
    <row r="315" spans="1:6">
      <c r="A315" t="str">
        <f>TEXT(IF('Revenues &amp; Outlays in GDP'!B321&lt;&gt;0,'Revenues &amp; Outlays in GDP'!B321, ""), "mm/dd/yyyy")</f>
        <v/>
      </c>
      <c r="B315" t="str">
        <f>IFERROR(IF(ISNUMBER('Revenues &amp; Outlays in GDP'!G321),TEXT('Revenues &amp; Outlays in GDP'!G321, "0.00"),""), "")</f>
        <v/>
      </c>
      <c r="C315" t="str">
        <f>IFERROR(IF(ISNUMBER('Revenues &amp; Outlays in GDP'!C321),TEXT('Revenues &amp; Outlays in GDP'!C321, "0.00"),""), "")</f>
        <v/>
      </c>
      <c r="D315" t="str">
        <f>IFERROR(IF(ISNUMBER('Revenues &amp; Outlays in GDP'!H321),TEXT('Revenues &amp; Outlays in GDP'!H321, "0.00"),""), "")</f>
        <v/>
      </c>
      <c r="E315" t="str">
        <f>IFERROR(IF(ISNUMBER('Revenues &amp; Outlays in GDP'!D321),TEXT('Revenues &amp; Outlays in GDP'!D321, "0.00"),""), "")</f>
        <v/>
      </c>
      <c r="F315" t="str">
        <f>IFERROR(IF(ISNUMBER('Revenues &amp; Outlays in GDP'!B321), 'Revenues &amp; Outlays in GDP'!J321, ""), "")</f>
        <v/>
      </c>
    </row>
    <row r="316" spans="1:6">
      <c r="A316" t="str">
        <f>TEXT(IF('Revenues &amp; Outlays in GDP'!B322&lt;&gt;0,'Revenues &amp; Outlays in GDP'!B322, ""), "mm/dd/yyyy")</f>
        <v/>
      </c>
      <c r="B316" t="str">
        <f>IFERROR(IF(ISNUMBER('Revenues &amp; Outlays in GDP'!G322),TEXT('Revenues &amp; Outlays in GDP'!G322, "0.00"),""), "")</f>
        <v/>
      </c>
      <c r="C316" t="str">
        <f>IFERROR(IF(ISNUMBER('Revenues &amp; Outlays in GDP'!C322),TEXT('Revenues &amp; Outlays in GDP'!C322, "0.00"),""), "")</f>
        <v/>
      </c>
      <c r="D316" t="str">
        <f>IFERROR(IF(ISNUMBER('Revenues &amp; Outlays in GDP'!H322),TEXT('Revenues &amp; Outlays in GDP'!H322, "0.00"),""), "")</f>
        <v/>
      </c>
      <c r="E316" t="str">
        <f>IFERROR(IF(ISNUMBER('Revenues &amp; Outlays in GDP'!D322),TEXT('Revenues &amp; Outlays in GDP'!D322, "0.00"),""), "")</f>
        <v/>
      </c>
      <c r="F316" t="str">
        <f>IFERROR(IF(ISNUMBER('Revenues &amp; Outlays in GDP'!B322), 'Revenues &amp; Outlays in GDP'!J322, ""), "")</f>
        <v/>
      </c>
    </row>
    <row r="317" spans="1:6">
      <c r="A317" t="str">
        <f>TEXT(IF('Revenues &amp; Outlays in GDP'!B323&lt;&gt;0,'Revenues &amp; Outlays in GDP'!B323, ""), "mm/dd/yyyy")</f>
        <v/>
      </c>
      <c r="B317" t="str">
        <f>IFERROR(IF(ISNUMBER('Revenues &amp; Outlays in GDP'!G323),TEXT('Revenues &amp; Outlays in GDP'!G323, "0.00"),""), "")</f>
        <v/>
      </c>
      <c r="C317" t="str">
        <f>IFERROR(IF(ISNUMBER('Revenues &amp; Outlays in GDP'!C323),TEXT('Revenues &amp; Outlays in GDP'!C323, "0.00"),""), "")</f>
        <v/>
      </c>
      <c r="D317" t="str">
        <f>IFERROR(IF(ISNUMBER('Revenues &amp; Outlays in GDP'!H323),TEXT('Revenues &amp; Outlays in GDP'!H323, "0.00"),""), "")</f>
        <v/>
      </c>
      <c r="E317" t="str">
        <f>IFERROR(IF(ISNUMBER('Revenues &amp; Outlays in GDP'!D323),TEXT('Revenues &amp; Outlays in GDP'!D323, "0.00"),""), "")</f>
        <v/>
      </c>
      <c r="F317" t="str">
        <f>IFERROR(IF(ISNUMBER('Revenues &amp; Outlays in GDP'!B323), 'Revenues &amp; Outlays in GDP'!J323, ""), "")</f>
        <v/>
      </c>
    </row>
    <row r="318" spans="1:6">
      <c r="A318" t="str">
        <f>TEXT(IF('Revenues &amp; Outlays in GDP'!B324&lt;&gt;0,'Revenues &amp; Outlays in GDP'!B324, ""), "mm/dd/yyyy")</f>
        <v/>
      </c>
      <c r="B318" t="str">
        <f>IFERROR(IF(ISNUMBER('Revenues &amp; Outlays in GDP'!G324),TEXT('Revenues &amp; Outlays in GDP'!G324, "0.00"),""), "")</f>
        <v/>
      </c>
      <c r="C318" t="str">
        <f>IFERROR(IF(ISNUMBER('Revenues &amp; Outlays in GDP'!C324),TEXT('Revenues &amp; Outlays in GDP'!C324, "0.00"),""), "")</f>
        <v/>
      </c>
      <c r="D318" t="str">
        <f>IFERROR(IF(ISNUMBER('Revenues &amp; Outlays in GDP'!H324),TEXT('Revenues &amp; Outlays in GDP'!H324, "0.00"),""), "")</f>
        <v/>
      </c>
      <c r="E318" t="str">
        <f>IFERROR(IF(ISNUMBER('Revenues &amp; Outlays in GDP'!D324),TEXT('Revenues &amp; Outlays in GDP'!D324, "0.00"),""), "")</f>
        <v/>
      </c>
      <c r="F318" t="str">
        <f>IFERROR(IF(ISNUMBER('Revenues &amp; Outlays in GDP'!B324), 'Revenues &amp; Outlays in GDP'!J324, ""), "")</f>
        <v/>
      </c>
    </row>
    <row r="319" spans="1:6">
      <c r="A319" t="str">
        <f>TEXT(IF('Revenues &amp; Outlays in GDP'!B325&lt;&gt;0,'Revenues &amp; Outlays in GDP'!B325, ""), "mm/dd/yyyy")</f>
        <v/>
      </c>
      <c r="B319" t="str">
        <f>IFERROR(IF(ISNUMBER('Revenues &amp; Outlays in GDP'!G325),TEXT('Revenues &amp; Outlays in GDP'!G325, "0.00"),""), "")</f>
        <v/>
      </c>
      <c r="C319" t="str">
        <f>IFERROR(IF(ISNUMBER('Revenues &amp; Outlays in GDP'!C325),TEXT('Revenues &amp; Outlays in GDP'!C325, "0.00"),""), "")</f>
        <v/>
      </c>
      <c r="D319" t="str">
        <f>IFERROR(IF(ISNUMBER('Revenues &amp; Outlays in GDP'!H325),TEXT('Revenues &amp; Outlays in GDP'!H325, "0.00"),""), "")</f>
        <v/>
      </c>
      <c r="E319" t="str">
        <f>IFERROR(IF(ISNUMBER('Revenues &amp; Outlays in GDP'!D325),TEXT('Revenues &amp; Outlays in GDP'!D325, "0.00"),""), "")</f>
        <v/>
      </c>
      <c r="F319" t="str">
        <f>IFERROR(IF(ISNUMBER('Revenues &amp; Outlays in GDP'!B325), 'Revenues &amp; Outlays in GDP'!J325, ""), "")</f>
        <v/>
      </c>
    </row>
    <row r="320" spans="1:6">
      <c r="A320" t="str">
        <f>TEXT(IF('Revenues &amp; Outlays in GDP'!B326&lt;&gt;0,'Revenues &amp; Outlays in GDP'!B326, ""), "mm/dd/yyyy")</f>
        <v/>
      </c>
      <c r="B320" t="str">
        <f>IFERROR(IF(ISNUMBER('Revenues &amp; Outlays in GDP'!G326),TEXT('Revenues &amp; Outlays in GDP'!G326, "0.00"),""), "")</f>
        <v/>
      </c>
      <c r="C320" t="str">
        <f>IFERROR(IF(ISNUMBER('Revenues &amp; Outlays in GDP'!C326),TEXT('Revenues &amp; Outlays in GDP'!C326, "0.00"),""), "")</f>
        <v/>
      </c>
      <c r="D320" t="str">
        <f>IFERROR(IF(ISNUMBER('Revenues &amp; Outlays in GDP'!H326),TEXT('Revenues &amp; Outlays in GDP'!H326, "0.00"),""), "")</f>
        <v/>
      </c>
      <c r="E320" t="str">
        <f>IFERROR(IF(ISNUMBER('Revenues &amp; Outlays in GDP'!D326),TEXT('Revenues &amp; Outlays in GDP'!D326, "0.00"),""), "")</f>
        <v/>
      </c>
      <c r="F320" t="str">
        <f>IFERROR(IF(ISNUMBER('Revenues &amp; Outlays in GDP'!B326), 'Revenues &amp; Outlays in GDP'!J326, ""), "")</f>
        <v/>
      </c>
    </row>
    <row r="321" spans="1:6">
      <c r="A321" t="str">
        <f>TEXT(IF('Revenues &amp; Outlays in GDP'!B327&lt;&gt;0,'Revenues &amp; Outlays in GDP'!B327, ""), "mm/dd/yyyy")</f>
        <v/>
      </c>
      <c r="B321" t="str">
        <f>IFERROR(IF(ISNUMBER('Revenues &amp; Outlays in GDP'!G327),TEXT('Revenues &amp; Outlays in GDP'!G327, "0.00"),""), "")</f>
        <v/>
      </c>
      <c r="C321" t="str">
        <f>IFERROR(IF(ISNUMBER('Revenues &amp; Outlays in GDP'!C327),TEXT('Revenues &amp; Outlays in GDP'!C327, "0.00"),""), "")</f>
        <v/>
      </c>
      <c r="D321" t="str">
        <f>IFERROR(IF(ISNUMBER('Revenues &amp; Outlays in GDP'!H327),TEXT('Revenues &amp; Outlays in GDP'!H327, "0.00"),""), "")</f>
        <v/>
      </c>
      <c r="E321" t="str">
        <f>IFERROR(IF(ISNUMBER('Revenues &amp; Outlays in GDP'!D327),TEXT('Revenues &amp; Outlays in GDP'!D327, "0.00"),""), "")</f>
        <v/>
      </c>
      <c r="F321" t="str">
        <f>IFERROR(IF(ISNUMBER('Revenues &amp; Outlays in GDP'!B327), 'Revenues &amp; Outlays in GDP'!J327, ""), "")</f>
        <v/>
      </c>
    </row>
    <row r="322" spans="1:6">
      <c r="A322" t="str">
        <f>TEXT(IF('Revenues &amp; Outlays in GDP'!B328&lt;&gt;0,'Revenues &amp; Outlays in GDP'!B328, ""), "mm/dd/yyyy")</f>
        <v/>
      </c>
      <c r="B322" t="str">
        <f>IFERROR(IF(ISNUMBER('Revenues &amp; Outlays in GDP'!G328),TEXT('Revenues &amp; Outlays in GDP'!G328, "0.00"),""), "")</f>
        <v/>
      </c>
      <c r="C322" t="str">
        <f>IFERROR(IF(ISNUMBER('Revenues &amp; Outlays in GDP'!C328),TEXT('Revenues &amp; Outlays in GDP'!C328, "0.00"),""), "")</f>
        <v/>
      </c>
      <c r="D322" t="str">
        <f>IFERROR(IF(ISNUMBER('Revenues &amp; Outlays in GDP'!H328),TEXT('Revenues &amp; Outlays in GDP'!H328, "0.00"),""), "")</f>
        <v/>
      </c>
      <c r="E322" t="str">
        <f>IFERROR(IF(ISNUMBER('Revenues &amp; Outlays in GDP'!D328),TEXT('Revenues &amp; Outlays in GDP'!D328, "0.00"),""), "")</f>
        <v/>
      </c>
      <c r="F322" t="str">
        <f>IFERROR(IF(ISNUMBER('Revenues &amp; Outlays in GDP'!B328), 'Revenues &amp; Outlays in GDP'!J328, ""), "")</f>
        <v/>
      </c>
    </row>
    <row r="323" spans="1:6">
      <c r="A323" t="str">
        <f>TEXT(IF('Revenues &amp; Outlays in GDP'!B329&lt;&gt;0,'Revenues &amp; Outlays in GDP'!B329, ""), "mm/dd/yyyy")</f>
        <v/>
      </c>
      <c r="B323" t="str">
        <f>IFERROR(IF(ISNUMBER('Revenues &amp; Outlays in GDP'!G329),TEXT('Revenues &amp; Outlays in GDP'!G329, "0.00"),""), "")</f>
        <v/>
      </c>
      <c r="C323" t="str">
        <f>IFERROR(IF(ISNUMBER('Revenues &amp; Outlays in GDP'!C329),TEXT('Revenues &amp; Outlays in GDP'!C329, "0.00"),""), "")</f>
        <v/>
      </c>
      <c r="D323" t="str">
        <f>IFERROR(IF(ISNUMBER('Revenues &amp; Outlays in GDP'!H329),TEXT('Revenues &amp; Outlays in GDP'!H329, "0.00"),""), "")</f>
        <v/>
      </c>
      <c r="E323" t="str">
        <f>IFERROR(IF(ISNUMBER('Revenues &amp; Outlays in GDP'!D329),TEXT('Revenues &amp; Outlays in GDP'!D329, "0.00"),""), "")</f>
        <v/>
      </c>
      <c r="F323" t="str">
        <f>IFERROR(IF(ISNUMBER('Revenues &amp; Outlays in GDP'!B329), 'Revenues &amp; Outlays in GDP'!J329, ""), "")</f>
        <v/>
      </c>
    </row>
    <row r="324" spans="1:6">
      <c r="A324" t="str">
        <f>TEXT(IF('Revenues &amp; Outlays in GDP'!B330&lt;&gt;0,'Revenues &amp; Outlays in GDP'!B330, ""), "mm/dd/yyyy")</f>
        <v/>
      </c>
      <c r="B324" t="str">
        <f>IFERROR(IF(ISNUMBER('Revenues &amp; Outlays in GDP'!G330),TEXT('Revenues &amp; Outlays in GDP'!G330, "0.00"),""), "")</f>
        <v/>
      </c>
      <c r="C324" t="str">
        <f>IFERROR(IF(ISNUMBER('Revenues &amp; Outlays in GDP'!C330),TEXT('Revenues &amp; Outlays in GDP'!C330, "0.00"),""), "")</f>
        <v/>
      </c>
      <c r="D324" t="str">
        <f>IFERROR(IF(ISNUMBER('Revenues &amp; Outlays in GDP'!H330),TEXT('Revenues &amp; Outlays in GDP'!H330, "0.00"),""), "")</f>
        <v/>
      </c>
      <c r="E324" t="str">
        <f>IFERROR(IF(ISNUMBER('Revenues &amp; Outlays in GDP'!D330),TEXT('Revenues &amp; Outlays in GDP'!D330, "0.00"),""), "")</f>
        <v/>
      </c>
      <c r="F324" t="str">
        <f>IFERROR(IF(ISNUMBER('Revenues &amp; Outlays in GDP'!B330), 'Revenues &amp; Outlays in GDP'!J330, ""), "")</f>
        <v/>
      </c>
    </row>
    <row r="325" spans="1:6">
      <c r="A325" t="str">
        <f>TEXT(IF('Revenues &amp; Outlays in GDP'!B331&lt;&gt;0,'Revenues &amp; Outlays in GDP'!B331, ""), "mm/dd/yyyy")</f>
        <v/>
      </c>
      <c r="B325" t="str">
        <f>IFERROR(IF(ISNUMBER('Revenues &amp; Outlays in GDP'!G331),TEXT('Revenues &amp; Outlays in GDP'!G331, "0.00"),""), "")</f>
        <v/>
      </c>
      <c r="C325" t="str">
        <f>IFERROR(IF(ISNUMBER('Revenues &amp; Outlays in GDP'!C331),TEXT('Revenues &amp; Outlays in GDP'!C331, "0.00"),""), "")</f>
        <v/>
      </c>
      <c r="D325" t="str">
        <f>IFERROR(IF(ISNUMBER('Revenues &amp; Outlays in GDP'!H331),TEXT('Revenues &amp; Outlays in GDP'!H331, "0.00"),""), "")</f>
        <v/>
      </c>
      <c r="E325" t="str">
        <f>IFERROR(IF(ISNUMBER('Revenues &amp; Outlays in GDP'!D331),TEXT('Revenues &amp; Outlays in GDP'!D331, "0.00"),""), "")</f>
        <v/>
      </c>
      <c r="F325" t="str">
        <f>IFERROR(IF(ISNUMBER('Revenues &amp; Outlays in GDP'!B331), 'Revenues &amp; Outlays in GDP'!J331, ""), "")</f>
        <v/>
      </c>
    </row>
    <row r="326" spans="1:6">
      <c r="A326" t="str">
        <f>TEXT(IF('Revenues &amp; Outlays in GDP'!B332&lt;&gt;0,'Revenues &amp; Outlays in GDP'!B332, ""), "mm/dd/yyyy")</f>
        <v/>
      </c>
      <c r="B326" t="str">
        <f>IFERROR(IF(ISNUMBER('Revenues &amp; Outlays in GDP'!G332),TEXT('Revenues &amp; Outlays in GDP'!G332, "0.00"),""), "")</f>
        <v/>
      </c>
      <c r="C326" t="str">
        <f>IFERROR(IF(ISNUMBER('Revenues &amp; Outlays in GDP'!C332),TEXT('Revenues &amp; Outlays in GDP'!C332, "0.00"),""), "")</f>
        <v/>
      </c>
      <c r="D326" t="str">
        <f>IFERROR(IF(ISNUMBER('Revenues &amp; Outlays in GDP'!H332),TEXT('Revenues &amp; Outlays in GDP'!H332, "0.00"),""), "")</f>
        <v/>
      </c>
      <c r="E326" t="str">
        <f>IFERROR(IF(ISNUMBER('Revenues &amp; Outlays in GDP'!D332),TEXT('Revenues &amp; Outlays in GDP'!D332, "0.00"),""), "")</f>
        <v/>
      </c>
      <c r="F326" t="str">
        <f>IFERROR(IF(ISNUMBER('Revenues &amp; Outlays in GDP'!B332), 'Revenues &amp; Outlays in GDP'!J332, ""), "")</f>
        <v/>
      </c>
    </row>
    <row r="327" spans="1:6">
      <c r="A327" t="str">
        <f>TEXT(IF('Revenues &amp; Outlays in GDP'!B333&lt;&gt;0,'Revenues &amp; Outlays in GDP'!B333, ""), "mm/dd/yyyy")</f>
        <v/>
      </c>
      <c r="B327" t="str">
        <f>IFERROR(IF(ISNUMBER('Revenues &amp; Outlays in GDP'!G333),TEXT('Revenues &amp; Outlays in GDP'!G333, "0.00"),""), "")</f>
        <v/>
      </c>
      <c r="C327" t="str">
        <f>IFERROR(IF(ISNUMBER('Revenues &amp; Outlays in GDP'!C333),TEXT('Revenues &amp; Outlays in GDP'!C333, "0.00"),""), "")</f>
        <v/>
      </c>
      <c r="D327" t="str">
        <f>IFERROR(IF(ISNUMBER('Revenues &amp; Outlays in GDP'!H333),TEXT('Revenues &amp; Outlays in GDP'!H333, "0.00"),""), "")</f>
        <v/>
      </c>
      <c r="E327" t="str">
        <f>IFERROR(IF(ISNUMBER('Revenues &amp; Outlays in GDP'!D333),TEXT('Revenues &amp; Outlays in GDP'!D333, "0.00"),""), "")</f>
        <v/>
      </c>
      <c r="F327" t="str">
        <f>IFERROR(IF(ISNUMBER('Revenues &amp; Outlays in GDP'!B333), 'Revenues &amp; Outlays in GDP'!J333, ""), "")</f>
        <v/>
      </c>
    </row>
    <row r="328" spans="1:6">
      <c r="A328" t="str">
        <f>TEXT(IF('Revenues &amp; Outlays in GDP'!B334&lt;&gt;0,'Revenues &amp; Outlays in GDP'!B334, ""), "mm/dd/yyyy")</f>
        <v/>
      </c>
      <c r="B328" t="str">
        <f>IFERROR(IF(ISNUMBER('Revenues &amp; Outlays in GDP'!G334),TEXT('Revenues &amp; Outlays in GDP'!G334, "0.00"),""), "")</f>
        <v/>
      </c>
      <c r="C328" t="str">
        <f>IFERROR(IF(ISNUMBER('Revenues &amp; Outlays in GDP'!C334),TEXT('Revenues &amp; Outlays in GDP'!C334, "0.00"),""), "")</f>
        <v/>
      </c>
      <c r="D328" t="str">
        <f>IFERROR(IF(ISNUMBER('Revenues &amp; Outlays in GDP'!H334),TEXT('Revenues &amp; Outlays in GDP'!H334, "0.00"),""), "")</f>
        <v/>
      </c>
      <c r="E328" t="str">
        <f>IFERROR(IF(ISNUMBER('Revenues &amp; Outlays in GDP'!D334),TEXT('Revenues &amp; Outlays in GDP'!D334, "0.00"),""), "")</f>
        <v/>
      </c>
      <c r="F328" t="str">
        <f>IFERROR(IF(ISNUMBER('Revenues &amp; Outlays in GDP'!B334), 'Revenues &amp; Outlays in GDP'!J334, ""), "")</f>
        <v/>
      </c>
    </row>
    <row r="329" spans="1:6">
      <c r="A329" t="str">
        <f>TEXT(IF('Revenues &amp; Outlays in GDP'!B335&lt;&gt;0,'Revenues &amp; Outlays in GDP'!B335, ""), "mm/dd/yyyy")</f>
        <v/>
      </c>
      <c r="B329" t="str">
        <f>IFERROR(IF(ISNUMBER('Revenues &amp; Outlays in GDP'!G335),TEXT('Revenues &amp; Outlays in GDP'!G335, "0.00"),""), "")</f>
        <v/>
      </c>
      <c r="C329" t="str">
        <f>IFERROR(IF(ISNUMBER('Revenues &amp; Outlays in GDP'!C335),TEXT('Revenues &amp; Outlays in GDP'!C335, "0.00"),""), "")</f>
        <v/>
      </c>
      <c r="D329" t="str">
        <f>IFERROR(IF(ISNUMBER('Revenues &amp; Outlays in GDP'!H335),TEXT('Revenues &amp; Outlays in GDP'!H335, "0.00"),""), "")</f>
        <v/>
      </c>
      <c r="E329" t="str">
        <f>IFERROR(IF(ISNUMBER('Revenues &amp; Outlays in GDP'!D335),TEXT('Revenues &amp; Outlays in GDP'!D335, "0.00"),""), "")</f>
        <v/>
      </c>
      <c r="F329" t="str">
        <f>IFERROR(IF(ISNUMBER('Revenues &amp; Outlays in GDP'!B335), 'Revenues &amp; Outlays in GDP'!J335, ""), "")</f>
        <v/>
      </c>
    </row>
    <row r="330" spans="1:6">
      <c r="A330" t="str">
        <f>TEXT(IF('Revenues &amp; Outlays in GDP'!B336&lt;&gt;0,'Revenues &amp; Outlays in GDP'!B336, ""), "mm/dd/yyyy")</f>
        <v/>
      </c>
      <c r="B330" t="str">
        <f>IFERROR(IF(ISNUMBER('Revenues &amp; Outlays in GDP'!G336),TEXT('Revenues &amp; Outlays in GDP'!G336, "0.00"),""), "")</f>
        <v/>
      </c>
      <c r="C330" t="str">
        <f>IFERROR(IF(ISNUMBER('Revenues &amp; Outlays in GDP'!C336),TEXT('Revenues &amp; Outlays in GDP'!C336, "0.00"),""), "")</f>
        <v/>
      </c>
      <c r="D330" t="str">
        <f>IFERROR(IF(ISNUMBER('Revenues &amp; Outlays in GDP'!H336),TEXT('Revenues &amp; Outlays in GDP'!H336, "0.00"),""), "")</f>
        <v/>
      </c>
      <c r="E330" t="str">
        <f>IFERROR(IF(ISNUMBER('Revenues &amp; Outlays in GDP'!D336),TEXT('Revenues &amp; Outlays in GDP'!D336, "0.00"),""), "")</f>
        <v/>
      </c>
      <c r="F330" t="str">
        <f>IFERROR(IF(ISNUMBER('Revenues &amp; Outlays in GDP'!B336), 'Revenues &amp; Outlays in GDP'!J336, ""), "")</f>
        <v/>
      </c>
    </row>
    <row r="331" spans="1:6">
      <c r="A331" t="str">
        <f>TEXT(IF('Revenues &amp; Outlays in GDP'!B337&lt;&gt;0,'Revenues &amp; Outlays in GDP'!B337, ""), "mm/dd/yyyy")</f>
        <v/>
      </c>
      <c r="B331" t="str">
        <f>IFERROR(IF(ISNUMBER('Revenues &amp; Outlays in GDP'!G337),TEXT('Revenues &amp; Outlays in GDP'!G337, "0.00"),""), "")</f>
        <v/>
      </c>
      <c r="C331" t="str">
        <f>IFERROR(IF(ISNUMBER('Revenues &amp; Outlays in GDP'!C337),TEXT('Revenues &amp; Outlays in GDP'!C337, "0.00"),""), "")</f>
        <v/>
      </c>
      <c r="D331" t="str">
        <f>IFERROR(IF(ISNUMBER('Revenues &amp; Outlays in GDP'!H337),TEXT('Revenues &amp; Outlays in GDP'!H337, "0.00"),""), "")</f>
        <v/>
      </c>
      <c r="E331" t="str">
        <f>IFERROR(IF(ISNUMBER('Revenues &amp; Outlays in GDP'!D337),TEXT('Revenues &amp; Outlays in GDP'!D337, "0.00"),""), "")</f>
        <v/>
      </c>
      <c r="F331" t="str">
        <f>IFERROR(IF(ISNUMBER('Revenues &amp; Outlays in GDP'!B337), 'Revenues &amp; Outlays in GDP'!J337, ""), "")</f>
        <v/>
      </c>
    </row>
    <row r="332" spans="1:6">
      <c r="A332" t="str">
        <f>TEXT(IF('Revenues &amp; Outlays in GDP'!B338&lt;&gt;0,'Revenues &amp; Outlays in GDP'!B338, ""), "mm/dd/yyyy")</f>
        <v/>
      </c>
      <c r="B332" t="str">
        <f>IFERROR(IF(ISNUMBER('Revenues &amp; Outlays in GDP'!G338),TEXT('Revenues &amp; Outlays in GDP'!G338, "0.00"),""), "")</f>
        <v/>
      </c>
      <c r="C332" t="str">
        <f>IFERROR(IF(ISNUMBER('Revenues &amp; Outlays in GDP'!C338),TEXT('Revenues &amp; Outlays in GDP'!C338, "0.00"),""), "")</f>
        <v/>
      </c>
      <c r="D332" t="str">
        <f>IFERROR(IF(ISNUMBER('Revenues &amp; Outlays in GDP'!H338),TEXT('Revenues &amp; Outlays in GDP'!H338, "0.00"),""), "")</f>
        <v/>
      </c>
      <c r="E332" t="str">
        <f>IFERROR(IF(ISNUMBER('Revenues &amp; Outlays in GDP'!D338),TEXT('Revenues &amp; Outlays in GDP'!D338, "0.00"),""), "")</f>
        <v/>
      </c>
      <c r="F332" t="str">
        <f>IFERROR(IF(ISNUMBER('Revenues &amp; Outlays in GDP'!B338), 'Revenues &amp; Outlays in GDP'!J338, ""), "")</f>
        <v/>
      </c>
    </row>
    <row r="333" spans="1:6">
      <c r="A333" t="str">
        <f>TEXT(IF('Revenues &amp; Outlays in GDP'!B339&lt;&gt;0,'Revenues &amp; Outlays in GDP'!B339, ""), "mm/dd/yyyy")</f>
        <v/>
      </c>
      <c r="B333" t="str">
        <f>IFERROR(IF(ISNUMBER('Revenues &amp; Outlays in GDP'!G339),TEXT('Revenues &amp; Outlays in GDP'!G339, "0.00"),""), "")</f>
        <v/>
      </c>
      <c r="C333" t="str">
        <f>IFERROR(IF(ISNUMBER('Revenues &amp; Outlays in GDP'!C339),TEXT('Revenues &amp; Outlays in GDP'!C339, "0.00"),""), "")</f>
        <v/>
      </c>
      <c r="D333" t="str">
        <f>IFERROR(IF(ISNUMBER('Revenues &amp; Outlays in GDP'!H339),TEXT('Revenues &amp; Outlays in GDP'!H339, "0.00"),""), "")</f>
        <v/>
      </c>
      <c r="E333" t="str">
        <f>IFERROR(IF(ISNUMBER('Revenues &amp; Outlays in GDP'!D339),TEXT('Revenues &amp; Outlays in GDP'!D339, "0.00"),""), "")</f>
        <v/>
      </c>
      <c r="F333" t="str">
        <f>IFERROR(IF(ISNUMBER('Revenues &amp; Outlays in GDP'!B339), 'Revenues &amp; Outlays in GDP'!J339, ""), "")</f>
        <v/>
      </c>
    </row>
    <row r="334" spans="1:6">
      <c r="A334" t="str">
        <f>TEXT(IF('Revenues &amp; Outlays in GDP'!B340&lt;&gt;0,'Revenues &amp; Outlays in GDP'!B340, ""), "mm/dd/yyyy")</f>
        <v/>
      </c>
      <c r="B334" t="str">
        <f>IFERROR(IF(ISNUMBER('Revenues &amp; Outlays in GDP'!G340),TEXT('Revenues &amp; Outlays in GDP'!G340, "0.00"),""), "")</f>
        <v/>
      </c>
      <c r="C334" t="str">
        <f>IFERROR(IF(ISNUMBER('Revenues &amp; Outlays in GDP'!C340),TEXT('Revenues &amp; Outlays in GDP'!C340, "0.00"),""), "")</f>
        <v/>
      </c>
      <c r="D334" t="str">
        <f>IFERROR(IF(ISNUMBER('Revenues &amp; Outlays in GDP'!H340),TEXT('Revenues &amp; Outlays in GDP'!H340, "0.00"),""), "")</f>
        <v/>
      </c>
      <c r="E334" t="str">
        <f>IFERROR(IF(ISNUMBER('Revenues &amp; Outlays in GDP'!D340),TEXT('Revenues &amp; Outlays in GDP'!D340, "0.00"),""), "")</f>
        <v/>
      </c>
      <c r="F334" t="str">
        <f>IFERROR(IF(ISNUMBER('Revenues &amp; Outlays in GDP'!B340), 'Revenues &amp; Outlays in GDP'!J340, ""), "")</f>
        <v/>
      </c>
    </row>
    <row r="335" spans="1:6">
      <c r="A335" t="str">
        <f>TEXT(IF('Revenues &amp; Outlays in GDP'!B341&lt;&gt;0,'Revenues &amp; Outlays in GDP'!B341, ""), "mm/dd/yyyy")</f>
        <v/>
      </c>
      <c r="B335" t="str">
        <f>IFERROR(IF(ISNUMBER('Revenues &amp; Outlays in GDP'!G341),TEXT('Revenues &amp; Outlays in GDP'!G341, "0.00"),""), "")</f>
        <v/>
      </c>
      <c r="C335" t="str">
        <f>IFERROR(IF(ISNUMBER('Revenues &amp; Outlays in GDP'!C341),TEXT('Revenues &amp; Outlays in GDP'!C341, "0.00"),""), "")</f>
        <v/>
      </c>
      <c r="D335" t="str">
        <f>IFERROR(IF(ISNUMBER('Revenues &amp; Outlays in GDP'!H341),TEXT('Revenues &amp; Outlays in GDP'!H341, "0.00"),""), "")</f>
        <v/>
      </c>
      <c r="E335" t="str">
        <f>IFERROR(IF(ISNUMBER('Revenues &amp; Outlays in GDP'!D341),TEXT('Revenues &amp; Outlays in GDP'!D341, "0.00"),""), "")</f>
        <v/>
      </c>
      <c r="F335" t="str">
        <f>IFERROR(IF(ISNUMBER('Revenues &amp; Outlays in GDP'!B341), 'Revenues &amp; Outlays in GDP'!J341, ""), "")</f>
        <v/>
      </c>
    </row>
    <row r="336" spans="1:6">
      <c r="A336" t="str">
        <f>TEXT(IF('Revenues &amp; Outlays in GDP'!B342&lt;&gt;0,'Revenues &amp; Outlays in GDP'!B342, ""), "mm/dd/yyyy")</f>
        <v/>
      </c>
      <c r="B336" t="str">
        <f>IFERROR(IF(ISNUMBER('Revenues &amp; Outlays in GDP'!G342),TEXT('Revenues &amp; Outlays in GDP'!G342, "0.00"),""), "")</f>
        <v/>
      </c>
      <c r="C336" t="str">
        <f>IFERROR(IF(ISNUMBER('Revenues &amp; Outlays in GDP'!C342),TEXT('Revenues &amp; Outlays in GDP'!C342, "0.00"),""), "")</f>
        <v/>
      </c>
      <c r="D336" t="str">
        <f>IFERROR(IF(ISNUMBER('Revenues &amp; Outlays in GDP'!H342),TEXT('Revenues &amp; Outlays in GDP'!H342, "0.00"),""), "")</f>
        <v/>
      </c>
      <c r="E336" t="str">
        <f>IFERROR(IF(ISNUMBER('Revenues &amp; Outlays in GDP'!D342),TEXT('Revenues &amp; Outlays in GDP'!D342, "0.00"),""), "")</f>
        <v/>
      </c>
      <c r="F336" t="str">
        <f>IFERROR(IF(ISNUMBER('Revenues &amp; Outlays in GDP'!B342), 'Revenues &amp; Outlays in GDP'!J342, ""), "")</f>
        <v/>
      </c>
    </row>
    <row r="337" spans="1:6">
      <c r="A337" t="str">
        <f>TEXT(IF('Revenues &amp; Outlays in GDP'!B343&lt;&gt;0,'Revenues &amp; Outlays in GDP'!B343, ""), "mm/dd/yyyy")</f>
        <v/>
      </c>
      <c r="B337" t="str">
        <f>IFERROR(IF(ISNUMBER('Revenues &amp; Outlays in GDP'!G343),TEXT('Revenues &amp; Outlays in GDP'!G343, "0.00"),""), "")</f>
        <v/>
      </c>
      <c r="C337" t="str">
        <f>IFERROR(IF(ISNUMBER('Revenues &amp; Outlays in GDP'!C343),TEXT('Revenues &amp; Outlays in GDP'!C343, "0.00"),""), "")</f>
        <v/>
      </c>
      <c r="D337" t="str">
        <f>IFERROR(IF(ISNUMBER('Revenues &amp; Outlays in GDP'!H343),TEXT('Revenues &amp; Outlays in GDP'!H343, "0.00"),""), "")</f>
        <v/>
      </c>
      <c r="E337" t="str">
        <f>IFERROR(IF(ISNUMBER('Revenues &amp; Outlays in GDP'!D343),TEXT('Revenues &amp; Outlays in GDP'!D343, "0.00"),""), "")</f>
        <v/>
      </c>
      <c r="F337" t="str">
        <f>IFERROR(IF(ISNUMBER('Revenues &amp; Outlays in GDP'!B343), 'Revenues &amp; Outlays in GDP'!J343, ""), "")</f>
        <v/>
      </c>
    </row>
    <row r="338" spans="1:6">
      <c r="A338" t="str">
        <f>TEXT(IF('Revenues &amp; Outlays in GDP'!B344&lt;&gt;0,'Revenues &amp; Outlays in GDP'!B344, ""), "mm/dd/yyyy")</f>
        <v/>
      </c>
      <c r="B338" t="str">
        <f>IFERROR(IF(ISNUMBER('Revenues &amp; Outlays in GDP'!G344),TEXT('Revenues &amp; Outlays in GDP'!G344, "0.00"),""), "")</f>
        <v/>
      </c>
      <c r="C338" t="str">
        <f>IFERROR(IF(ISNUMBER('Revenues &amp; Outlays in GDP'!C344),TEXT('Revenues &amp; Outlays in GDP'!C344, "0.00"),""), "")</f>
        <v/>
      </c>
      <c r="D338" t="str">
        <f>IFERROR(IF(ISNUMBER('Revenues &amp; Outlays in GDP'!H344),TEXT('Revenues &amp; Outlays in GDP'!H344, "0.00"),""), "")</f>
        <v/>
      </c>
      <c r="E338" t="str">
        <f>IFERROR(IF(ISNUMBER('Revenues &amp; Outlays in GDP'!D344),TEXT('Revenues &amp; Outlays in GDP'!D344, "0.00"),""), "")</f>
        <v/>
      </c>
      <c r="F338" t="str">
        <f>IFERROR(IF(ISNUMBER('Revenues &amp; Outlays in GDP'!B344), 'Revenues &amp; Outlays in GDP'!J344, ""), "")</f>
        <v/>
      </c>
    </row>
    <row r="339" spans="1:6">
      <c r="A339" t="str">
        <f>TEXT(IF('Revenues &amp; Outlays in GDP'!B345&lt;&gt;0,'Revenues &amp; Outlays in GDP'!B345, ""), "mm/dd/yyyy")</f>
        <v/>
      </c>
      <c r="B339" t="str">
        <f>IFERROR(IF(ISNUMBER('Revenues &amp; Outlays in GDP'!G345),TEXT('Revenues &amp; Outlays in GDP'!G345, "0.00"),""), "")</f>
        <v/>
      </c>
      <c r="C339" t="str">
        <f>IFERROR(IF(ISNUMBER('Revenues &amp; Outlays in GDP'!C345),TEXT('Revenues &amp; Outlays in GDP'!C345, "0.00"),""), "")</f>
        <v/>
      </c>
      <c r="D339" t="str">
        <f>IFERROR(IF(ISNUMBER('Revenues &amp; Outlays in GDP'!H345),TEXT('Revenues &amp; Outlays in GDP'!H345, "0.00"),""), "")</f>
        <v/>
      </c>
      <c r="E339" t="str">
        <f>IFERROR(IF(ISNUMBER('Revenues &amp; Outlays in GDP'!D345),TEXT('Revenues &amp; Outlays in GDP'!D345, "0.00"),""), "")</f>
        <v/>
      </c>
      <c r="F339" t="str">
        <f>IFERROR(IF(ISNUMBER('Revenues &amp; Outlays in GDP'!B345), 'Revenues &amp; Outlays in GDP'!J345, ""), "")</f>
        <v/>
      </c>
    </row>
    <row r="340" spans="1:6">
      <c r="A340" t="str">
        <f>TEXT(IF('Revenues &amp; Outlays in GDP'!B346&lt;&gt;0,'Revenues &amp; Outlays in GDP'!B346, ""), "mm/dd/yyyy")</f>
        <v/>
      </c>
      <c r="B340" t="str">
        <f>IFERROR(IF(ISNUMBER('Revenues &amp; Outlays in GDP'!G346),TEXT('Revenues &amp; Outlays in GDP'!G346, "0.00"),""), "")</f>
        <v/>
      </c>
      <c r="C340" t="str">
        <f>IFERROR(IF(ISNUMBER('Revenues &amp; Outlays in GDP'!C346),TEXT('Revenues &amp; Outlays in GDP'!C346, "0.00"),""), "")</f>
        <v/>
      </c>
      <c r="D340" t="str">
        <f>IFERROR(IF(ISNUMBER('Revenues &amp; Outlays in GDP'!H346),TEXT('Revenues &amp; Outlays in GDP'!H346, "0.00"),""), "")</f>
        <v/>
      </c>
      <c r="E340" t="str">
        <f>IFERROR(IF(ISNUMBER('Revenues &amp; Outlays in GDP'!D346),TEXT('Revenues &amp; Outlays in GDP'!D346, "0.00"),""), "")</f>
        <v/>
      </c>
      <c r="F340" t="str">
        <f>IFERROR(IF(ISNUMBER('Revenues &amp; Outlays in GDP'!B346), 'Revenues &amp; Outlays in GDP'!J346, ""), "")</f>
        <v/>
      </c>
    </row>
    <row r="341" spans="1:6">
      <c r="A341" t="str">
        <f>TEXT(IF('Revenues &amp; Outlays in GDP'!B347&lt;&gt;0,'Revenues &amp; Outlays in GDP'!B347, ""), "mm/dd/yyyy")</f>
        <v/>
      </c>
      <c r="B341" t="str">
        <f>IFERROR(IF(ISNUMBER('Revenues &amp; Outlays in GDP'!G347),TEXT('Revenues &amp; Outlays in GDP'!G347, "0.00"),""), "")</f>
        <v/>
      </c>
      <c r="C341" t="str">
        <f>IFERROR(IF(ISNUMBER('Revenues &amp; Outlays in GDP'!C347),TEXT('Revenues &amp; Outlays in GDP'!C347, "0.00"),""), "")</f>
        <v/>
      </c>
      <c r="D341" t="str">
        <f>IFERROR(IF(ISNUMBER('Revenues &amp; Outlays in GDP'!H347),TEXT('Revenues &amp; Outlays in GDP'!H347, "0.00"),""), "")</f>
        <v/>
      </c>
      <c r="E341" t="str">
        <f>IFERROR(IF(ISNUMBER('Revenues &amp; Outlays in GDP'!D347),TEXT('Revenues &amp; Outlays in GDP'!D347, "0.00"),""), "")</f>
        <v/>
      </c>
      <c r="F341" t="str">
        <f>IFERROR(IF(ISNUMBER('Revenues &amp; Outlays in GDP'!B347), 'Revenues &amp; Outlays in GDP'!J347, ""), "")</f>
        <v/>
      </c>
    </row>
    <row r="342" spans="1:6">
      <c r="A342" t="str">
        <f>TEXT(IF('Revenues &amp; Outlays in GDP'!B348&lt;&gt;0,'Revenues &amp; Outlays in GDP'!B348, ""), "mm/dd/yyyy")</f>
        <v/>
      </c>
      <c r="B342" t="str">
        <f>IFERROR(IF(ISNUMBER('Revenues &amp; Outlays in GDP'!G348),TEXT('Revenues &amp; Outlays in GDP'!G348, "0.00"),""), "")</f>
        <v/>
      </c>
      <c r="C342" t="str">
        <f>IFERROR(IF(ISNUMBER('Revenues &amp; Outlays in GDP'!C348),TEXT('Revenues &amp; Outlays in GDP'!C348, "0.00"),""), "")</f>
        <v/>
      </c>
      <c r="D342" t="str">
        <f>IFERROR(IF(ISNUMBER('Revenues &amp; Outlays in GDP'!H348),TEXT('Revenues &amp; Outlays in GDP'!H348, "0.00"),""), "")</f>
        <v/>
      </c>
      <c r="E342" t="str">
        <f>IFERROR(IF(ISNUMBER('Revenues &amp; Outlays in GDP'!D348),TEXT('Revenues &amp; Outlays in GDP'!D348, "0.00"),""), "")</f>
        <v/>
      </c>
      <c r="F342" t="str">
        <f>IFERROR(IF(ISNUMBER('Revenues &amp; Outlays in GDP'!B348), 'Revenues &amp; Outlays in GDP'!J348, ""), "")</f>
        <v/>
      </c>
    </row>
    <row r="343" spans="1:6">
      <c r="A343" t="str">
        <f>TEXT(IF('Revenues &amp; Outlays in GDP'!B349&lt;&gt;0,'Revenues &amp; Outlays in GDP'!B349, ""), "mm/dd/yyyy")</f>
        <v/>
      </c>
      <c r="B343" t="str">
        <f>IFERROR(IF(ISNUMBER('Revenues &amp; Outlays in GDP'!G349),TEXT('Revenues &amp; Outlays in GDP'!G349, "0.00"),""), "")</f>
        <v/>
      </c>
      <c r="C343" t="str">
        <f>IFERROR(IF(ISNUMBER('Revenues &amp; Outlays in GDP'!C349),TEXT('Revenues &amp; Outlays in GDP'!C349, "0.00"),""), "")</f>
        <v/>
      </c>
      <c r="D343" t="str">
        <f>IFERROR(IF(ISNUMBER('Revenues &amp; Outlays in GDP'!H349),TEXT('Revenues &amp; Outlays in GDP'!H349, "0.00"),""), "")</f>
        <v/>
      </c>
      <c r="E343" t="str">
        <f>IFERROR(IF(ISNUMBER('Revenues &amp; Outlays in GDP'!D349),TEXT('Revenues &amp; Outlays in GDP'!D349, "0.00"),""), "")</f>
        <v/>
      </c>
      <c r="F343" t="str">
        <f>IFERROR(IF(ISNUMBER('Revenues &amp; Outlays in GDP'!B349), 'Revenues &amp; Outlays in GDP'!J349, ""), "")</f>
        <v/>
      </c>
    </row>
    <row r="344" spans="1:6">
      <c r="A344" t="str">
        <f>TEXT(IF('Revenues &amp; Outlays in GDP'!B350&lt;&gt;0,'Revenues &amp; Outlays in GDP'!B350, ""), "mm/dd/yyyy")</f>
        <v/>
      </c>
      <c r="B344" t="str">
        <f>IFERROR(IF(ISNUMBER('Revenues &amp; Outlays in GDP'!G350),TEXT('Revenues &amp; Outlays in GDP'!G350, "0.00"),""), "")</f>
        <v/>
      </c>
      <c r="C344" t="str">
        <f>IFERROR(IF(ISNUMBER('Revenues &amp; Outlays in GDP'!C350),TEXT('Revenues &amp; Outlays in GDP'!C350, "0.00"),""), "")</f>
        <v/>
      </c>
      <c r="D344" t="str">
        <f>IFERROR(IF(ISNUMBER('Revenues &amp; Outlays in GDP'!H350),TEXT('Revenues &amp; Outlays in GDP'!H350, "0.00"),""), "")</f>
        <v/>
      </c>
      <c r="E344" t="str">
        <f>IFERROR(IF(ISNUMBER('Revenues &amp; Outlays in GDP'!D350),TEXT('Revenues &amp; Outlays in GDP'!D350, "0.00"),""), "")</f>
        <v/>
      </c>
      <c r="F344" t="str">
        <f>IFERROR(IF(ISNUMBER('Revenues &amp; Outlays in GDP'!B350), 'Revenues &amp; Outlays in GDP'!J350, ""), "")</f>
        <v/>
      </c>
    </row>
    <row r="345" spans="1:6">
      <c r="A345" t="str">
        <f>TEXT(IF('Revenues &amp; Outlays in GDP'!B351&lt;&gt;0,'Revenues &amp; Outlays in GDP'!B351, ""), "mm/dd/yyyy")</f>
        <v/>
      </c>
      <c r="B345" t="str">
        <f>IFERROR(IF(ISNUMBER('Revenues &amp; Outlays in GDP'!G351),TEXT('Revenues &amp; Outlays in GDP'!G351, "0.00"),""), "")</f>
        <v/>
      </c>
      <c r="C345" t="str">
        <f>IFERROR(IF(ISNUMBER('Revenues &amp; Outlays in GDP'!C351),TEXT('Revenues &amp; Outlays in GDP'!C351, "0.00"),""), "")</f>
        <v/>
      </c>
      <c r="D345" t="str">
        <f>IFERROR(IF(ISNUMBER('Revenues &amp; Outlays in GDP'!H351),TEXT('Revenues &amp; Outlays in GDP'!H351, "0.00"),""), "")</f>
        <v/>
      </c>
      <c r="E345" t="str">
        <f>IFERROR(IF(ISNUMBER('Revenues &amp; Outlays in GDP'!D351),TEXT('Revenues &amp; Outlays in GDP'!D351, "0.00"),""), "")</f>
        <v/>
      </c>
      <c r="F345" t="str">
        <f>IFERROR(IF(ISNUMBER('Revenues &amp; Outlays in GDP'!B351), 'Revenues &amp; Outlays in GDP'!J351, ""), "")</f>
        <v/>
      </c>
    </row>
    <row r="346" spans="1:6">
      <c r="A346" t="str">
        <f>TEXT(IF('Revenues &amp; Outlays in GDP'!B352&lt;&gt;0,'Revenues &amp; Outlays in GDP'!B352, ""), "mm/dd/yyyy")</f>
        <v/>
      </c>
      <c r="B346" t="str">
        <f>IFERROR(IF(ISNUMBER('Revenues &amp; Outlays in GDP'!G352),TEXT('Revenues &amp; Outlays in GDP'!G352, "0.00"),""), "")</f>
        <v/>
      </c>
      <c r="C346" t="str">
        <f>IFERROR(IF(ISNUMBER('Revenues &amp; Outlays in GDP'!C352),TEXT('Revenues &amp; Outlays in GDP'!C352, "0.00"),""), "")</f>
        <v/>
      </c>
      <c r="D346" t="str">
        <f>IFERROR(IF(ISNUMBER('Revenues &amp; Outlays in GDP'!H352),TEXT('Revenues &amp; Outlays in GDP'!H352, "0.00"),""), "")</f>
        <v/>
      </c>
      <c r="E346" t="str">
        <f>IFERROR(IF(ISNUMBER('Revenues &amp; Outlays in GDP'!D352),TEXT('Revenues &amp; Outlays in GDP'!D352, "0.00"),""), "")</f>
        <v/>
      </c>
      <c r="F346" t="str">
        <f>IFERROR(IF(ISNUMBER('Revenues &amp; Outlays in GDP'!B352), 'Revenues &amp; Outlays in GDP'!J352, ""), "")</f>
        <v/>
      </c>
    </row>
    <row r="347" spans="1:6">
      <c r="A347" t="str">
        <f>TEXT(IF('Revenues &amp; Outlays in GDP'!B353&lt;&gt;0,'Revenues &amp; Outlays in GDP'!B353, ""), "mm/dd/yyyy")</f>
        <v/>
      </c>
      <c r="B347" t="str">
        <f>IFERROR(IF(ISNUMBER('Revenues &amp; Outlays in GDP'!G353),TEXT('Revenues &amp; Outlays in GDP'!G353, "0.00"),""), "")</f>
        <v/>
      </c>
      <c r="C347" t="str">
        <f>IFERROR(IF(ISNUMBER('Revenues &amp; Outlays in GDP'!C353),TEXT('Revenues &amp; Outlays in GDP'!C353, "0.00"),""), "")</f>
        <v/>
      </c>
      <c r="D347" t="str">
        <f>IFERROR(IF(ISNUMBER('Revenues &amp; Outlays in GDP'!H353),TEXT('Revenues &amp; Outlays in GDP'!H353, "0.00"),""), "")</f>
        <v/>
      </c>
      <c r="E347" t="str">
        <f>IFERROR(IF(ISNUMBER('Revenues &amp; Outlays in GDP'!D353),TEXT('Revenues &amp; Outlays in GDP'!D353, "0.00"),""), "")</f>
        <v/>
      </c>
      <c r="F347" t="str">
        <f>IFERROR(IF(ISNUMBER('Revenues &amp; Outlays in GDP'!B353), 'Revenues &amp; Outlays in GDP'!J353, ""), "")</f>
        <v/>
      </c>
    </row>
    <row r="348" spans="1:6">
      <c r="A348" t="str">
        <f>TEXT(IF('Revenues &amp; Outlays in GDP'!B354&lt;&gt;0,'Revenues &amp; Outlays in GDP'!B354, ""), "mm/dd/yyyy")</f>
        <v/>
      </c>
      <c r="B348" t="str">
        <f>IFERROR(IF(ISNUMBER('Revenues &amp; Outlays in GDP'!G354),TEXT('Revenues &amp; Outlays in GDP'!G354, "0.00"),""), "")</f>
        <v/>
      </c>
      <c r="C348" t="str">
        <f>IFERROR(IF(ISNUMBER('Revenues &amp; Outlays in GDP'!C354),TEXT('Revenues &amp; Outlays in GDP'!C354, "0.00"),""), "")</f>
        <v/>
      </c>
      <c r="D348" t="str">
        <f>IFERROR(IF(ISNUMBER('Revenues &amp; Outlays in GDP'!H354),TEXT('Revenues &amp; Outlays in GDP'!H354, "0.00"),""), "")</f>
        <v/>
      </c>
      <c r="E348" t="str">
        <f>IFERROR(IF(ISNUMBER('Revenues &amp; Outlays in GDP'!D354),TEXT('Revenues &amp; Outlays in GDP'!D354, "0.00"),""), "")</f>
        <v/>
      </c>
      <c r="F348" t="str">
        <f>IFERROR(IF(ISNUMBER('Revenues &amp; Outlays in GDP'!B354), 'Revenues &amp; Outlays in GDP'!J354, ""), "")</f>
        <v/>
      </c>
    </row>
    <row r="349" spans="1:6">
      <c r="A349" t="str">
        <f>TEXT(IF('Revenues &amp; Outlays in GDP'!B355&lt;&gt;0,'Revenues &amp; Outlays in GDP'!B355, ""), "mm/dd/yyyy")</f>
        <v/>
      </c>
      <c r="B349" t="str">
        <f>IFERROR(IF(ISNUMBER('Revenues &amp; Outlays in GDP'!G355),TEXT('Revenues &amp; Outlays in GDP'!G355, "0.00"),""), "")</f>
        <v/>
      </c>
      <c r="C349" t="str">
        <f>IFERROR(IF(ISNUMBER('Revenues &amp; Outlays in GDP'!C355),TEXT('Revenues &amp; Outlays in GDP'!C355, "0.00"),""), "")</f>
        <v/>
      </c>
      <c r="D349" t="str">
        <f>IFERROR(IF(ISNUMBER('Revenues &amp; Outlays in GDP'!H355),TEXT('Revenues &amp; Outlays in GDP'!H355, "0.00"),""), "")</f>
        <v/>
      </c>
      <c r="E349" t="str">
        <f>IFERROR(IF(ISNUMBER('Revenues &amp; Outlays in GDP'!D355),TEXT('Revenues &amp; Outlays in GDP'!D355, "0.00"),""), "")</f>
        <v/>
      </c>
      <c r="F349" t="str">
        <f>IFERROR(IF(ISNUMBER('Revenues &amp; Outlays in GDP'!B355), 'Revenues &amp; Outlays in GDP'!J355, ""), "")</f>
        <v/>
      </c>
    </row>
    <row r="350" spans="1:6">
      <c r="A350" t="str">
        <f>TEXT(IF('Revenues &amp; Outlays in GDP'!B356&lt;&gt;0,'Revenues &amp; Outlays in GDP'!B356, ""), "mm/dd/yyyy")</f>
        <v/>
      </c>
      <c r="B350" t="str">
        <f>IFERROR(IF(ISNUMBER('Revenues &amp; Outlays in GDP'!G356),TEXT('Revenues &amp; Outlays in GDP'!G356, "0.00"),""), "")</f>
        <v/>
      </c>
      <c r="C350" t="str">
        <f>IFERROR(IF(ISNUMBER('Revenues &amp; Outlays in GDP'!C356),TEXT('Revenues &amp; Outlays in GDP'!C356, "0.00"),""), "")</f>
        <v/>
      </c>
      <c r="D350" t="str">
        <f>IFERROR(IF(ISNUMBER('Revenues &amp; Outlays in GDP'!H356),TEXT('Revenues &amp; Outlays in GDP'!H356, "0.00"),""), "")</f>
        <v/>
      </c>
      <c r="E350" t="str">
        <f>IFERROR(IF(ISNUMBER('Revenues &amp; Outlays in GDP'!D356),TEXT('Revenues &amp; Outlays in GDP'!D356, "0.00"),""), "")</f>
        <v/>
      </c>
      <c r="F350" t="str">
        <f>IFERROR(IF(ISNUMBER('Revenues &amp; Outlays in GDP'!B356), 'Revenues &amp; Outlays in GDP'!J356, ""), "")</f>
        <v/>
      </c>
    </row>
    <row r="351" spans="1:6">
      <c r="A351" t="str">
        <f>TEXT(IF('Revenues &amp; Outlays in GDP'!B357&lt;&gt;0,'Revenues &amp; Outlays in GDP'!B357, ""), "mm/dd/yyyy")</f>
        <v/>
      </c>
      <c r="B351" t="str">
        <f>IFERROR(IF(ISNUMBER('Revenues &amp; Outlays in GDP'!G357),TEXT('Revenues &amp; Outlays in GDP'!G357, "0.00"),""), "")</f>
        <v/>
      </c>
      <c r="C351" t="str">
        <f>IFERROR(IF(ISNUMBER('Revenues &amp; Outlays in GDP'!C357),TEXT('Revenues &amp; Outlays in GDP'!C357, "0.00"),""), "")</f>
        <v/>
      </c>
      <c r="D351" t="str">
        <f>IFERROR(IF(ISNUMBER('Revenues &amp; Outlays in GDP'!H357),TEXT('Revenues &amp; Outlays in GDP'!H357, "0.00"),""), "")</f>
        <v/>
      </c>
      <c r="E351" t="str">
        <f>IFERROR(IF(ISNUMBER('Revenues &amp; Outlays in GDP'!D357),TEXT('Revenues &amp; Outlays in GDP'!D357, "0.00"),""), "")</f>
        <v/>
      </c>
      <c r="F351" t="str">
        <f>IFERROR(IF(ISNUMBER('Revenues &amp; Outlays in GDP'!B357), 'Revenues &amp; Outlays in GDP'!J357, ""), "")</f>
        <v/>
      </c>
    </row>
    <row r="352" spans="1:6">
      <c r="A352" t="str">
        <f>TEXT(IF('Revenues &amp; Outlays in GDP'!B358&lt;&gt;0,'Revenues &amp; Outlays in GDP'!B358, ""), "mm/dd/yyyy")</f>
        <v/>
      </c>
      <c r="B352" t="str">
        <f>IFERROR(IF(ISNUMBER('Revenues &amp; Outlays in GDP'!G358),TEXT('Revenues &amp; Outlays in GDP'!G358, "0.00"),""), "")</f>
        <v/>
      </c>
      <c r="C352" t="str">
        <f>IFERROR(IF(ISNUMBER('Revenues &amp; Outlays in GDP'!C358),TEXT('Revenues &amp; Outlays in GDP'!C358, "0.00"),""), "")</f>
        <v/>
      </c>
      <c r="D352" t="str">
        <f>IFERROR(IF(ISNUMBER('Revenues &amp; Outlays in GDP'!H358),TEXT('Revenues &amp; Outlays in GDP'!H358, "0.00"),""), "")</f>
        <v/>
      </c>
      <c r="E352" t="str">
        <f>IFERROR(IF(ISNUMBER('Revenues &amp; Outlays in GDP'!D358),TEXT('Revenues &amp; Outlays in GDP'!D358, "0.00"),""), "")</f>
        <v/>
      </c>
      <c r="F352" t="str">
        <f>IFERROR(IF(ISNUMBER('Revenues &amp; Outlays in GDP'!B358), 'Revenues &amp; Outlays in GDP'!J358, ""), "")</f>
        <v/>
      </c>
    </row>
    <row r="353" spans="1:6">
      <c r="A353" t="str">
        <f>TEXT(IF('Revenues &amp; Outlays in GDP'!B359&lt;&gt;0,'Revenues &amp; Outlays in GDP'!B359, ""), "mm/dd/yyyy")</f>
        <v/>
      </c>
      <c r="B353" t="str">
        <f>IFERROR(IF(ISNUMBER('Revenues &amp; Outlays in GDP'!G359),TEXT('Revenues &amp; Outlays in GDP'!G359, "0.00"),""), "")</f>
        <v/>
      </c>
      <c r="C353" t="str">
        <f>IFERROR(IF(ISNUMBER('Revenues &amp; Outlays in GDP'!C359),TEXT('Revenues &amp; Outlays in GDP'!C359, "0.00"),""), "")</f>
        <v/>
      </c>
      <c r="D353" t="str">
        <f>IFERROR(IF(ISNUMBER('Revenues &amp; Outlays in GDP'!H359),TEXT('Revenues &amp; Outlays in GDP'!H359, "0.00"),""), "")</f>
        <v/>
      </c>
      <c r="E353" t="str">
        <f>IFERROR(IF(ISNUMBER('Revenues &amp; Outlays in GDP'!D359),TEXT('Revenues &amp; Outlays in GDP'!D359, "0.00"),""), "")</f>
        <v/>
      </c>
      <c r="F353" t="str">
        <f>IFERROR(IF(ISNUMBER('Revenues &amp; Outlays in GDP'!B359), 'Revenues &amp; Outlays in GDP'!J359, ""), "")</f>
        <v/>
      </c>
    </row>
    <row r="354" spans="1:6">
      <c r="A354" t="str">
        <f>TEXT(IF('Revenues &amp; Outlays in GDP'!B360&lt;&gt;0,'Revenues &amp; Outlays in GDP'!B360, ""), "mm/dd/yyyy")</f>
        <v/>
      </c>
      <c r="B354" t="str">
        <f>IFERROR(IF(ISNUMBER('Revenues &amp; Outlays in GDP'!G360),TEXT('Revenues &amp; Outlays in GDP'!G360, "0.00"),""), "")</f>
        <v/>
      </c>
      <c r="C354" t="str">
        <f>IFERROR(IF(ISNUMBER('Revenues &amp; Outlays in GDP'!C360),TEXT('Revenues &amp; Outlays in GDP'!C360, "0.00"),""), "")</f>
        <v/>
      </c>
      <c r="D354" t="str">
        <f>IFERROR(IF(ISNUMBER('Revenues &amp; Outlays in GDP'!H360),TEXT('Revenues &amp; Outlays in GDP'!H360, "0.00"),""), "")</f>
        <v/>
      </c>
      <c r="E354" t="str">
        <f>IFERROR(IF(ISNUMBER('Revenues &amp; Outlays in GDP'!D360),TEXT('Revenues &amp; Outlays in GDP'!D360, "0.00"),""), "")</f>
        <v/>
      </c>
      <c r="F354" t="str">
        <f>IFERROR(IF(ISNUMBER('Revenues &amp; Outlays in GDP'!B360), 'Revenues &amp; Outlays in GDP'!J360, ""), "")</f>
        <v/>
      </c>
    </row>
    <row r="355" spans="1:6">
      <c r="A355" t="str">
        <f>TEXT(IF('Revenues &amp; Outlays in GDP'!B361&lt;&gt;0,'Revenues &amp; Outlays in GDP'!B361, ""), "mm/dd/yyyy")</f>
        <v/>
      </c>
      <c r="B355" t="str">
        <f>IFERROR(IF(ISNUMBER('Revenues &amp; Outlays in GDP'!G361),TEXT('Revenues &amp; Outlays in GDP'!G361, "0.00"),""), "")</f>
        <v/>
      </c>
      <c r="C355" t="str">
        <f>IFERROR(IF(ISNUMBER('Revenues &amp; Outlays in GDP'!C361),TEXT('Revenues &amp; Outlays in GDP'!C361, "0.00"),""), "")</f>
        <v/>
      </c>
      <c r="D355" t="str">
        <f>IFERROR(IF(ISNUMBER('Revenues &amp; Outlays in GDP'!H361),TEXT('Revenues &amp; Outlays in GDP'!H361, "0.00"),""), "")</f>
        <v/>
      </c>
      <c r="E355" t="str">
        <f>IFERROR(IF(ISNUMBER('Revenues &amp; Outlays in GDP'!D361),TEXT('Revenues &amp; Outlays in GDP'!D361, "0.00"),""), "")</f>
        <v/>
      </c>
      <c r="F355" t="str">
        <f>IFERROR(IF(ISNUMBER('Revenues &amp; Outlays in GDP'!B361), 'Revenues &amp; Outlays in GDP'!J361, ""), "")</f>
        <v/>
      </c>
    </row>
    <row r="356" spans="1:6">
      <c r="A356" t="str">
        <f>TEXT(IF('Revenues &amp; Outlays in GDP'!B362&lt;&gt;0,'Revenues &amp; Outlays in GDP'!B362, ""), "mm/dd/yyyy")</f>
        <v/>
      </c>
      <c r="B356" t="str">
        <f>IFERROR(IF(ISNUMBER('Revenues &amp; Outlays in GDP'!G362),TEXT('Revenues &amp; Outlays in GDP'!G362, "0.00"),""), "")</f>
        <v/>
      </c>
      <c r="C356" t="str">
        <f>IFERROR(IF(ISNUMBER('Revenues &amp; Outlays in GDP'!C362),TEXT('Revenues &amp; Outlays in GDP'!C362, "0.00"),""), "")</f>
        <v/>
      </c>
      <c r="D356" t="str">
        <f>IFERROR(IF(ISNUMBER('Revenues &amp; Outlays in GDP'!H362),TEXT('Revenues &amp; Outlays in GDP'!H362, "0.00"),""), "")</f>
        <v/>
      </c>
      <c r="E356" t="str">
        <f>IFERROR(IF(ISNUMBER('Revenues &amp; Outlays in GDP'!D362),TEXT('Revenues &amp; Outlays in GDP'!D362, "0.00"),""), "")</f>
        <v/>
      </c>
      <c r="F356" t="str">
        <f>IFERROR(IF(ISNUMBER('Revenues &amp; Outlays in GDP'!B362), 'Revenues &amp; Outlays in GDP'!J362, ""), "")</f>
        <v/>
      </c>
    </row>
    <row r="357" spans="1:6">
      <c r="A357" t="str">
        <f>TEXT(IF('Revenues &amp; Outlays in GDP'!B363&lt;&gt;0,'Revenues &amp; Outlays in GDP'!B363, ""), "mm/dd/yyyy")</f>
        <v/>
      </c>
      <c r="B357" t="str">
        <f>IFERROR(IF(ISNUMBER('Revenues &amp; Outlays in GDP'!G363),TEXT('Revenues &amp; Outlays in GDP'!G363, "0.00"),""), "")</f>
        <v/>
      </c>
      <c r="C357" t="str">
        <f>IFERROR(IF(ISNUMBER('Revenues &amp; Outlays in GDP'!C363),TEXT('Revenues &amp; Outlays in GDP'!C363, "0.00"),""), "")</f>
        <v/>
      </c>
      <c r="D357" t="str">
        <f>IFERROR(IF(ISNUMBER('Revenues &amp; Outlays in GDP'!H363),TEXT('Revenues &amp; Outlays in GDP'!H363, "0.00"),""), "")</f>
        <v/>
      </c>
      <c r="E357" t="str">
        <f>IFERROR(IF(ISNUMBER('Revenues &amp; Outlays in GDP'!D363),TEXT('Revenues &amp; Outlays in GDP'!D363, "0.00"),""), "")</f>
        <v/>
      </c>
      <c r="F357" t="str">
        <f>IFERROR(IF(ISNUMBER('Revenues &amp; Outlays in GDP'!B363), 'Revenues &amp; Outlays in GDP'!J363, ""), "")</f>
        <v/>
      </c>
    </row>
    <row r="358" spans="1:6">
      <c r="A358" t="str">
        <f>TEXT(IF('Revenues &amp; Outlays in GDP'!B364&lt;&gt;0,'Revenues &amp; Outlays in GDP'!B364, ""), "mm/dd/yyyy")</f>
        <v/>
      </c>
      <c r="B358" t="str">
        <f>IFERROR(IF(ISNUMBER('Revenues &amp; Outlays in GDP'!G364),TEXT('Revenues &amp; Outlays in GDP'!G364, "0.00"),""), "")</f>
        <v/>
      </c>
      <c r="C358" t="str">
        <f>IFERROR(IF(ISNUMBER('Revenues &amp; Outlays in GDP'!C364),TEXT('Revenues &amp; Outlays in GDP'!C364, "0.00"),""), "")</f>
        <v/>
      </c>
      <c r="D358" t="str">
        <f>IFERROR(IF(ISNUMBER('Revenues &amp; Outlays in GDP'!H364),TEXT('Revenues &amp; Outlays in GDP'!H364, "0.00"),""), "")</f>
        <v/>
      </c>
      <c r="E358" t="str">
        <f>IFERROR(IF(ISNUMBER('Revenues &amp; Outlays in GDP'!D364),TEXT('Revenues &amp; Outlays in GDP'!D364, "0.00"),""), "")</f>
        <v/>
      </c>
      <c r="F358" t="str">
        <f>IFERROR(IF(ISNUMBER('Revenues &amp; Outlays in GDP'!B364), 'Revenues &amp; Outlays in GDP'!J364, ""), "")</f>
        <v/>
      </c>
    </row>
    <row r="359" spans="1:6">
      <c r="A359" t="str">
        <f>TEXT(IF('Revenues &amp; Outlays in GDP'!B365&lt;&gt;0,'Revenues &amp; Outlays in GDP'!B365, ""), "mm/dd/yyyy")</f>
        <v/>
      </c>
      <c r="B359" t="str">
        <f>IFERROR(IF(ISNUMBER('Revenues &amp; Outlays in GDP'!G365),TEXT('Revenues &amp; Outlays in GDP'!G365, "0.00"),""), "")</f>
        <v/>
      </c>
      <c r="C359" t="str">
        <f>IFERROR(IF(ISNUMBER('Revenues &amp; Outlays in GDP'!C365),TEXT('Revenues &amp; Outlays in GDP'!C365, "0.00"),""), "")</f>
        <v/>
      </c>
      <c r="D359" t="str">
        <f>IFERROR(IF(ISNUMBER('Revenues &amp; Outlays in GDP'!H365),TEXT('Revenues &amp; Outlays in GDP'!H365, "0.00"),""), "")</f>
        <v/>
      </c>
      <c r="E359" t="str">
        <f>IFERROR(IF(ISNUMBER('Revenues &amp; Outlays in GDP'!D365),TEXT('Revenues &amp; Outlays in GDP'!D365, "0.00"),""), "")</f>
        <v/>
      </c>
      <c r="F359" t="str">
        <f>IFERROR(IF(ISNUMBER('Revenues &amp; Outlays in GDP'!B365), 'Revenues &amp; Outlays in GDP'!J365, ""), "")</f>
        <v/>
      </c>
    </row>
    <row r="360" spans="1:6">
      <c r="A360" t="str">
        <f>TEXT(IF('Revenues &amp; Outlays in GDP'!B366&lt;&gt;0,'Revenues &amp; Outlays in GDP'!B366, ""), "mm/dd/yyyy")</f>
        <v/>
      </c>
      <c r="B360" t="str">
        <f>IFERROR(IF(ISNUMBER('Revenues &amp; Outlays in GDP'!G366),TEXT('Revenues &amp; Outlays in GDP'!G366, "0.00"),""), "")</f>
        <v/>
      </c>
      <c r="C360" t="str">
        <f>IFERROR(IF(ISNUMBER('Revenues &amp; Outlays in GDP'!C366),TEXT('Revenues &amp; Outlays in GDP'!C366, "0.00"),""), "")</f>
        <v/>
      </c>
      <c r="D360" t="str">
        <f>IFERROR(IF(ISNUMBER('Revenues &amp; Outlays in GDP'!H366),TEXT('Revenues &amp; Outlays in GDP'!H366, "0.00"),""), "")</f>
        <v/>
      </c>
      <c r="E360" t="str">
        <f>IFERROR(IF(ISNUMBER('Revenues &amp; Outlays in GDP'!D366),TEXT('Revenues &amp; Outlays in GDP'!D366, "0.00"),""), "")</f>
        <v/>
      </c>
      <c r="F360" t="str">
        <f>IFERROR(IF(ISNUMBER('Revenues &amp; Outlays in GDP'!B366), 'Revenues &amp; Outlays in GDP'!J366, ""), "")</f>
        <v/>
      </c>
    </row>
    <row r="361" spans="1:6">
      <c r="A361" t="str">
        <f>TEXT(IF('Revenues &amp; Outlays in GDP'!B367&lt;&gt;0,'Revenues &amp; Outlays in GDP'!B367, ""), "mm/dd/yyyy")</f>
        <v/>
      </c>
      <c r="B361" t="str">
        <f>IFERROR(IF(ISNUMBER('Revenues &amp; Outlays in GDP'!G367),TEXT('Revenues &amp; Outlays in GDP'!G367, "0.00"),""), "")</f>
        <v/>
      </c>
      <c r="C361" t="str">
        <f>IFERROR(IF(ISNUMBER('Revenues &amp; Outlays in GDP'!C367),TEXT('Revenues &amp; Outlays in GDP'!C367, "0.00"),""), "")</f>
        <v/>
      </c>
      <c r="D361" t="str">
        <f>IFERROR(IF(ISNUMBER('Revenues &amp; Outlays in GDP'!H367),TEXT('Revenues &amp; Outlays in GDP'!H367, "0.00"),""), "")</f>
        <v/>
      </c>
      <c r="E361" t="str">
        <f>IFERROR(IF(ISNUMBER('Revenues &amp; Outlays in GDP'!D367),TEXT('Revenues &amp; Outlays in GDP'!D367, "0.00"),""), "")</f>
        <v/>
      </c>
      <c r="F361" t="str">
        <f>IFERROR(IF(ISNUMBER('Revenues &amp; Outlays in GDP'!B367), 'Revenues &amp; Outlays in GDP'!J367, ""), "")</f>
        <v/>
      </c>
    </row>
    <row r="362" spans="1:6">
      <c r="A362" t="str">
        <f>TEXT(IF('Revenues &amp; Outlays in GDP'!B368&lt;&gt;0,'Revenues &amp; Outlays in GDP'!B368, ""), "mm/dd/yyyy")</f>
        <v/>
      </c>
      <c r="B362" t="str">
        <f>IFERROR(IF(ISNUMBER('Revenues &amp; Outlays in GDP'!G368),TEXT('Revenues &amp; Outlays in GDP'!G368, "0.00"),""), "")</f>
        <v/>
      </c>
      <c r="C362" t="str">
        <f>IFERROR(IF(ISNUMBER('Revenues &amp; Outlays in GDP'!C368),TEXT('Revenues &amp; Outlays in GDP'!C368, "0.00"),""), "")</f>
        <v/>
      </c>
      <c r="D362" t="str">
        <f>IFERROR(IF(ISNUMBER('Revenues &amp; Outlays in GDP'!H368),TEXT('Revenues &amp; Outlays in GDP'!H368, "0.00"),""), "")</f>
        <v/>
      </c>
      <c r="E362" t="str">
        <f>IFERROR(IF(ISNUMBER('Revenues &amp; Outlays in GDP'!D368),TEXT('Revenues &amp; Outlays in GDP'!D368, "0.00"),""), "")</f>
        <v/>
      </c>
      <c r="F362" t="str">
        <f>IFERROR(IF(ISNUMBER('Revenues &amp; Outlays in GDP'!B368), 'Revenues &amp; Outlays in GDP'!J368, ""), "")</f>
        <v/>
      </c>
    </row>
    <row r="363" spans="1:6">
      <c r="A363" t="str">
        <f>TEXT(IF('Revenues &amp; Outlays in GDP'!B369&lt;&gt;0,'Revenues &amp; Outlays in GDP'!B369, ""), "mm/dd/yyyy")</f>
        <v/>
      </c>
      <c r="B363" t="str">
        <f>IFERROR(IF(ISNUMBER('Revenues &amp; Outlays in GDP'!G369),TEXT('Revenues &amp; Outlays in GDP'!G369, "0.00"),""), "")</f>
        <v/>
      </c>
      <c r="C363" t="str">
        <f>IFERROR(IF(ISNUMBER('Revenues &amp; Outlays in GDP'!C369),TEXT('Revenues &amp; Outlays in GDP'!C369, "0.00"),""), "")</f>
        <v/>
      </c>
      <c r="D363" t="str">
        <f>IFERROR(IF(ISNUMBER('Revenues &amp; Outlays in GDP'!H369),TEXT('Revenues &amp; Outlays in GDP'!H369, "0.00"),""), "")</f>
        <v/>
      </c>
      <c r="E363" t="str">
        <f>IFERROR(IF(ISNUMBER('Revenues &amp; Outlays in GDP'!D369),TEXT('Revenues &amp; Outlays in GDP'!D369, "0.00"),""), "")</f>
        <v/>
      </c>
      <c r="F363" t="str">
        <f>IFERROR(IF(ISNUMBER('Revenues &amp; Outlays in GDP'!B369), 'Revenues &amp; Outlays in GDP'!J369, ""), "")</f>
        <v/>
      </c>
    </row>
    <row r="364" spans="1:6">
      <c r="A364" t="str">
        <f>TEXT(IF('Revenues &amp; Outlays in GDP'!B370&lt;&gt;0,'Revenues &amp; Outlays in GDP'!B370, ""), "mm/dd/yyyy")</f>
        <v/>
      </c>
      <c r="B364" t="str">
        <f>IFERROR(IF(ISNUMBER('Revenues &amp; Outlays in GDP'!G370),TEXT('Revenues &amp; Outlays in GDP'!G370, "0.00"),""), "")</f>
        <v/>
      </c>
      <c r="C364" t="str">
        <f>IFERROR(IF(ISNUMBER('Revenues &amp; Outlays in GDP'!C370),TEXT('Revenues &amp; Outlays in GDP'!C370, "0.00"),""), "")</f>
        <v/>
      </c>
      <c r="D364" t="str">
        <f>IFERROR(IF(ISNUMBER('Revenues &amp; Outlays in GDP'!H370),TEXT('Revenues &amp; Outlays in GDP'!H370, "0.00"),""), "")</f>
        <v/>
      </c>
      <c r="E364" t="str">
        <f>IFERROR(IF(ISNUMBER('Revenues &amp; Outlays in GDP'!D370),TEXT('Revenues &amp; Outlays in GDP'!D370, "0.00"),""), "")</f>
        <v/>
      </c>
      <c r="F364" t="str">
        <f>IFERROR(IF(ISNUMBER('Revenues &amp; Outlays in GDP'!B370), 'Revenues &amp; Outlays in GDP'!J370, ""), "")</f>
        <v/>
      </c>
    </row>
    <row r="365" spans="1:6">
      <c r="A365" t="str">
        <f>TEXT(IF('Revenues &amp; Outlays in GDP'!B371&lt;&gt;0,'Revenues &amp; Outlays in GDP'!B371, ""), "mm/dd/yyyy")</f>
        <v/>
      </c>
      <c r="B365" t="str">
        <f>IFERROR(IF(ISNUMBER('Revenues &amp; Outlays in GDP'!G371),TEXT('Revenues &amp; Outlays in GDP'!G371, "0.00"),""), "")</f>
        <v/>
      </c>
      <c r="C365" t="str">
        <f>IFERROR(IF(ISNUMBER('Revenues &amp; Outlays in GDP'!C371),TEXT('Revenues &amp; Outlays in GDP'!C371, "0.00"),""), "")</f>
        <v/>
      </c>
      <c r="D365" t="str">
        <f>IFERROR(IF(ISNUMBER('Revenues &amp; Outlays in GDP'!H371),TEXT('Revenues &amp; Outlays in GDP'!H371, "0.00"),""), "")</f>
        <v/>
      </c>
      <c r="E365" t="str">
        <f>IFERROR(IF(ISNUMBER('Revenues &amp; Outlays in GDP'!D371),TEXT('Revenues &amp; Outlays in GDP'!D371, "0.00"),""), "")</f>
        <v/>
      </c>
      <c r="F365" t="str">
        <f>IFERROR(IF(ISNUMBER('Revenues &amp; Outlays in GDP'!B371), 'Revenues &amp; Outlays in GDP'!J371, ""), "")</f>
        <v/>
      </c>
    </row>
    <row r="366" spans="1:6">
      <c r="A366" t="str">
        <f>TEXT(IF('Revenues &amp; Outlays in GDP'!B372&lt;&gt;0,'Revenues &amp; Outlays in GDP'!B372, ""), "mm/dd/yyyy")</f>
        <v/>
      </c>
      <c r="B366" t="str">
        <f>IFERROR(IF(ISNUMBER('Revenues &amp; Outlays in GDP'!G372),TEXT('Revenues &amp; Outlays in GDP'!G372, "0.00"),""), "")</f>
        <v/>
      </c>
      <c r="C366" t="str">
        <f>IFERROR(IF(ISNUMBER('Revenues &amp; Outlays in GDP'!C372),TEXT('Revenues &amp; Outlays in GDP'!C372, "0.00"),""), "")</f>
        <v/>
      </c>
      <c r="D366" t="str">
        <f>IFERROR(IF(ISNUMBER('Revenues &amp; Outlays in GDP'!H372),TEXT('Revenues &amp; Outlays in GDP'!H372, "0.00"),""), "")</f>
        <v/>
      </c>
      <c r="E366" t="str">
        <f>IFERROR(IF(ISNUMBER('Revenues &amp; Outlays in GDP'!D372),TEXT('Revenues &amp; Outlays in GDP'!D372, "0.00"),""), "")</f>
        <v/>
      </c>
      <c r="F366" t="str">
        <f>IFERROR(IF(ISNUMBER('Revenues &amp; Outlays in GDP'!B372), 'Revenues &amp; Outlays in GDP'!J372, ""), "")</f>
        <v/>
      </c>
    </row>
    <row r="367" spans="1:6">
      <c r="A367" t="str">
        <f>TEXT(IF('Revenues &amp; Outlays in GDP'!B373&lt;&gt;0,'Revenues &amp; Outlays in GDP'!B373, ""), "mm/dd/yyyy")</f>
        <v/>
      </c>
      <c r="B367" t="str">
        <f>IFERROR(IF(ISNUMBER('Revenues &amp; Outlays in GDP'!G373),TEXT('Revenues &amp; Outlays in GDP'!G373, "0.00"),""), "")</f>
        <v/>
      </c>
      <c r="C367" t="str">
        <f>IFERROR(IF(ISNUMBER('Revenues &amp; Outlays in GDP'!C373),TEXT('Revenues &amp; Outlays in GDP'!C373, "0.00"),""), "")</f>
        <v/>
      </c>
      <c r="D367" t="str">
        <f>IFERROR(IF(ISNUMBER('Revenues &amp; Outlays in GDP'!H373),TEXT('Revenues &amp; Outlays in GDP'!H373, "0.00"),""), "")</f>
        <v/>
      </c>
      <c r="E367" t="str">
        <f>IFERROR(IF(ISNUMBER('Revenues &amp; Outlays in GDP'!D373),TEXT('Revenues &amp; Outlays in GDP'!D373, "0.00"),""), "")</f>
        <v/>
      </c>
      <c r="F367" t="str">
        <f>IFERROR(IF(ISNUMBER('Revenues &amp; Outlays in GDP'!B373), 'Revenues &amp; Outlays in GDP'!J373, ""), "")</f>
        <v/>
      </c>
    </row>
    <row r="368" spans="1:6">
      <c r="A368" t="str">
        <f>TEXT(IF('Revenues &amp; Outlays in GDP'!B374&lt;&gt;0,'Revenues &amp; Outlays in GDP'!B374, ""), "mm/dd/yyyy")</f>
        <v/>
      </c>
      <c r="B368" t="str">
        <f>IFERROR(IF(ISNUMBER('Revenues &amp; Outlays in GDP'!G374),TEXT('Revenues &amp; Outlays in GDP'!G374, "0.00"),""), "")</f>
        <v/>
      </c>
      <c r="C368" t="str">
        <f>IFERROR(IF(ISNUMBER('Revenues &amp; Outlays in GDP'!C374),TEXT('Revenues &amp; Outlays in GDP'!C374, "0.00"),""), "")</f>
        <v/>
      </c>
      <c r="D368" t="str">
        <f>IFERROR(IF(ISNUMBER('Revenues &amp; Outlays in GDP'!H374),TEXT('Revenues &amp; Outlays in GDP'!H374, "0.00"),""), "")</f>
        <v/>
      </c>
      <c r="E368" t="str">
        <f>IFERROR(IF(ISNUMBER('Revenues &amp; Outlays in GDP'!D374),TEXT('Revenues &amp; Outlays in GDP'!D374, "0.00"),""), "")</f>
        <v/>
      </c>
      <c r="F368" t="str">
        <f>IFERROR(IF(ISNUMBER('Revenues &amp; Outlays in GDP'!B374), 'Revenues &amp; Outlays in GDP'!J374, ""), "")</f>
        <v/>
      </c>
    </row>
    <row r="369" spans="1:6">
      <c r="A369" t="str">
        <f>TEXT(IF('Revenues &amp; Outlays in GDP'!B375&lt;&gt;0,'Revenues &amp; Outlays in GDP'!B375, ""), "mm/dd/yyyy")</f>
        <v/>
      </c>
      <c r="B369" t="str">
        <f>IFERROR(IF(ISNUMBER('Revenues &amp; Outlays in GDP'!G375),TEXT('Revenues &amp; Outlays in GDP'!G375, "0.00"),""), "")</f>
        <v/>
      </c>
      <c r="C369" t="str">
        <f>IFERROR(IF(ISNUMBER('Revenues &amp; Outlays in GDP'!C375),TEXT('Revenues &amp; Outlays in GDP'!C375, "0.00"),""), "")</f>
        <v/>
      </c>
      <c r="D369" t="str">
        <f>IFERROR(IF(ISNUMBER('Revenues &amp; Outlays in GDP'!H375),TEXT('Revenues &amp; Outlays in GDP'!H375, "0.00"),""), "")</f>
        <v/>
      </c>
      <c r="E369" t="str">
        <f>IFERROR(IF(ISNUMBER('Revenues &amp; Outlays in GDP'!D375),TEXT('Revenues &amp; Outlays in GDP'!D375, "0.00"),""), "")</f>
        <v/>
      </c>
      <c r="F369" t="str">
        <f>IFERROR(IF(ISNUMBER('Revenues &amp; Outlays in GDP'!B375), 'Revenues &amp; Outlays in GDP'!J375, ""), "")</f>
        <v/>
      </c>
    </row>
    <row r="370" spans="1:6">
      <c r="A370" t="str">
        <f>TEXT(IF('Revenues &amp; Outlays in GDP'!B376&lt;&gt;0,'Revenues &amp; Outlays in GDP'!B376, ""), "mm/dd/yyyy")</f>
        <v/>
      </c>
      <c r="B370" t="str">
        <f>IFERROR(IF(ISNUMBER('Revenues &amp; Outlays in GDP'!G376),TEXT('Revenues &amp; Outlays in GDP'!G376, "0.00"),""), "")</f>
        <v/>
      </c>
      <c r="C370" t="str">
        <f>IFERROR(IF(ISNUMBER('Revenues &amp; Outlays in GDP'!C376),TEXT('Revenues &amp; Outlays in GDP'!C376, "0.00"),""), "")</f>
        <v/>
      </c>
      <c r="D370" t="str">
        <f>IFERROR(IF(ISNUMBER('Revenues &amp; Outlays in GDP'!H376),TEXT('Revenues &amp; Outlays in GDP'!H376, "0.00"),""), "")</f>
        <v/>
      </c>
      <c r="E370" t="str">
        <f>IFERROR(IF(ISNUMBER('Revenues &amp; Outlays in GDP'!D376),TEXT('Revenues &amp; Outlays in GDP'!D376, "0.00"),""), "")</f>
        <v/>
      </c>
      <c r="F370" t="str">
        <f>IFERROR(IF(ISNUMBER('Revenues &amp; Outlays in GDP'!B376), 'Revenues &amp; Outlays in GDP'!J376, ""), "")</f>
        <v/>
      </c>
    </row>
    <row r="371" spans="1:6">
      <c r="A371" t="str">
        <f>TEXT(IF('Revenues &amp; Outlays in GDP'!B377&lt;&gt;0,'Revenues &amp; Outlays in GDP'!B377, ""), "mm/dd/yyyy")</f>
        <v/>
      </c>
      <c r="B371" t="str">
        <f>IFERROR(IF(ISNUMBER('Revenues &amp; Outlays in GDP'!G377),TEXT('Revenues &amp; Outlays in GDP'!G377, "0.00"),""), "")</f>
        <v/>
      </c>
      <c r="C371" t="str">
        <f>IFERROR(IF(ISNUMBER('Revenues &amp; Outlays in GDP'!C377),TEXT('Revenues &amp; Outlays in GDP'!C377, "0.00"),""), "")</f>
        <v/>
      </c>
      <c r="D371" t="str">
        <f>IFERROR(IF(ISNUMBER('Revenues &amp; Outlays in GDP'!H377),TEXT('Revenues &amp; Outlays in GDP'!H377, "0.00"),""), "")</f>
        <v/>
      </c>
      <c r="E371" t="str">
        <f>IFERROR(IF(ISNUMBER('Revenues &amp; Outlays in GDP'!D377),TEXT('Revenues &amp; Outlays in GDP'!D377, "0.00"),""), "")</f>
        <v/>
      </c>
      <c r="F371" t="str">
        <f>IFERROR(IF(ISNUMBER('Revenues &amp; Outlays in GDP'!B377), 'Revenues &amp; Outlays in GDP'!J377, ""), "")</f>
        <v/>
      </c>
    </row>
    <row r="372" spans="1:6">
      <c r="A372" t="str">
        <f>TEXT(IF('Revenues &amp; Outlays in GDP'!B378&lt;&gt;0,'Revenues &amp; Outlays in GDP'!B378, ""), "mm/dd/yyyy")</f>
        <v/>
      </c>
      <c r="B372" t="str">
        <f>IFERROR(IF(ISNUMBER('Revenues &amp; Outlays in GDP'!G378),TEXT('Revenues &amp; Outlays in GDP'!G378, "0.00"),""), "")</f>
        <v/>
      </c>
      <c r="C372" t="str">
        <f>IFERROR(IF(ISNUMBER('Revenues &amp; Outlays in GDP'!C378),TEXT('Revenues &amp; Outlays in GDP'!C378, "0.00"),""), "")</f>
        <v/>
      </c>
      <c r="D372" t="str">
        <f>IFERROR(IF(ISNUMBER('Revenues &amp; Outlays in GDP'!H378),TEXT('Revenues &amp; Outlays in GDP'!H378, "0.00"),""), "")</f>
        <v/>
      </c>
      <c r="E372" t="str">
        <f>IFERROR(IF(ISNUMBER('Revenues &amp; Outlays in GDP'!D378),TEXT('Revenues &amp; Outlays in GDP'!D378, "0.00"),""), "")</f>
        <v/>
      </c>
      <c r="F372" t="str">
        <f>IFERROR(IF(ISNUMBER('Revenues &amp; Outlays in GDP'!B378), 'Revenues &amp; Outlays in GDP'!J378, ""), "")</f>
        <v/>
      </c>
    </row>
    <row r="373" spans="1:6">
      <c r="A373" t="str">
        <f>TEXT(IF('Revenues &amp; Outlays in GDP'!B379&lt;&gt;0,'Revenues &amp; Outlays in GDP'!B379, ""), "mm/dd/yyyy")</f>
        <v/>
      </c>
      <c r="B373" t="str">
        <f>IFERROR(IF(ISNUMBER('Revenues &amp; Outlays in GDP'!G379),TEXT('Revenues &amp; Outlays in GDP'!G379, "0.00"),""), "")</f>
        <v/>
      </c>
      <c r="C373" t="str">
        <f>IFERROR(IF(ISNUMBER('Revenues &amp; Outlays in GDP'!C379),TEXT('Revenues &amp; Outlays in GDP'!C379, "0.00"),""), "")</f>
        <v/>
      </c>
      <c r="D373" t="str">
        <f>IFERROR(IF(ISNUMBER('Revenues &amp; Outlays in GDP'!H379),TEXT('Revenues &amp; Outlays in GDP'!H379, "0.00"),""), "")</f>
        <v/>
      </c>
      <c r="E373" t="str">
        <f>IFERROR(IF(ISNUMBER('Revenues &amp; Outlays in GDP'!D379),TEXT('Revenues &amp; Outlays in GDP'!D379, "0.00"),""), "")</f>
        <v/>
      </c>
      <c r="F373" t="str">
        <f>IFERROR(IF(ISNUMBER('Revenues &amp; Outlays in GDP'!B379), 'Revenues &amp; Outlays in GDP'!J379, ""), "")</f>
        <v/>
      </c>
    </row>
    <row r="374" spans="1:6">
      <c r="A374" t="str">
        <f>TEXT(IF('Revenues &amp; Outlays in GDP'!B380&lt;&gt;0,'Revenues &amp; Outlays in GDP'!B380, ""), "mm/dd/yyyy")</f>
        <v/>
      </c>
      <c r="B374" t="str">
        <f>IFERROR(IF(ISNUMBER('Revenues &amp; Outlays in GDP'!G380),TEXT('Revenues &amp; Outlays in GDP'!G380, "0.00"),""), "")</f>
        <v/>
      </c>
      <c r="C374" t="str">
        <f>IFERROR(IF(ISNUMBER('Revenues &amp; Outlays in GDP'!C380),TEXT('Revenues &amp; Outlays in GDP'!C380, "0.00"),""), "")</f>
        <v/>
      </c>
      <c r="D374" t="str">
        <f>IFERROR(IF(ISNUMBER('Revenues &amp; Outlays in GDP'!H380),TEXT('Revenues &amp; Outlays in GDP'!H380, "0.00"),""), "")</f>
        <v/>
      </c>
      <c r="E374" t="str">
        <f>IFERROR(IF(ISNUMBER('Revenues &amp; Outlays in GDP'!D380),TEXT('Revenues &amp; Outlays in GDP'!D380, "0.00"),""), "")</f>
        <v/>
      </c>
      <c r="F374" t="str">
        <f>IFERROR(IF(ISNUMBER('Revenues &amp; Outlays in GDP'!B380), 'Revenues &amp; Outlays in GDP'!J380, ""), "")</f>
        <v/>
      </c>
    </row>
    <row r="375" spans="1:6">
      <c r="A375" t="str">
        <f>TEXT(IF('Revenues &amp; Outlays in GDP'!B381&lt;&gt;0,'Revenues &amp; Outlays in GDP'!B381, ""), "mm/dd/yyyy")</f>
        <v/>
      </c>
      <c r="B375" t="str">
        <f>IFERROR(IF(ISNUMBER('Revenues &amp; Outlays in GDP'!G381),TEXT('Revenues &amp; Outlays in GDP'!G381, "0.00"),""), "")</f>
        <v/>
      </c>
      <c r="C375" t="str">
        <f>IFERROR(IF(ISNUMBER('Revenues &amp; Outlays in GDP'!C381),TEXT('Revenues &amp; Outlays in GDP'!C381, "0.00"),""), "")</f>
        <v/>
      </c>
      <c r="D375" t="str">
        <f>IFERROR(IF(ISNUMBER('Revenues &amp; Outlays in GDP'!H381),TEXT('Revenues &amp; Outlays in GDP'!H381, "0.00"),""), "")</f>
        <v/>
      </c>
      <c r="E375" t="str">
        <f>IFERROR(IF(ISNUMBER('Revenues &amp; Outlays in GDP'!D381),TEXT('Revenues &amp; Outlays in GDP'!D381, "0.00"),""), "")</f>
        <v/>
      </c>
      <c r="F375" t="str">
        <f>IFERROR(IF(ISNUMBER('Revenues &amp; Outlays in GDP'!B381), 'Revenues &amp; Outlays in GDP'!J381, ""), "")</f>
        <v/>
      </c>
    </row>
    <row r="376" spans="1:6">
      <c r="A376" t="str">
        <f>TEXT(IF('Revenues &amp; Outlays in GDP'!B382&lt;&gt;0,'Revenues &amp; Outlays in GDP'!B382, ""), "mm/dd/yyyy")</f>
        <v/>
      </c>
      <c r="B376" t="str">
        <f>IFERROR(IF(ISNUMBER('Revenues &amp; Outlays in GDP'!G382),TEXT('Revenues &amp; Outlays in GDP'!G382, "0.00"),""), "")</f>
        <v/>
      </c>
      <c r="C376" t="str">
        <f>IFERROR(IF(ISNUMBER('Revenues &amp; Outlays in GDP'!C382),TEXT('Revenues &amp; Outlays in GDP'!C382, "0.00"),""), "")</f>
        <v/>
      </c>
      <c r="D376" t="str">
        <f>IFERROR(IF(ISNUMBER('Revenues &amp; Outlays in GDP'!H382),TEXT('Revenues &amp; Outlays in GDP'!H382, "0.00"),""), "")</f>
        <v/>
      </c>
      <c r="E376" t="str">
        <f>IFERROR(IF(ISNUMBER('Revenues &amp; Outlays in GDP'!D382),TEXT('Revenues &amp; Outlays in GDP'!D382, "0.00"),""), "")</f>
        <v/>
      </c>
      <c r="F376" t="str">
        <f>IFERROR(IF(ISNUMBER('Revenues &amp; Outlays in GDP'!B382), 'Revenues &amp; Outlays in GDP'!J382, ""), "")</f>
        <v/>
      </c>
    </row>
    <row r="377" spans="1:6">
      <c r="A377" t="str">
        <f>TEXT(IF('Revenues &amp; Outlays in GDP'!B383&lt;&gt;0,'Revenues &amp; Outlays in GDP'!B383, ""), "mm/dd/yyyy")</f>
        <v/>
      </c>
      <c r="B377" t="str">
        <f>IFERROR(IF(ISNUMBER('Revenues &amp; Outlays in GDP'!G383),TEXT('Revenues &amp; Outlays in GDP'!G383, "0.00"),""), "")</f>
        <v/>
      </c>
      <c r="C377" t="str">
        <f>IFERROR(IF(ISNUMBER('Revenues &amp; Outlays in GDP'!C383),TEXT('Revenues &amp; Outlays in GDP'!C383, "0.00"),""), "")</f>
        <v/>
      </c>
      <c r="D377" t="str">
        <f>IFERROR(IF(ISNUMBER('Revenues &amp; Outlays in GDP'!H383),TEXT('Revenues &amp; Outlays in GDP'!H383, "0.00"),""), "")</f>
        <v/>
      </c>
      <c r="E377" t="str">
        <f>IFERROR(IF(ISNUMBER('Revenues &amp; Outlays in GDP'!D383),TEXT('Revenues &amp; Outlays in GDP'!D383, "0.00"),""), "")</f>
        <v/>
      </c>
      <c r="F377" t="str">
        <f>IFERROR(IF(ISNUMBER('Revenues &amp; Outlays in GDP'!B383), 'Revenues &amp; Outlays in GDP'!J383, ""), "")</f>
        <v/>
      </c>
    </row>
    <row r="378" spans="1:6">
      <c r="A378" t="str">
        <f>TEXT(IF('Revenues &amp; Outlays in GDP'!B384&lt;&gt;0,'Revenues &amp; Outlays in GDP'!B384, ""), "mm/dd/yyyy")</f>
        <v/>
      </c>
      <c r="B378" t="str">
        <f>IFERROR(IF(ISNUMBER('Revenues &amp; Outlays in GDP'!G384),TEXT('Revenues &amp; Outlays in GDP'!G384, "0.00"),""), "")</f>
        <v/>
      </c>
      <c r="C378" t="str">
        <f>IFERROR(IF(ISNUMBER('Revenues &amp; Outlays in GDP'!C384),TEXT('Revenues &amp; Outlays in GDP'!C384, "0.00"),""), "")</f>
        <v/>
      </c>
      <c r="D378" t="str">
        <f>IFERROR(IF(ISNUMBER('Revenues &amp; Outlays in GDP'!H384),TEXT('Revenues &amp; Outlays in GDP'!H384, "0.00"),""), "")</f>
        <v/>
      </c>
      <c r="E378" t="str">
        <f>IFERROR(IF(ISNUMBER('Revenues &amp; Outlays in GDP'!D384),TEXT('Revenues &amp; Outlays in GDP'!D384, "0.00"),""), "")</f>
        <v/>
      </c>
      <c r="F378" t="str">
        <f>IFERROR(IF(ISNUMBER('Revenues &amp; Outlays in GDP'!B384), 'Revenues &amp; Outlays in GDP'!J384, ""), "")</f>
        <v/>
      </c>
    </row>
    <row r="379" spans="1:6">
      <c r="A379" t="str">
        <f>TEXT(IF('Revenues &amp; Outlays in GDP'!B385&lt;&gt;0,'Revenues &amp; Outlays in GDP'!B385, ""), "mm/dd/yyyy")</f>
        <v/>
      </c>
      <c r="B379" t="str">
        <f>IFERROR(IF(ISNUMBER('Revenues &amp; Outlays in GDP'!G385),TEXT('Revenues &amp; Outlays in GDP'!G385, "0.00"),""), "")</f>
        <v/>
      </c>
      <c r="C379" t="str">
        <f>IFERROR(IF(ISNUMBER('Revenues &amp; Outlays in GDP'!C385),TEXT('Revenues &amp; Outlays in GDP'!C385, "0.00"),""), "")</f>
        <v/>
      </c>
      <c r="D379" t="str">
        <f>IFERROR(IF(ISNUMBER('Revenues &amp; Outlays in GDP'!H385),TEXT('Revenues &amp; Outlays in GDP'!H385, "0.00"),""), "")</f>
        <v/>
      </c>
      <c r="E379" t="str">
        <f>IFERROR(IF(ISNUMBER('Revenues &amp; Outlays in GDP'!D385),TEXT('Revenues &amp; Outlays in GDP'!D385, "0.00"),""), "")</f>
        <v/>
      </c>
      <c r="F379" t="str">
        <f>IFERROR(IF(ISNUMBER('Revenues &amp; Outlays in GDP'!B385), 'Revenues &amp; Outlays in GDP'!J385, ""), "")</f>
        <v/>
      </c>
    </row>
    <row r="380" spans="1:6">
      <c r="A380" t="str">
        <f>TEXT(IF('Revenues &amp; Outlays in GDP'!B386&lt;&gt;0,'Revenues &amp; Outlays in GDP'!B386, ""), "mm/dd/yyyy")</f>
        <v/>
      </c>
      <c r="B380" t="str">
        <f>IFERROR(IF(ISNUMBER('Revenues &amp; Outlays in GDP'!G386),TEXT('Revenues &amp; Outlays in GDP'!G386, "0.00"),""), "")</f>
        <v/>
      </c>
      <c r="C380" t="str">
        <f>IFERROR(IF(ISNUMBER('Revenues &amp; Outlays in GDP'!C386),TEXT('Revenues &amp; Outlays in GDP'!C386, "0.00"),""), "")</f>
        <v/>
      </c>
      <c r="D380" t="str">
        <f>IFERROR(IF(ISNUMBER('Revenues &amp; Outlays in GDP'!H386),TEXT('Revenues &amp; Outlays in GDP'!H386, "0.00"),""), "")</f>
        <v/>
      </c>
      <c r="E380" t="str">
        <f>IFERROR(IF(ISNUMBER('Revenues &amp; Outlays in GDP'!D386),TEXT('Revenues &amp; Outlays in GDP'!D386, "0.00"),""), "")</f>
        <v/>
      </c>
      <c r="F380" t="str">
        <f>IFERROR(IF(ISNUMBER('Revenues &amp; Outlays in GDP'!B386), 'Revenues &amp; Outlays in GDP'!J386, ""), "")</f>
        <v/>
      </c>
    </row>
    <row r="381" spans="1:6">
      <c r="A381" t="str">
        <f>TEXT(IF('Revenues &amp; Outlays in GDP'!B387&lt;&gt;0,'Revenues &amp; Outlays in GDP'!B387, ""), "mm/dd/yyyy")</f>
        <v/>
      </c>
      <c r="B381" t="str">
        <f>IFERROR(IF(ISNUMBER('Revenues &amp; Outlays in GDP'!G387),TEXT('Revenues &amp; Outlays in GDP'!G387, "0.00"),""), "")</f>
        <v/>
      </c>
      <c r="C381" t="str">
        <f>IFERROR(IF(ISNUMBER('Revenues &amp; Outlays in GDP'!C387),TEXT('Revenues &amp; Outlays in GDP'!C387, "0.00"),""), "")</f>
        <v/>
      </c>
      <c r="D381" t="str">
        <f>IFERROR(IF(ISNUMBER('Revenues &amp; Outlays in GDP'!H387),TEXT('Revenues &amp; Outlays in GDP'!H387, "0.00"),""), "")</f>
        <v/>
      </c>
      <c r="E381" t="str">
        <f>IFERROR(IF(ISNUMBER('Revenues &amp; Outlays in GDP'!D387),TEXT('Revenues &amp; Outlays in GDP'!D387, "0.00"),""), "")</f>
        <v/>
      </c>
      <c r="F381" t="str">
        <f>IFERROR(IF(ISNUMBER('Revenues &amp; Outlays in GDP'!B387), 'Revenues &amp; Outlays in GDP'!J387, ""), "")</f>
        <v/>
      </c>
    </row>
    <row r="382" spans="1:6">
      <c r="A382" t="str">
        <f>TEXT(IF('Revenues &amp; Outlays in GDP'!B388&lt;&gt;0,'Revenues &amp; Outlays in GDP'!B388, ""), "mm/dd/yyyy")</f>
        <v/>
      </c>
      <c r="B382" t="str">
        <f>IFERROR(IF(ISNUMBER('Revenues &amp; Outlays in GDP'!G388),TEXT('Revenues &amp; Outlays in GDP'!G388, "0.00"),""), "")</f>
        <v/>
      </c>
      <c r="C382" t="str">
        <f>IFERROR(IF(ISNUMBER('Revenues &amp; Outlays in GDP'!C388),TEXT('Revenues &amp; Outlays in GDP'!C388, "0.00"),""), "")</f>
        <v/>
      </c>
      <c r="D382" t="str">
        <f>IFERROR(IF(ISNUMBER('Revenues &amp; Outlays in GDP'!H388),TEXT('Revenues &amp; Outlays in GDP'!H388, "0.00"),""), "")</f>
        <v/>
      </c>
      <c r="E382" t="str">
        <f>IFERROR(IF(ISNUMBER('Revenues &amp; Outlays in GDP'!D388),TEXT('Revenues &amp; Outlays in GDP'!D388, "0.00"),""), "")</f>
        <v/>
      </c>
      <c r="F382" t="str">
        <f>IFERROR(IF(ISNUMBER('Revenues &amp; Outlays in GDP'!B388), 'Revenues &amp; Outlays in GDP'!J388, ""), "")</f>
        <v/>
      </c>
    </row>
    <row r="383" spans="1:6">
      <c r="A383" t="str">
        <f>TEXT(IF('Revenues &amp; Outlays in GDP'!B389&lt;&gt;0,'Revenues &amp; Outlays in GDP'!B389, ""), "mm/dd/yyyy")</f>
        <v/>
      </c>
      <c r="B383" t="str">
        <f>IFERROR(IF(ISNUMBER('Revenues &amp; Outlays in GDP'!G389),TEXT('Revenues &amp; Outlays in GDP'!G389, "0.00"),""), "")</f>
        <v/>
      </c>
      <c r="C383" t="str">
        <f>IFERROR(IF(ISNUMBER('Revenues &amp; Outlays in GDP'!C389),TEXT('Revenues &amp; Outlays in GDP'!C389, "0.00"),""), "")</f>
        <v/>
      </c>
      <c r="D383" t="str">
        <f>IFERROR(IF(ISNUMBER('Revenues &amp; Outlays in GDP'!H389),TEXT('Revenues &amp; Outlays in GDP'!H389, "0.00"),""), "")</f>
        <v/>
      </c>
      <c r="E383" t="str">
        <f>IFERROR(IF(ISNUMBER('Revenues &amp; Outlays in GDP'!D389),TEXT('Revenues &amp; Outlays in GDP'!D389, "0.00"),""), "")</f>
        <v/>
      </c>
      <c r="F383" t="str">
        <f>IFERROR(IF(ISNUMBER('Revenues &amp; Outlays in GDP'!B389), 'Revenues &amp; Outlays in GDP'!J389, ""), "")</f>
        <v/>
      </c>
    </row>
    <row r="384" spans="1:6">
      <c r="A384" t="str">
        <f>TEXT(IF('Revenues &amp; Outlays in GDP'!B390&lt;&gt;0,'Revenues &amp; Outlays in GDP'!B390, ""), "mm/dd/yyyy")</f>
        <v/>
      </c>
      <c r="B384" t="str">
        <f>IFERROR(IF(ISNUMBER('Revenues &amp; Outlays in GDP'!G390),TEXT('Revenues &amp; Outlays in GDP'!G390, "0.00"),""), "")</f>
        <v/>
      </c>
      <c r="C384" t="str">
        <f>IFERROR(IF(ISNUMBER('Revenues &amp; Outlays in GDP'!C390),TEXT('Revenues &amp; Outlays in GDP'!C390, "0.00"),""), "")</f>
        <v/>
      </c>
      <c r="D384" t="str">
        <f>IFERROR(IF(ISNUMBER('Revenues &amp; Outlays in GDP'!H390),TEXT('Revenues &amp; Outlays in GDP'!H390, "0.00"),""), "")</f>
        <v/>
      </c>
      <c r="E384" t="str">
        <f>IFERROR(IF(ISNUMBER('Revenues &amp; Outlays in GDP'!D390),TEXT('Revenues &amp; Outlays in GDP'!D390, "0.00"),""), "")</f>
        <v/>
      </c>
      <c r="F384" t="str">
        <f>IFERROR(IF(ISNUMBER('Revenues &amp; Outlays in GDP'!B390), 'Revenues &amp; Outlays in GDP'!J390, ""), "")</f>
        <v/>
      </c>
    </row>
    <row r="385" spans="1:6">
      <c r="A385" t="str">
        <f>TEXT(IF('Revenues &amp; Outlays in GDP'!B391&lt;&gt;0,'Revenues &amp; Outlays in GDP'!B391, ""), "mm/dd/yyyy")</f>
        <v/>
      </c>
      <c r="B385" t="str">
        <f>IFERROR(IF(ISNUMBER('Revenues &amp; Outlays in GDP'!G391),TEXT('Revenues &amp; Outlays in GDP'!G391, "0.00"),""), "")</f>
        <v/>
      </c>
      <c r="C385" t="str">
        <f>IFERROR(IF(ISNUMBER('Revenues &amp; Outlays in GDP'!C391),TEXT('Revenues &amp; Outlays in GDP'!C391, "0.00"),""), "")</f>
        <v/>
      </c>
      <c r="D385" t="str">
        <f>IFERROR(IF(ISNUMBER('Revenues &amp; Outlays in GDP'!H391),TEXT('Revenues &amp; Outlays in GDP'!H391, "0.00"),""), "")</f>
        <v/>
      </c>
      <c r="E385" t="str">
        <f>IFERROR(IF(ISNUMBER('Revenues &amp; Outlays in GDP'!D391),TEXT('Revenues &amp; Outlays in GDP'!D391, "0.00"),""), "")</f>
        <v/>
      </c>
      <c r="F385" t="str">
        <f>IFERROR(IF(ISNUMBER('Revenues &amp; Outlays in GDP'!B391), 'Revenues &amp; Outlays in GDP'!J391, ""), "")</f>
        <v/>
      </c>
    </row>
    <row r="386" spans="1:6">
      <c r="A386" t="str">
        <f>TEXT(IF('Revenues &amp; Outlays in GDP'!B392&lt;&gt;0,'Revenues &amp; Outlays in GDP'!B392, ""), "mm/dd/yyyy")</f>
        <v/>
      </c>
      <c r="B386" t="str">
        <f>IFERROR(IF(ISNUMBER('Revenues &amp; Outlays in GDP'!G392),TEXT('Revenues &amp; Outlays in GDP'!G392, "0.00"),""), "")</f>
        <v/>
      </c>
      <c r="C386" t="str">
        <f>IFERROR(IF(ISNUMBER('Revenues &amp; Outlays in GDP'!C392),TEXT('Revenues &amp; Outlays in GDP'!C392, "0.00"),""), "")</f>
        <v/>
      </c>
      <c r="D386" t="str">
        <f>IFERROR(IF(ISNUMBER('Revenues &amp; Outlays in GDP'!H392),TEXT('Revenues &amp; Outlays in GDP'!H392, "0.00"),""), "")</f>
        <v/>
      </c>
      <c r="E386" t="str">
        <f>IFERROR(IF(ISNUMBER('Revenues &amp; Outlays in GDP'!D392),TEXT('Revenues &amp; Outlays in GDP'!D392, "0.00"),""), "")</f>
        <v/>
      </c>
      <c r="F386" t="str">
        <f>IFERROR(IF(ISNUMBER('Revenues &amp; Outlays in GDP'!B392), 'Revenues &amp; Outlays in GDP'!J392, ""), "")</f>
        <v/>
      </c>
    </row>
    <row r="387" spans="1:6">
      <c r="A387" t="str">
        <f>TEXT(IF('Revenues &amp; Outlays in GDP'!B393&lt;&gt;0,'Revenues &amp; Outlays in GDP'!B393, ""), "mm/dd/yyyy")</f>
        <v/>
      </c>
      <c r="B387" t="str">
        <f>IFERROR(IF(ISNUMBER('Revenues &amp; Outlays in GDP'!G393),TEXT('Revenues &amp; Outlays in GDP'!G393, "0.00"),""), "")</f>
        <v/>
      </c>
      <c r="C387" t="str">
        <f>IFERROR(IF(ISNUMBER('Revenues &amp; Outlays in GDP'!C393),TEXT('Revenues &amp; Outlays in GDP'!C393, "0.00"),""), "")</f>
        <v/>
      </c>
      <c r="D387" t="str">
        <f>IFERROR(IF(ISNUMBER('Revenues &amp; Outlays in GDP'!H393),TEXT('Revenues &amp; Outlays in GDP'!H393, "0.00"),""), "")</f>
        <v/>
      </c>
      <c r="E387" t="str">
        <f>IFERROR(IF(ISNUMBER('Revenues &amp; Outlays in GDP'!D393),TEXT('Revenues &amp; Outlays in GDP'!D393, "0.00"),""), "")</f>
        <v/>
      </c>
      <c r="F387" t="str">
        <f>IFERROR(IF(ISNUMBER('Revenues &amp; Outlays in GDP'!B393), 'Revenues &amp; Outlays in GDP'!J393, ""), "")</f>
        <v/>
      </c>
    </row>
    <row r="388" spans="1:6">
      <c r="A388" t="str">
        <f>TEXT(IF('Revenues &amp; Outlays in GDP'!B394&lt;&gt;0,'Revenues &amp; Outlays in GDP'!B394, ""), "mm/dd/yyyy")</f>
        <v/>
      </c>
      <c r="B388" t="str">
        <f>IFERROR(IF(ISNUMBER('Revenues &amp; Outlays in GDP'!G394),TEXT('Revenues &amp; Outlays in GDP'!G394, "0.00"),""), "")</f>
        <v/>
      </c>
      <c r="C388" t="str">
        <f>IFERROR(IF(ISNUMBER('Revenues &amp; Outlays in GDP'!C394),TEXT('Revenues &amp; Outlays in GDP'!C394, "0.00"),""), "")</f>
        <v/>
      </c>
      <c r="D388" t="str">
        <f>IFERROR(IF(ISNUMBER('Revenues &amp; Outlays in GDP'!H394),TEXT('Revenues &amp; Outlays in GDP'!H394, "0.00"),""), "")</f>
        <v/>
      </c>
      <c r="E388" t="str">
        <f>IFERROR(IF(ISNUMBER('Revenues &amp; Outlays in GDP'!D394),TEXT('Revenues &amp; Outlays in GDP'!D394, "0.00"),""), "")</f>
        <v/>
      </c>
      <c r="F388" t="str">
        <f>IFERROR(IF(ISNUMBER('Revenues &amp; Outlays in GDP'!B394), 'Revenues &amp; Outlays in GDP'!J394, ""), "")</f>
        <v/>
      </c>
    </row>
    <row r="389" spans="1:6">
      <c r="A389" t="str">
        <f>TEXT(IF('Revenues &amp; Outlays in GDP'!B395&lt;&gt;0,'Revenues &amp; Outlays in GDP'!B395, ""), "mm/dd/yyyy")</f>
        <v/>
      </c>
      <c r="B389" t="str">
        <f>IFERROR(IF(ISNUMBER('Revenues &amp; Outlays in GDP'!G395),TEXT('Revenues &amp; Outlays in GDP'!G395, "0.00"),""), "")</f>
        <v/>
      </c>
      <c r="C389" t="str">
        <f>IFERROR(IF(ISNUMBER('Revenues &amp; Outlays in GDP'!C395),TEXT('Revenues &amp; Outlays in GDP'!C395, "0.00"),""), "")</f>
        <v/>
      </c>
      <c r="D389" t="str">
        <f>IFERROR(IF(ISNUMBER('Revenues &amp; Outlays in GDP'!H395),TEXT('Revenues &amp; Outlays in GDP'!H395, "0.00"),""), "")</f>
        <v/>
      </c>
      <c r="E389" t="str">
        <f>IFERROR(IF(ISNUMBER('Revenues &amp; Outlays in GDP'!D395),TEXT('Revenues &amp; Outlays in GDP'!D395, "0.00"),""), "")</f>
        <v/>
      </c>
      <c r="F389" t="str">
        <f>IFERROR(IF(ISNUMBER('Revenues &amp; Outlays in GDP'!B395), 'Revenues &amp; Outlays in GDP'!J395, ""), "")</f>
        <v/>
      </c>
    </row>
    <row r="390" spans="1:6">
      <c r="A390" t="str">
        <f>TEXT(IF('Revenues &amp; Outlays in GDP'!B396&lt;&gt;0,'Revenues &amp; Outlays in GDP'!B396, ""), "mm/dd/yyyy")</f>
        <v/>
      </c>
      <c r="B390" t="str">
        <f>IFERROR(IF(ISNUMBER('Revenues &amp; Outlays in GDP'!G396),TEXT('Revenues &amp; Outlays in GDP'!G396, "0.00"),""), "")</f>
        <v/>
      </c>
      <c r="C390" t="str">
        <f>IFERROR(IF(ISNUMBER('Revenues &amp; Outlays in GDP'!C396),TEXT('Revenues &amp; Outlays in GDP'!C396, "0.00"),""), "")</f>
        <v/>
      </c>
      <c r="D390" t="str">
        <f>IFERROR(IF(ISNUMBER('Revenues &amp; Outlays in GDP'!H396),TEXT('Revenues &amp; Outlays in GDP'!H396, "0.00"),""), "")</f>
        <v/>
      </c>
      <c r="E390" t="str">
        <f>IFERROR(IF(ISNUMBER('Revenues &amp; Outlays in GDP'!D396),TEXT('Revenues &amp; Outlays in GDP'!D396, "0.00"),""), "")</f>
        <v/>
      </c>
      <c r="F390" t="str">
        <f>IFERROR(IF(ISNUMBER('Revenues &amp; Outlays in GDP'!B396), 'Revenues &amp; Outlays in GDP'!J396, ""), "")</f>
        <v/>
      </c>
    </row>
    <row r="391" spans="1:6">
      <c r="A391" t="str">
        <f>TEXT(IF('Revenues &amp; Outlays in GDP'!B397&lt;&gt;0,'Revenues &amp; Outlays in GDP'!B397, ""), "mm/dd/yyyy")</f>
        <v/>
      </c>
      <c r="B391" t="str">
        <f>IFERROR(IF(ISNUMBER('Revenues &amp; Outlays in GDP'!G397),TEXT('Revenues &amp; Outlays in GDP'!G397, "0.00"),""), "")</f>
        <v/>
      </c>
      <c r="C391" t="str">
        <f>IFERROR(IF(ISNUMBER('Revenues &amp; Outlays in GDP'!C397),TEXT('Revenues &amp; Outlays in GDP'!C397, "0.00"),""), "")</f>
        <v/>
      </c>
      <c r="D391" t="str">
        <f>IFERROR(IF(ISNUMBER('Revenues &amp; Outlays in GDP'!H397),TEXT('Revenues &amp; Outlays in GDP'!H397, "0.00"),""), "")</f>
        <v/>
      </c>
      <c r="E391" t="str">
        <f>IFERROR(IF(ISNUMBER('Revenues &amp; Outlays in GDP'!D397),TEXT('Revenues &amp; Outlays in GDP'!D397, "0.00"),""), "")</f>
        <v/>
      </c>
      <c r="F391" t="str">
        <f>IFERROR(IF(ISNUMBER('Revenues &amp; Outlays in GDP'!B397), 'Revenues &amp; Outlays in GDP'!J397, ""), "")</f>
        <v/>
      </c>
    </row>
    <row r="392" spans="1:6">
      <c r="A392" t="str">
        <f>TEXT(IF('Revenues &amp; Outlays in GDP'!B398&lt;&gt;0,'Revenues &amp; Outlays in GDP'!B398, ""), "mm/dd/yyyy")</f>
        <v/>
      </c>
      <c r="B392" t="str">
        <f>IFERROR(IF(ISNUMBER('Revenues &amp; Outlays in GDP'!G398),TEXT('Revenues &amp; Outlays in GDP'!G398, "0.00"),""), "")</f>
        <v/>
      </c>
      <c r="C392" t="str">
        <f>IFERROR(IF(ISNUMBER('Revenues &amp; Outlays in GDP'!C398),TEXT('Revenues &amp; Outlays in GDP'!C398, "0.00"),""), "")</f>
        <v/>
      </c>
      <c r="D392" t="str">
        <f>IFERROR(IF(ISNUMBER('Revenues &amp; Outlays in GDP'!H398),TEXT('Revenues &amp; Outlays in GDP'!H398, "0.00"),""), "")</f>
        <v/>
      </c>
      <c r="E392" t="str">
        <f>IFERROR(IF(ISNUMBER('Revenues &amp; Outlays in GDP'!D398),TEXT('Revenues &amp; Outlays in GDP'!D398, "0.00"),""), "")</f>
        <v/>
      </c>
      <c r="F392" t="str">
        <f>IFERROR(IF(ISNUMBER('Revenues &amp; Outlays in GDP'!B398), 'Revenues &amp; Outlays in GDP'!J398, ""), "")</f>
        <v/>
      </c>
    </row>
    <row r="393" spans="1:6">
      <c r="A393" t="str">
        <f>TEXT(IF('Revenues &amp; Outlays in GDP'!B399&lt;&gt;0,'Revenues &amp; Outlays in GDP'!B399, ""), "mm/dd/yyyy")</f>
        <v/>
      </c>
      <c r="B393" t="str">
        <f>IFERROR(IF(ISNUMBER('Revenues &amp; Outlays in GDP'!G399),TEXT('Revenues &amp; Outlays in GDP'!G399, "0.00"),""), "")</f>
        <v/>
      </c>
      <c r="C393" t="str">
        <f>IFERROR(IF(ISNUMBER('Revenues &amp; Outlays in GDP'!C399),TEXT('Revenues &amp; Outlays in GDP'!C399, "0.00"),""), "")</f>
        <v/>
      </c>
      <c r="D393" t="str">
        <f>IFERROR(IF(ISNUMBER('Revenues &amp; Outlays in GDP'!H399),TEXT('Revenues &amp; Outlays in GDP'!H399, "0.00"),""), "")</f>
        <v/>
      </c>
      <c r="E393" t="str">
        <f>IFERROR(IF(ISNUMBER('Revenues &amp; Outlays in GDP'!D399),TEXT('Revenues &amp; Outlays in GDP'!D399, "0.00"),""), "")</f>
        <v/>
      </c>
      <c r="F393" t="str">
        <f>IFERROR(IF(ISNUMBER('Revenues &amp; Outlays in GDP'!B399), 'Revenues &amp; Outlays in GDP'!J399, ""), "")</f>
        <v/>
      </c>
    </row>
    <row r="394" spans="1:6">
      <c r="A394" t="str">
        <f>TEXT(IF('Revenues &amp; Outlays in GDP'!B400&lt;&gt;0,'Revenues &amp; Outlays in GDP'!B400, ""), "mm/dd/yyyy")</f>
        <v/>
      </c>
      <c r="B394" t="str">
        <f>IFERROR(IF(ISNUMBER('Revenues &amp; Outlays in GDP'!G400),TEXT('Revenues &amp; Outlays in GDP'!G400, "0.00"),""), "")</f>
        <v/>
      </c>
      <c r="C394" t="str">
        <f>IFERROR(IF(ISNUMBER('Revenues &amp; Outlays in GDP'!C400),TEXT('Revenues &amp; Outlays in GDP'!C400, "0.00"),""), "")</f>
        <v/>
      </c>
      <c r="D394" t="str">
        <f>IFERROR(IF(ISNUMBER('Revenues &amp; Outlays in GDP'!H400),TEXT('Revenues &amp; Outlays in GDP'!H400, "0.00"),""), "")</f>
        <v/>
      </c>
      <c r="E394" t="str">
        <f>IFERROR(IF(ISNUMBER('Revenues &amp; Outlays in GDP'!D400),TEXT('Revenues &amp; Outlays in GDP'!D400, "0.00"),""), "")</f>
        <v/>
      </c>
      <c r="F394" t="str">
        <f>IFERROR(IF(ISNUMBER('Revenues &amp; Outlays in GDP'!B400), 'Revenues &amp; Outlays in GDP'!J400, ""), "")</f>
        <v/>
      </c>
    </row>
    <row r="395" spans="1:6">
      <c r="A395" t="str">
        <f>TEXT(IF('Revenues &amp; Outlays in GDP'!B401&lt;&gt;0,'Revenues &amp; Outlays in GDP'!B401, ""), "mm/dd/yyyy")</f>
        <v/>
      </c>
      <c r="B395" t="str">
        <f>IFERROR(IF(ISNUMBER('Revenues &amp; Outlays in GDP'!G401),TEXT('Revenues &amp; Outlays in GDP'!G401, "0.00"),""), "")</f>
        <v/>
      </c>
      <c r="C395" t="str">
        <f>IFERROR(IF(ISNUMBER('Revenues &amp; Outlays in GDP'!C401),TEXT('Revenues &amp; Outlays in GDP'!C401, "0.00"),""), "")</f>
        <v/>
      </c>
      <c r="D395" t="str">
        <f>IFERROR(IF(ISNUMBER('Revenues &amp; Outlays in GDP'!H401),TEXT('Revenues &amp; Outlays in GDP'!H401, "0.00"),""), "")</f>
        <v/>
      </c>
      <c r="E395" t="str">
        <f>IFERROR(IF(ISNUMBER('Revenues &amp; Outlays in GDP'!D401),TEXT('Revenues &amp; Outlays in GDP'!D401, "0.00"),""), "")</f>
        <v/>
      </c>
      <c r="F395" t="str">
        <f>IFERROR(IF(ISNUMBER('Revenues &amp; Outlays in GDP'!B401), 'Revenues &amp; Outlays in GDP'!J401, ""), "")</f>
        <v/>
      </c>
    </row>
    <row r="396" spans="1:6">
      <c r="A396" t="str">
        <f>TEXT(IF('Revenues &amp; Outlays in GDP'!B402&lt;&gt;0,'Revenues &amp; Outlays in GDP'!B402, ""), "mm/dd/yyyy")</f>
        <v/>
      </c>
      <c r="B396" t="str">
        <f>IFERROR(IF(ISNUMBER('Revenues &amp; Outlays in GDP'!G402),TEXT('Revenues &amp; Outlays in GDP'!G402, "0.00"),""), "")</f>
        <v/>
      </c>
      <c r="C396" t="str">
        <f>IFERROR(IF(ISNUMBER('Revenues &amp; Outlays in GDP'!C402),TEXT('Revenues &amp; Outlays in GDP'!C402, "0.00"),""), "")</f>
        <v/>
      </c>
      <c r="D396" t="str">
        <f>IFERROR(IF(ISNUMBER('Revenues &amp; Outlays in GDP'!H402),TEXT('Revenues &amp; Outlays in GDP'!H402, "0.00"),""), "")</f>
        <v/>
      </c>
      <c r="E396" t="str">
        <f>IFERROR(IF(ISNUMBER('Revenues &amp; Outlays in GDP'!D402),TEXT('Revenues &amp; Outlays in GDP'!D402, "0.00"),""), "")</f>
        <v/>
      </c>
      <c r="F396" t="str">
        <f>IFERROR(IF(ISNUMBER('Revenues &amp; Outlays in GDP'!B402), 'Revenues &amp; Outlays in GDP'!J402, ""), "")</f>
        <v/>
      </c>
    </row>
    <row r="397" spans="1:6">
      <c r="A397" t="str">
        <f>TEXT(IF('Revenues &amp; Outlays in GDP'!B403&lt;&gt;0,'Revenues &amp; Outlays in GDP'!B403, ""), "mm/dd/yyyy")</f>
        <v/>
      </c>
      <c r="B397" t="str">
        <f>IFERROR(IF(ISNUMBER('Revenues &amp; Outlays in GDP'!G403),TEXT('Revenues &amp; Outlays in GDP'!G403, "0.00"),""), "")</f>
        <v/>
      </c>
      <c r="C397" t="str">
        <f>IFERROR(IF(ISNUMBER('Revenues &amp; Outlays in GDP'!C403),TEXT('Revenues &amp; Outlays in GDP'!C403, "0.00"),""), "")</f>
        <v/>
      </c>
      <c r="D397" t="str">
        <f>IFERROR(IF(ISNUMBER('Revenues &amp; Outlays in GDP'!H403),TEXT('Revenues &amp; Outlays in GDP'!H403, "0.00"),""), "")</f>
        <v/>
      </c>
      <c r="E397" t="str">
        <f>IFERROR(IF(ISNUMBER('Revenues &amp; Outlays in GDP'!D403),TEXT('Revenues &amp; Outlays in GDP'!D403, "0.00"),""), "")</f>
        <v/>
      </c>
      <c r="F397" t="str">
        <f>IFERROR(IF(ISNUMBER('Revenues &amp; Outlays in GDP'!B403), 'Revenues &amp; Outlays in GDP'!J403, ""), "")</f>
        <v/>
      </c>
    </row>
    <row r="398" spans="1:6">
      <c r="A398" t="str">
        <f>TEXT(IF('Revenues &amp; Outlays in GDP'!B404&lt;&gt;0,'Revenues &amp; Outlays in GDP'!B404, ""), "mm/dd/yyyy")</f>
        <v/>
      </c>
      <c r="B398" t="str">
        <f>IFERROR(IF(ISNUMBER('Revenues &amp; Outlays in GDP'!G404),TEXT('Revenues &amp; Outlays in GDP'!G404, "0.00"),""), "")</f>
        <v/>
      </c>
      <c r="C398" t="str">
        <f>IFERROR(IF(ISNUMBER('Revenues &amp; Outlays in GDP'!C404),TEXT('Revenues &amp; Outlays in GDP'!C404, "0.00"),""), "")</f>
        <v/>
      </c>
      <c r="D398" t="str">
        <f>IFERROR(IF(ISNUMBER('Revenues &amp; Outlays in GDP'!H404),TEXT('Revenues &amp; Outlays in GDP'!H404, "0.00"),""), "")</f>
        <v/>
      </c>
      <c r="E398" t="str">
        <f>IFERROR(IF(ISNUMBER('Revenues &amp; Outlays in GDP'!D404),TEXT('Revenues &amp; Outlays in GDP'!D404, "0.00"),""), "")</f>
        <v/>
      </c>
      <c r="F398" t="str">
        <f>IFERROR(IF(ISNUMBER('Revenues &amp; Outlays in GDP'!B404), 'Revenues &amp; Outlays in GDP'!J404, ""), "")</f>
        <v/>
      </c>
    </row>
    <row r="399" spans="1:6">
      <c r="A399" t="str">
        <f>TEXT(IF('Revenues &amp; Outlays in GDP'!B405&lt;&gt;0,'Revenues &amp; Outlays in GDP'!B405, ""), "mm/dd/yyyy")</f>
        <v/>
      </c>
      <c r="B399" t="str">
        <f>IFERROR(IF(ISNUMBER('Revenues &amp; Outlays in GDP'!G405),TEXT('Revenues &amp; Outlays in GDP'!G405, "0.00"),""), "")</f>
        <v/>
      </c>
      <c r="C399" t="str">
        <f>IFERROR(IF(ISNUMBER('Revenues &amp; Outlays in GDP'!C405),TEXT('Revenues &amp; Outlays in GDP'!C405, "0.00"),""), "")</f>
        <v/>
      </c>
      <c r="D399" t="str">
        <f>IFERROR(IF(ISNUMBER('Revenues &amp; Outlays in GDP'!H405),TEXT('Revenues &amp; Outlays in GDP'!H405, "0.00"),""), "")</f>
        <v/>
      </c>
      <c r="E399" t="str">
        <f>IFERROR(IF(ISNUMBER('Revenues &amp; Outlays in GDP'!D405),TEXT('Revenues &amp; Outlays in GDP'!D405, "0.00"),""), "")</f>
        <v/>
      </c>
      <c r="F399" t="str">
        <f>IFERROR(IF(ISNUMBER('Revenues &amp; Outlays in GDP'!B405), 'Revenues &amp; Outlays in GDP'!J405, ""), "")</f>
        <v/>
      </c>
    </row>
    <row r="400" spans="1:6">
      <c r="A400" t="str">
        <f>TEXT(IF('Revenues &amp; Outlays in GDP'!B406&lt;&gt;0,'Revenues &amp; Outlays in GDP'!B406, ""), "mm/dd/yyyy")</f>
        <v/>
      </c>
      <c r="B400" t="str">
        <f>IFERROR(IF(ISNUMBER('Revenues &amp; Outlays in GDP'!G406),TEXT('Revenues &amp; Outlays in GDP'!G406, "0.00"),""), "")</f>
        <v/>
      </c>
      <c r="C400" t="str">
        <f>IFERROR(IF(ISNUMBER('Revenues &amp; Outlays in GDP'!C406),TEXT('Revenues &amp; Outlays in GDP'!C406, "0.00"),""), "")</f>
        <v/>
      </c>
      <c r="D400" t="str">
        <f>IFERROR(IF(ISNUMBER('Revenues &amp; Outlays in GDP'!H406),TEXT('Revenues &amp; Outlays in GDP'!H406, "0.00"),""), "")</f>
        <v/>
      </c>
      <c r="E400" t="str">
        <f>IFERROR(IF(ISNUMBER('Revenues &amp; Outlays in GDP'!D406),TEXT('Revenues &amp; Outlays in GDP'!D406, "0.00"),""), "")</f>
        <v/>
      </c>
      <c r="F400" t="str">
        <f>IFERROR(IF(ISNUMBER('Revenues &amp; Outlays in GDP'!B406), 'Revenues &amp; Outlays in GDP'!J406, ""), "")</f>
        <v/>
      </c>
    </row>
    <row r="401" spans="1:6">
      <c r="A401" t="str">
        <f>TEXT(IF('Revenues &amp; Outlays in GDP'!B407&lt;&gt;0,'Revenues &amp; Outlays in GDP'!B407, ""), "mm/dd/yyyy")</f>
        <v/>
      </c>
      <c r="B401" t="str">
        <f>IFERROR(IF(ISNUMBER('Revenues &amp; Outlays in GDP'!G407),TEXT('Revenues &amp; Outlays in GDP'!G407, "0.00"),""), "")</f>
        <v/>
      </c>
      <c r="C401" t="str">
        <f>IFERROR(IF(ISNUMBER('Revenues &amp; Outlays in GDP'!C407),TEXT('Revenues &amp; Outlays in GDP'!C407, "0.00"),""), "")</f>
        <v/>
      </c>
      <c r="D401" t="str">
        <f>IFERROR(IF(ISNUMBER('Revenues &amp; Outlays in GDP'!H407),TEXT('Revenues &amp; Outlays in GDP'!H407, "0.00"),""), "")</f>
        <v/>
      </c>
      <c r="E401" t="str">
        <f>IFERROR(IF(ISNUMBER('Revenues &amp; Outlays in GDP'!D407),TEXT('Revenues &amp; Outlays in GDP'!D407, "0.00"),""), "")</f>
        <v/>
      </c>
      <c r="F401" t="str">
        <f>IFERROR(IF(ISNUMBER('Revenues &amp; Outlays in GDP'!B407), 'Revenues &amp; Outlays in GDP'!J407, ""), "")</f>
        <v/>
      </c>
    </row>
    <row r="402" spans="1:6">
      <c r="A402" t="str">
        <f>TEXT(IF('Revenues &amp; Outlays in GDP'!B408&lt;&gt;0,'Revenues &amp; Outlays in GDP'!B408, ""), "mm/dd/yyyy")</f>
        <v/>
      </c>
      <c r="B402" t="str">
        <f>IFERROR(IF(ISNUMBER('Revenues &amp; Outlays in GDP'!G408),TEXT('Revenues &amp; Outlays in GDP'!G408, "0.00"),""), "")</f>
        <v/>
      </c>
      <c r="C402" t="str">
        <f>IFERROR(IF(ISNUMBER('Revenues &amp; Outlays in GDP'!C408),TEXT('Revenues &amp; Outlays in GDP'!C408, "0.00"),""), "")</f>
        <v/>
      </c>
      <c r="D402" t="str">
        <f>IFERROR(IF(ISNUMBER('Revenues &amp; Outlays in GDP'!H408),TEXT('Revenues &amp; Outlays in GDP'!H408, "0.00"),""), "")</f>
        <v/>
      </c>
      <c r="E402" t="str">
        <f>IFERROR(IF(ISNUMBER('Revenues &amp; Outlays in GDP'!D408),TEXT('Revenues &amp; Outlays in GDP'!D408, "0.00"),""), "")</f>
        <v/>
      </c>
      <c r="F402" t="str">
        <f>IFERROR(IF(ISNUMBER('Revenues &amp; Outlays in GDP'!B408), 'Revenues &amp; Outlays in GDP'!J408, ""), "")</f>
        <v/>
      </c>
    </row>
    <row r="403" spans="1:6">
      <c r="A403" t="str">
        <f>TEXT(IF('Revenues &amp; Outlays in GDP'!B409&lt;&gt;0,'Revenues &amp; Outlays in GDP'!B409, ""), "mm/dd/yyyy")</f>
        <v/>
      </c>
      <c r="B403" t="str">
        <f>IFERROR(IF(ISNUMBER('Revenues &amp; Outlays in GDP'!G409),TEXT('Revenues &amp; Outlays in GDP'!G409, "0.00"),""), "")</f>
        <v/>
      </c>
      <c r="C403" t="str">
        <f>IFERROR(IF(ISNUMBER('Revenues &amp; Outlays in GDP'!C409),TEXT('Revenues &amp; Outlays in GDP'!C409, "0.00"),""), "")</f>
        <v/>
      </c>
      <c r="D403" t="str">
        <f>IFERROR(IF(ISNUMBER('Revenues &amp; Outlays in GDP'!H409),TEXT('Revenues &amp; Outlays in GDP'!H409, "0.00"),""), "")</f>
        <v/>
      </c>
      <c r="E403" t="str">
        <f>IFERROR(IF(ISNUMBER('Revenues &amp; Outlays in GDP'!D409),TEXT('Revenues &amp; Outlays in GDP'!D409, "0.00"),""), "")</f>
        <v/>
      </c>
      <c r="F403" t="str">
        <f>IFERROR(IF(ISNUMBER('Revenues &amp; Outlays in GDP'!B409), 'Revenues &amp; Outlays in GDP'!J409, ""), "")</f>
        <v/>
      </c>
    </row>
    <row r="404" spans="1:6">
      <c r="A404" t="str">
        <f>TEXT(IF('Revenues &amp; Outlays in GDP'!B410&lt;&gt;0,'Revenues &amp; Outlays in GDP'!B410, ""), "mm/dd/yyyy")</f>
        <v/>
      </c>
      <c r="B404" t="str">
        <f>IFERROR(IF(ISNUMBER('Revenues &amp; Outlays in GDP'!G410),TEXT('Revenues &amp; Outlays in GDP'!G410, "0.00"),""), "")</f>
        <v/>
      </c>
      <c r="C404" t="str">
        <f>IFERROR(IF(ISNUMBER('Revenues &amp; Outlays in GDP'!C410),TEXT('Revenues &amp; Outlays in GDP'!C410, "0.00"),""), "")</f>
        <v/>
      </c>
      <c r="D404" t="str">
        <f>IFERROR(IF(ISNUMBER('Revenues &amp; Outlays in GDP'!H410),TEXT('Revenues &amp; Outlays in GDP'!H410, "0.00"),""), "")</f>
        <v/>
      </c>
      <c r="E404" t="str">
        <f>IFERROR(IF(ISNUMBER('Revenues &amp; Outlays in GDP'!D410),TEXT('Revenues &amp; Outlays in GDP'!D410, "0.00"),""), "")</f>
        <v/>
      </c>
      <c r="F404" t="str">
        <f>IFERROR(IF(ISNUMBER('Revenues &amp; Outlays in GDP'!B410), 'Revenues &amp; Outlays in GDP'!J410, ""), "")</f>
        <v/>
      </c>
    </row>
    <row r="405" spans="1:6">
      <c r="A405" t="str">
        <f>TEXT(IF('Revenues &amp; Outlays in GDP'!B411&lt;&gt;0,'Revenues &amp; Outlays in GDP'!B411, ""), "mm/dd/yyyy")</f>
        <v/>
      </c>
      <c r="B405" t="str">
        <f>IFERROR(IF(ISNUMBER('Revenues &amp; Outlays in GDP'!G411),TEXT('Revenues &amp; Outlays in GDP'!G411, "0.00"),""), "")</f>
        <v/>
      </c>
      <c r="C405" t="str">
        <f>IFERROR(IF(ISNUMBER('Revenues &amp; Outlays in GDP'!C411),TEXT('Revenues &amp; Outlays in GDP'!C411, "0.00"),""), "")</f>
        <v/>
      </c>
      <c r="D405" t="str">
        <f>IFERROR(IF(ISNUMBER('Revenues &amp; Outlays in GDP'!H411),TEXT('Revenues &amp; Outlays in GDP'!H411, "0.00"),""), "")</f>
        <v/>
      </c>
      <c r="E405" t="str">
        <f>IFERROR(IF(ISNUMBER('Revenues &amp; Outlays in GDP'!D411),TEXT('Revenues &amp; Outlays in GDP'!D411, "0.00"),""), "")</f>
        <v/>
      </c>
      <c r="F405" t="str">
        <f>IFERROR(IF(ISNUMBER('Revenues &amp; Outlays in GDP'!B411), 'Revenues &amp; Outlays in GDP'!J411, ""), "")</f>
        <v/>
      </c>
    </row>
    <row r="406" spans="1:6">
      <c r="A406" t="str">
        <f>TEXT(IF('Revenues &amp; Outlays in GDP'!B412&lt;&gt;0,'Revenues &amp; Outlays in GDP'!B412, ""), "mm/dd/yyyy")</f>
        <v/>
      </c>
      <c r="B406" t="str">
        <f>IFERROR(IF(ISNUMBER('Revenues &amp; Outlays in GDP'!G412),TEXT('Revenues &amp; Outlays in GDP'!G412, "0.00"),""), "")</f>
        <v/>
      </c>
      <c r="C406" t="str">
        <f>IFERROR(IF(ISNUMBER('Revenues &amp; Outlays in GDP'!C412),TEXT('Revenues &amp; Outlays in GDP'!C412, "0.00"),""), "")</f>
        <v/>
      </c>
      <c r="D406" t="str">
        <f>IFERROR(IF(ISNUMBER('Revenues &amp; Outlays in GDP'!H412),TEXT('Revenues &amp; Outlays in GDP'!H412, "0.00"),""), "")</f>
        <v/>
      </c>
      <c r="E406" t="str">
        <f>IFERROR(IF(ISNUMBER('Revenues &amp; Outlays in GDP'!D412),TEXT('Revenues &amp; Outlays in GDP'!D412, "0.00"),""), "")</f>
        <v/>
      </c>
      <c r="F406" t="str">
        <f>IFERROR(IF(ISNUMBER('Revenues &amp; Outlays in GDP'!B412), 'Revenues &amp; Outlays in GDP'!J412, ""), "")</f>
        <v/>
      </c>
    </row>
    <row r="407" spans="1:6">
      <c r="A407" t="str">
        <f>TEXT(IF('Revenues &amp; Outlays in GDP'!B413&lt;&gt;0,'Revenues &amp; Outlays in GDP'!B413, ""), "mm/dd/yyyy")</f>
        <v/>
      </c>
      <c r="B407" t="str">
        <f>IFERROR(IF(ISNUMBER('Revenues &amp; Outlays in GDP'!G413),TEXT('Revenues &amp; Outlays in GDP'!G413, "0.00"),""), "")</f>
        <v/>
      </c>
      <c r="C407" t="str">
        <f>IFERROR(IF(ISNUMBER('Revenues &amp; Outlays in GDP'!C413),TEXT('Revenues &amp; Outlays in GDP'!C413, "0.00"),""), "")</f>
        <v/>
      </c>
      <c r="D407" t="str">
        <f>IFERROR(IF(ISNUMBER('Revenues &amp; Outlays in GDP'!H413),TEXT('Revenues &amp; Outlays in GDP'!H413, "0.00"),""), "")</f>
        <v/>
      </c>
      <c r="E407" t="str">
        <f>IFERROR(IF(ISNUMBER('Revenues &amp; Outlays in GDP'!D413),TEXT('Revenues &amp; Outlays in GDP'!D413, "0.00"),""), "")</f>
        <v/>
      </c>
      <c r="F407" t="str">
        <f>IFERROR(IF(ISNUMBER('Revenues &amp; Outlays in GDP'!B413), 'Revenues &amp; Outlays in GDP'!J413, ""), "")</f>
        <v/>
      </c>
    </row>
    <row r="408" spans="1:6">
      <c r="A408" t="str">
        <f>TEXT(IF('Revenues &amp; Outlays in GDP'!B414&lt;&gt;0,'Revenues &amp; Outlays in GDP'!B414, ""), "mm/dd/yyyy")</f>
        <v/>
      </c>
      <c r="B408" t="str">
        <f>IFERROR(IF(ISNUMBER('Revenues &amp; Outlays in GDP'!G414),TEXT('Revenues &amp; Outlays in GDP'!G414, "0.00"),""), "")</f>
        <v/>
      </c>
      <c r="C408" t="str">
        <f>IFERROR(IF(ISNUMBER('Revenues &amp; Outlays in GDP'!C414),TEXT('Revenues &amp; Outlays in GDP'!C414, "0.00"),""), "")</f>
        <v/>
      </c>
      <c r="D408" t="str">
        <f>IFERROR(IF(ISNUMBER('Revenues &amp; Outlays in GDP'!H414),TEXT('Revenues &amp; Outlays in GDP'!H414, "0.00"),""), "")</f>
        <v/>
      </c>
      <c r="E408" t="str">
        <f>IFERROR(IF(ISNUMBER('Revenues &amp; Outlays in GDP'!D414),TEXT('Revenues &amp; Outlays in GDP'!D414, "0.00"),""), "")</f>
        <v/>
      </c>
      <c r="F408" t="str">
        <f>IFERROR(IF(ISNUMBER('Revenues &amp; Outlays in GDP'!B414), 'Revenues &amp; Outlays in GDP'!J414, ""), "")</f>
        <v/>
      </c>
    </row>
    <row r="409" spans="1:6">
      <c r="A409" t="str">
        <f>TEXT(IF('Revenues &amp; Outlays in GDP'!B415&lt;&gt;0,'Revenues &amp; Outlays in GDP'!B415, ""), "mm/dd/yyyy")</f>
        <v/>
      </c>
      <c r="B409" t="str">
        <f>IFERROR(IF(ISNUMBER('Revenues &amp; Outlays in GDP'!G415),TEXT('Revenues &amp; Outlays in GDP'!G415, "0.00"),""), "")</f>
        <v/>
      </c>
      <c r="C409" t="str">
        <f>IFERROR(IF(ISNUMBER('Revenues &amp; Outlays in GDP'!C415),TEXT('Revenues &amp; Outlays in GDP'!C415, "0.00"),""), "")</f>
        <v/>
      </c>
      <c r="D409" t="str">
        <f>IFERROR(IF(ISNUMBER('Revenues &amp; Outlays in GDP'!H415),TEXT('Revenues &amp; Outlays in GDP'!H415, "0.00"),""), "")</f>
        <v/>
      </c>
      <c r="E409" t="str">
        <f>IFERROR(IF(ISNUMBER('Revenues &amp; Outlays in GDP'!D415),TEXT('Revenues &amp; Outlays in GDP'!D415, "0.00"),""), "")</f>
        <v/>
      </c>
      <c r="F409" t="str">
        <f>IFERROR(IF(ISNUMBER('Revenues &amp; Outlays in GDP'!B415), 'Revenues &amp; Outlays in GDP'!J415, ""), "")</f>
        <v/>
      </c>
    </row>
    <row r="410" spans="1:6">
      <c r="A410" t="str">
        <f>TEXT(IF('Revenues &amp; Outlays in GDP'!B416&lt;&gt;0,'Revenues &amp; Outlays in GDP'!B416, ""), "mm/dd/yyyy")</f>
        <v/>
      </c>
      <c r="B410" t="str">
        <f>IFERROR(IF(ISNUMBER('Revenues &amp; Outlays in GDP'!G416),TEXT('Revenues &amp; Outlays in GDP'!G416, "0.00"),""), "")</f>
        <v/>
      </c>
      <c r="C410" t="str">
        <f>IFERROR(IF(ISNUMBER('Revenues &amp; Outlays in GDP'!C416),TEXT('Revenues &amp; Outlays in GDP'!C416, "0.00"),""), "")</f>
        <v/>
      </c>
      <c r="D410" t="str">
        <f>IFERROR(IF(ISNUMBER('Revenues &amp; Outlays in GDP'!H416),TEXT('Revenues &amp; Outlays in GDP'!H416, "0.00"),""), "")</f>
        <v/>
      </c>
      <c r="E410" t="str">
        <f>IFERROR(IF(ISNUMBER('Revenues &amp; Outlays in GDP'!D416),TEXT('Revenues &amp; Outlays in GDP'!D416, "0.00"),""), "")</f>
        <v/>
      </c>
      <c r="F410" t="str">
        <f>IFERROR(IF(ISNUMBER('Revenues &amp; Outlays in GDP'!B416), 'Revenues &amp; Outlays in GDP'!J416, ""), "")</f>
        <v/>
      </c>
    </row>
    <row r="411" spans="1:6">
      <c r="A411" t="str">
        <f>TEXT(IF('Revenues &amp; Outlays in GDP'!B417&lt;&gt;0,'Revenues &amp; Outlays in GDP'!B417, ""), "mm/dd/yyyy")</f>
        <v/>
      </c>
      <c r="B411" t="str">
        <f>IFERROR(IF(ISNUMBER('Revenues &amp; Outlays in GDP'!G417),TEXT('Revenues &amp; Outlays in GDP'!G417, "0.00"),""), "")</f>
        <v/>
      </c>
      <c r="C411" t="str">
        <f>IFERROR(IF(ISNUMBER('Revenues &amp; Outlays in GDP'!C417),TEXT('Revenues &amp; Outlays in GDP'!C417, "0.00"),""), "")</f>
        <v/>
      </c>
      <c r="D411" t="str">
        <f>IFERROR(IF(ISNUMBER('Revenues &amp; Outlays in GDP'!H417),TEXT('Revenues &amp; Outlays in GDP'!H417, "0.00"),""), "")</f>
        <v/>
      </c>
      <c r="E411" t="str">
        <f>IFERROR(IF(ISNUMBER('Revenues &amp; Outlays in GDP'!D417),TEXT('Revenues &amp; Outlays in GDP'!D417, "0.00"),""), "")</f>
        <v/>
      </c>
      <c r="F411" t="str">
        <f>IFERROR(IF(ISNUMBER('Revenues &amp; Outlays in GDP'!B417), 'Revenues &amp; Outlays in GDP'!J417, ""), "")</f>
        <v/>
      </c>
    </row>
    <row r="412" spans="1:6">
      <c r="A412" t="str">
        <f>TEXT(IF('Revenues &amp; Outlays in GDP'!B418&lt;&gt;0,'Revenues &amp; Outlays in GDP'!B418, ""), "mm/dd/yyyy")</f>
        <v/>
      </c>
      <c r="B412" t="str">
        <f>IFERROR(IF(ISNUMBER('Revenues &amp; Outlays in GDP'!G418),TEXT('Revenues &amp; Outlays in GDP'!G418, "0.00"),""), "")</f>
        <v/>
      </c>
      <c r="C412" t="str">
        <f>IFERROR(IF(ISNUMBER('Revenues &amp; Outlays in GDP'!C418),TEXT('Revenues &amp; Outlays in GDP'!C418, "0.00"),""), "")</f>
        <v/>
      </c>
      <c r="D412" t="str">
        <f>IFERROR(IF(ISNUMBER('Revenues &amp; Outlays in GDP'!H418),TEXT('Revenues &amp; Outlays in GDP'!H418, "0.00"),""), "")</f>
        <v/>
      </c>
      <c r="E412" t="str">
        <f>IFERROR(IF(ISNUMBER('Revenues &amp; Outlays in GDP'!D418),TEXT('Revenues &amp; Outlays in GDP'!D418, "0.00"),""), "")</f>
        <v/>
      </c>
      <c r="F412" t="str">
        <f>IFERROR(IF(ISNUMBER('Revenues &amp; Outlays in GDP'!B418), 'Revenues &amp; Outlays in GDP'!J418, ""), "")</f>
        <v/>
      </c>
    </row>
    <row r="413" spans="1:6">
      <c r="A413" t="str">
        <f>TEXT(IF('Revenues &amp; Outlays in GDP'!B419&lt;&gt;0,'Revenues &amp; Outlays in GDP'!B419, ""), "mm/dd/yyyy")</f>
        <v/>
      </c>
      <c r="B413" t="str">
        <f>IFERROR(IF(ISNUMBER('Revenues &amp; Outlays in GDP'!G419),TEXT('Revenues &amp; Outlays in GDP'!G419, "0.00"),""), "")</f>
        <v/>
      </c>
      <c r="C413" t="str">
        <f>IFERROR(IF(ISNUMBER('Revenues &amp; Outlays in GDP'!C419),TEXT('Revenues &amp; Outlays in GDP'!C419, "0.00"),""), "")</f>
        <v/>
      </c>
      <c r="D413" t="str">
        <f>IFERROR(IF(ISNUMBER('Revenues &amp; Outlays in GDP'!H419),TEXT('Revenues &amp; Outlays in GDP'!H419, "0.00"),""), "")</f>
        <v/>
      </c>
      <c r="E413" t="str">
        <f>IFERROR(IF(ISNUMBER('Revenues &amp; Outlays in GDP'!D419),TEXT('Revenues &amp; Outlays in GDP'!D419, "0.00"),""), "")</f>
        <v/>
      </c>
      <c r="F413" t="str">
        <f>IFERROR(IF(ISNUMBER('Revenues &amp; Outlays in GDP'!B419), 'Revenues &amp; Outlays in GDP'!J419, ""), "")</f>
        <v/>
      </c>
    </row>
    <row r="414" spans="1:6">
      <c r="A414" t="str">
        <f>TEXT(IF('Revenues &amp; Outlays in GDP'!B420&lt;&gt;0,'Revenues &amp; Outlays in GDP'!B420, ""), "mm/dd/yyyy")</f>
        <v/>
      </c>
      <c r="B414" t="str">
        <f>IFERROR(IF(ISNUMBER('Revenues &amp; Outlays in GDP'!G420),TEXT('Revenues &amp; Outlays in GDP'!G420, "0.00"),""), "")</f>
        <v/>
      </c>
      <c r="C414" t="str">
        <f>IFERROR(IF(ISNUMBER('Revenues &amp; Outlays in GDP'!C420),TEXT('Revenues &amp; Outlays in GDP'!C420, "0.00"),""), "")</f>
        <v/>
      </c>
      <c r="D414" t="str">
        <f>IFERROR(IF(ISNUMBER('Revenues &amp; Outlays in GDP'!H420),TEXT('Revenues &amp; Outlays in GDP'!H420, "0.00"),""), "")</f>
        <v/>
      </c>
      <c r="E414" t="str">
        <f>IFERROR(IF(ISNUMBER('Revenues &amp; Outlays in GDP'!D420),TEXT('Revenues &amp; Outlays in GDP'!D420, "0.00"),""), "")</f>
        <v/>
      </c>
      <c r="F414" t="str">
        <f>IFERROR(IF(ISNUMBER('Revenues &amp; Outlays in GDP'!B420), 'Revenues &amp; Outlays in GDP'!J420, ""), "")</f>
        <v/>
      </c>
    </row>
    <row r="415" spans="1:6">
      <c r="A415" t="str">
        <f>TEXT(IF('Revenues &amp; Outlays in GDP'!B421&lt;&gt;0,'Revenues &amp; Outlays in GDP'!B421, ""), "mm/dd/yyyy")</f>
        <v/>
      </c>
      <c r="B415" t="str">
        <f>IFERROR(IF(ISNUMBER('Revenues &amp; Outlays in GDP'!G421),TEXT('Revenues &amp; Outlays in GDP'!G421, "0.00"),""), "")</f>
        <v/>
      </c>
      <c r="C415" t="str">
        <f>IFERROR(IF(ISNUMBER('Revenues &amp; Outlays in GDP'!C421),TEXT('Revenues &amp; Outlays in GDP'!C421, "0.00"),""), "")</f>
        <v/>
      </c>
      <c r="D415" t="str">
        <f>IFERROR(IF(ISNUMBER('Revenues &amp; Outlays in GDP'!H421),TEXT('Revenues &amp; Outlays in GDP'!H421, "0.00"),""), "")</f>
        <v/>
      </c>
      <c r="E415" t="str">
        <f>IFERROR(IF(ISNUMBER('Revenues &amp; Outlays in GDP'!D421),TEXT('Revenues &amp; Outlays in GDP'!D421, "0.00"),""), "")</f>
        <v/>
      </c>
      <c r="F415" t="str">
        <f>IFERROR(IF(ISNUMBER('Revenues &amp; Outlays in GDP'!B421), 'Revenues &amp; Outlays in GDP'!J421, ""), "")</f>
        <v/>
      </c>
    </row>
    <row r="416" spans="1:6">
      <c r="A416" t="str">
        <f>TEXT(IF('Revenues &amp; Outlays in GDP'!B422&lt;&gt;0,'Revenues &amp; Outlays in GDP'!B422, ""), "mm/dd/yyyy")</f>
        <v/>
      </c>
      <c r="B416" t="str">
        <f>IFERROR(IF(ISNUMBER('Revenues &amp; Outlays in GDP'!G422),TEXT('Revenues &amp; Outlays in GDP'!G422, "0.00"),""), "")</f>
        <v/>
      </c>
      <c r="C416" t="str">
        <f>IFERROR(IF(ISNUMBER('Revenues &amp; Outlays in GDP'!C422),TEXT('Revenues &amp; Outlays in GDP'!C422, "0.00"),""), "")</f>
        <v/>
      </c>
      <c r="D416" t="str">
        <f>IFERROR(IF(ISNUMBER('Revenues &amp; Outlays in GDP'!H422),TEXT('Revenues &amp; Outlays in GDP'!H422, "0.00"),""), "")</f>
        <v/>
      </c>
      <c r="E416" t="str">
        <f>IFERROR(IF(ISNUMBER('Revenues &amp; Outlays in GDP'!D422),TEXT('Revenues &amp; Outlays in GDP'!D422, "0.00"),""), "")</f>
        <v/>
      </c>
      <c r="F416" t="str">
        <f>IFERROR(IF(ISNUMBER('Revenues &amp; Outlays in GDP'!B422), 'Revenues &amp; Outlays in GDP'!J422, ""), "")</f>
        <v/>
      </c>
    </row>
    <row r="417" spans="1:6">
      <c r="A417" t="str">
        <f>TEXT(IF('Revenues &amp; Outlays in GDP'!B423&lt;&gt;0,'Revenues &amp; Outlays in GDP'!B423, ""), "mm/dd/yyyy")</f>
        <v/>
      </c>
      <c r="B417" t="str">
        <f>IFERROR(IF(ISNUMBER('Revenues &amp; Outlays in GDP'!G423),TEXT('Revenues &amp; Outlays in GDP'!G423, "0.00"),""), "")</f>
        <v/>
      </c>
      <c r="C417" t="str">
        <f>IFERROR(IF(ISNUMBER('Revenues &amp; Outlays in GDP'!C423),TEXT('Revenues &amp; Outlays in GDP'!C423, "0.00"),""), "")</f>
        <v/>
      </c>
      <c r="D417" t="str">
        <f>IFERROR(IF(ISNUMBER('Revenues &amp; Outlays in GDP'!H423),TEXT('Revenues &amp; Outlays in GDP'!H423, "0.00"),""), "")</f>
        <v/>
      </c>
      <c r="E417" t="str">
        <f>IFERROR(IF(ISNUMBER('Revenues &amp; Outlays in GDP'!D423),TEXT('Revenues &amp; Outlays in GDP'!D423, "0.00"),""), "")</f>
        <v/>
      </c>
      <c r="F417" t="str">
        <f>IFERROR(IF(ISNUMBER('Revenues &amp; Outlays in GDP'!B423), 'Revenues &amp; Outlays in GDP'!J423, ""), "")</f>
        <v/>
      </c>
    </row>
    <row r="418" spans="1:6">
      <c r="A418" t="str">
        <f>TEXT(IF('Revenues &amp; Outlays in GDP'!B424&lt;&gt;0,'Revenues &amp; Outlays in GDP'!B424, ""), "mm/dd/yyyy")</f>
        <v/>
      </c>
      <c r="B418" t="str">
        <f>IFERROR(IF(ISNUMBER('Revenues &amp; Outlays in GDP'!G424),TEXT('Revenues &amp; Outlays in GDP'!G424, "0.00"),""), "")</f>
        <v/>
      </c>
      <c r="C418" t="str">
        <f>IFERROR(IF(ISNUMBER('Revenues &amp; Outlays in GDP'!C424),TEXT('Revenues &amp; Outlays in GDP'!C424, "0.00"),""), "")</f>
        <v/>
      </c>
      <c r="D418" t="str">
        <f>IFERROR(IF(ISNUMBER('Revenues &amp; Outlays in GDP'!H424),TEXT('Revenues &amp; Outlays in GDP'!H424, "0.00"),""), "")</f>
        <v/>
      </c>
      <c r="E418" t="str">
        <f>IFERROR(IF(ISNUMBER('Revenues &amp; Outlays in GDP'!D424),TEXT('Revenues &amp; Outlays in GDP'!D424, "0.00"),""), "")</f>
        <v/>
      </c>
      <c r="F418" t="str">
        <f>IFERROR(IF(ISNUMBER('Revenues &amp; Outlays in GDP'!B424), 'Revenues &amp; Outlays in GDP'!J424, ""), "")</f>
        <v/>
      </c>
    </row>
    <row r="419" spans="1:6">
      <c r="A419" t="str">
        <f>TEXT(IF('Revenues &amp; Outlays in GDP'!B425&lt;&gt;0,'Revenues &amp; Outlays in GDP'!B425, ""), "mm/dd/yyyy")</f>
        <v/>
      </c>
      <c r="B419" t="str">
        <f>IFERROR(IF(ISNUMBER('Revenues &amp; Outlays in GDP'!G425),TEXT('Revenues &amp; Outlays in GDP'!G425, "0.00"),""), "")</f>
        <v/>
      </c>
      <c r="C419" t="str">
        <f>IFERROR(IF(ISNUMBER('Revenues &amp; Outlays in GDP'!C425),TEXT('Revenues &amp; Outlays in GDP'!C425, "0.00"),""), "")</f>
        <v/>
      </c>
      <c r="D419" t="str">
        <f>IFERROR(IF(ISNUMBER('Revenues &amp; Outlays in GDP'!H425),TEXT('Revenues &amp; Outlays in GDP'!H425, "0.00"),""), "")</f>
        <v/>
      </c>
      <c r="E419" t="str">
        <f>IFERROR(IF(ISNUMBER('Revenues &amp; Outlays in GDP'!D425),TEXT('Revenues &amp; Outlays in GDP'!D425, "0.00"),""), "")</f>
        <v/>
      </c>
      <c r="F419" t="str">
        <f>IFERROR(IF(ISNUMBER('Revenues &amp; Outlays in GDP'!B425), 'Revenues &amp; Outlays in GDP'!J425, ""), "")</f>
        <v/>
      </c>
    </row>
    <row r="420" spans="1:6">
      <c r="A420" t="str">
        <f>TEXT(IF('Revenues &amp; Outlays in GDP'!B426&lt;&gt;0,'Revenues &amp; Outlays in GDP'!B426, ""), "mm/dd/yyyy")</f>
        <v/>
      </c>
      <c r="B420" t="str">
        <f>IFERROR(IF(ISNUMBER('Revenues &amp; Outlays in GDP'!G426),TEXT('Revenues &amp; Outlays in GDP'!G426, "0.00"),""), "")</f>
        <v/>
      </c>
      <c r="C420" t="str">
        <f>IFERROR(IF(ISNUMBER('Revenues &amp; Outlays in GDP'!C426),TEXT('Revenues &amp; Outlays in GDP'!C426, "0.00"),""), "")</f>
        <v/>
      </c>
      <c r="D420" t="str">
        <f>IFERROR(IF(ISNUMBER('Revenues &amp; Outlays in GDP'!H426),TEXT('Revenues &amp; Outlays in GDP'!H426, "0.00"),""), "")</f>
        <v/>
      </c>
      <c r="E420" t="str">
        <f>IFERROR(IF(ISNUMBER('Revenues &amp; Outlays in GDP'!D426),TEXT('Revenues &amp; Outlays in GDP'!D426, "0.00"),""), "")</f>
        <v/>
      </c>
      <c r="F420" t="str">
        <f>IFERROR(IF(ISNUMBER('Revenues &amp; Outlays in GDP'!B426), 'Revenues &amp; Outlays in GDP'!J426, ""), "")</f>
        <v/>
      </c>
    </row>
    <row r="421" spans="1:6">
      <c r="A421" t="str">
        <f>TEXT(IF('Revenues &amp; Outlays in GDP'!B427&lt;&gt;0,'Revenues &amp; Outlays in GDP'!B427, ""), "mm/dd/yyyy")</f>
        <v/>
      </c>
      <c r="B421" t="str">
        <f>IFERROR(IF(ISNUMBER('Revenues &amp; Outlays in GDP'!G427),TEXT('Revenues &amp; Outlays in GDP'!G427, "0.00"),""), "")</f>
        <v/>
      </c>
      <c r="C421" t="str">
        <f>IFERROR(IF(ISNUMBER('Revenues &amp; Outlays in GDP'!C427),TEXT('Revenues &amp; Outlays in GDP'!C427, "0.00"),""), "")</f>
        <v/>
      </c>
      <c r="D421" t="str">
        <f>IFERROR(IF(ISNUMBER('Revenues &amp; Outlays in GDP'!H427),TEXT('Revenues &amp; Outlays in GDP'!H427, "0.00"),""), "")</f>
        <v/>
      </c>
      <c r="E421" t="str">
        <f>IFERROR(IF(ISNUMBER('Revenues &amp; Outlays in GDP'!D427),TEXT('Revenues &amp; Outlays in GDP'!D427, "0.00"),""), "")</f>
        <v/>
      </c>
      <c r="F421" t="str">
        <f>IFERROR(IF(ISNUMBER('Revenues &amp; Outlays in GDP'!B427), 'Revenues &amp; Outlays in GDP'!J427, ""), "")</f>
        <v/>
      </c>
    </row>
    <row r="422" spans="1:6">
      <c r="A422" t="str">
        <f>TEXT(IF('Revenues &amp; Outlays in GDP'!B428&lt;&gt;0,'Revenues &amp; Outlays in GDP'!B428, ""), "mm/dd/yyyy")</f>
        <v/>
      </c>
      <c r="B422" t="str">
        <f>IFERROR(IF(ISNUMBER('Revenues &amp; Outlays in GDP'!G428),TEXT('Revenues &amp; Outlays in GDP'!G428, "0.00"),""), "")</f>
        <v/>
      </c>
      <c r="C422" t="str">
        <f>IFERROR(IF(ISNUMBER('Revenues &amp; Outlays in GDP'!C428),TEXT('Revenues &amp; Outlays in GDP'!C428, "0.00"),""), "")</f>
        <v/>
      </c>
      <c r="D422" t="str">
        <f>IFERROR(IF(ISNUMBER('Revenues &amp; Outlays in GDP'!H428),TEXT('Revenues &amp; Outlays in GDP'!H428, "0.00"),""), "")</f>
        <v/>
      </c>
      <c r="E422" t="str">
        <f>IFERROR(IF(ISNUMBER('Revenues &amp; Outlays in GDP'!D428),TEXT('Revenues &amp; Outlays in GDP'!D428, "0.00"),""), "")</f>
        <v/>
      </c>
      <c r="F422" t="str">
        <f>IFERROR(IF(ISNUMBER('Revenues &amp; Outlays in GDP'!B428), 'Revenues &amp; Outlays in GDP'!J428, ""), "")</f>
        <v/>
      </c>
    </row>
    <row r="423" spans="1:6">
      <c r="A423" t="str">
        <f>TEXT(IF('Revenues &amp; Outlays in GDP'!B429&lt;&gt;0,'Revenues &amp; Outlays in GDP'!B429, ""), "mm/dd/yyyy")</f>
        <v/>
      </c>
      <c r="B423" t="str">
        <f>IFERROR(IF(ISNUMBER('Revenues &amp; Outlays in GDP'!G429),TEXT('Revenues &amp; Outlays in GDP'!G429, "0.00"),""), "")</f>
        <v/>
      </c>
      <c r="C423" t="str">
        <f>IFERROR(IF(ISNUMBER('Revenues &amp; Outlays in GDP'!C429),TEXT('Revenues &amp; Outlays in GDP'!C429, "0.00"),""), "")</f>
        <v/>
      </c>
      <c r="D423" t="str">
        <f>IFERROR(IF(ISNUMBER('Revenues &amp; Outlays in GDP'!H429),TEXT('Revenues &amp; Outlays in GDP'!H429, "0.00"),""), "")</f>
        <v/>
      </c>
      <c r="E423" t="str">
        <f>IFERROR(IF(ISNUMBER('Revenues &amp; Outlays in GDP'!D429),TEXT('Revenues &amp; Outlays in GDP'!D429, "0.00"),""), "")</f>
        <v/>
      </c>
      <c r="F423" t="str">
        <f>IFERROR(IF(ISNUMBER('Revenues &amp; Outlays in GDP'!B429), 'Revenues &amp; Outlays in GDP'!J429, ""), "")</f>
        <v/>
      </c>
    </row>
    <row r="424" spans="1:6">
      <c r="A424" t="str">
        <f>TEXT(IF('Revenues &amp; Outlays in GDP'!B430&lt;&gt;0,'Revenues &amp; Outlays in GDP'!B430, ""), "mm/dd/yyyy")</f>
        <v/>
      </c>
      <c r="B424" t="str">
        <f>IFERROR(IF(ISNUMBER('Revenues &amp; Outlays in GDP'!G430),TEXT('Revenues &amp; Outlays in GDP'!G430, "0.00"),""), "")</f>
        <v/>
      </c>
      <c r="C424" t="str">
        <f>IFERROR(IF(ISNUMBER('Revenues &amp; Outlays in GDP'!C430),TEXT('Revenues &amp; Outlays in GDP'!C430, "0.00"),""), "")</f>
        <v/>
      </c>
      <c r="D424" t="str">
        <f>IFERROR(IF(ISNUMBER('Revenues &amp; Outlays in GDP'!H430),TEXT('Revenues &amp; Outlays in GDP'!H430, "0.00"),""), "")</f>
        <v/>
      </c>
      <c r="E424" t="str">
        <f>IFERROR(IF(ISNUMBER('Revenues &amp; Outlays in GDP'!D430),TEXT('Revenues &amp; Outlays in GDP'!D430, "0.00"),""), "")</f>
        <v/>
      </c>
      <c r="F424" t="str">
        <f>IFERROR(IF(ISNUMBER('Revenues &amp; Outlays in GDP'!B430), 'Revenues &amp; Outlays in GDP'!J430, ""), "")</f>
        <v/>
      </c>
    </row>
    <row r="425" spans="1:6">
      <c r="A425" t="str">
        <f>TEXT(IF('Revenues &amp; Outlays in GDP'!B431&lt;&gt;0,'Revenues &amp; Outlays in GDP'!B431, ""), "mm/dd/yyyy")</f>
        <v/>
      </c>
      <c r="B425" t="str">
        <f>IFERROR(IF(ISNUMBER('Revenues &amp; Outlays in GDP'!G431),TEXT('Revenues &amp; Outlays in GDP'!G431, "0.00"),""), "")</f>
        <v/>
      </c>
      <c r="C425" t="str">
        <f>IFERROR(IF(ISNUMBER('Revenues &amp; Outlays in GDP'!C431),TEXT('Revenues &amp; Outlays in GDP'!C431, "0.00"),""), "")</f>
        <v/>
      </c>
      <c r="D425" t="str">
        <f>IFERROR(IF(ISNUMBER('Revenues &amp; Outlays in GDP'!H431),TEXT('Revenues &amp; Outlays in GDP'!H431, "0.00"),""), "")</f>
        <v/>
      </c>
      <c r="E425" t="str">
        <f>IFERROR(IF(ISNUMBER('Revenues &amp; Outlays in GDP'!D431),TEXT('Revenues &amp; Outlays in GDP'!D431, "0.00"),""), "")</f>
        <v/>
      </c>
      <c r="F425" t="str">
        <f>IFERROR(IF(ISNUMBER('Revenues &amp; Outlays in GDP'!B431), 'Revenues &amp; Outlays in GDP'!J431, ""), "")</f>
        <v/>
      </c>
    </row>
    <row r="426" spans="1:6">
      <c r="A426" t="str">
        <f>TEXT(IF('Revenues &amp; Outlays in GDP'!B432&lt;&gt;0,'Revenues &amp; Outlays in GDP'!B432, ""), "mm/dd/yyyy")</f>
        <v/>
      </c>
      <c r="B426" t="str">
        <f>IFERROR(IF(ISNUMBER('Revenues &amp; Outlays in GDP'!G432),TEXT('Revenues &amp; Outlays in GDP'!G432, "0.00"),""), "")</f>
        <v/>
      </c>
      <c r="C426" t="str">
        <f>IFERROR(IF(ISNUMBER('Revenues &amp; Outlays in GDP'!C432),TEXT('Revenues &amp; Outlays in GDP'!C432, "0.00"),""), "")</f>
        <v/>
      </c>
      <c r="D426" t="str">
        <f>IFERROR(IF(ISNUMBER('Revenues &amp; Outlays in GDP'!H432),TEXT('Revenues &amp; Outlays in GDP'!H432, "0.00"),""), "")</f>
        <v/>
      </c>
      <c r="E426" t="str">
        <f>IFERROR(IF(ISNUMBER('Revenues &amp; Outlays in GDP'!D432),TEXT('Revenues &amp; Outlays in GDP'!D432, "0.00"),""), "")</f>
        <v/>
      </c>
      <c r="F426" t="str">
        <f>IFERROR(IF(ISNUMBER('Revenues &amp; Outlays in GDP'!B432), 'Revenues &amp; Outlays in GDP'!J432, ""), "")</f>
        <v/>
      </c>
    </row>
    <row r="427" spans="1:6">
      <c r="A427" t="str">
        <f>TEXT(IF('Revenues &amp; Outlays in GDP'!B433&lt;&gt;0,'Revenues &amp; Outlays in GDP'!B433, ""), "mm/dd/yyyy")</f>
        <v/>
      </c>
      <c r="B427" t="str">
        <f>IFERROR(IF(ISNUMBER('Revenues &amp; Outlays in GDP'!G433),TEXT('Revenues &amp; Outlays in GDP'!G433, "0.00"),""), "")</f>
        <v/>
      </c>
      <c r="C427" t="str">
        <f>IFERROR(IF(ISNUMBER('Revenues &amp; Outlays in GDP'!C433),TEXT('Revenues &amp; Outlays in GDP'!C433, "0.00"),""), "")</f>
        <v/>
      </c>
      <c r="D427" t="str">
        <f>IFERROR(IF(ISNUMBER('Revenues &amp; Outlays in GDP'!H433),TEXT('Revenues &amp; Outlays in GDP'!H433, "0.00"),""), "")</f>
        <v/>
      </c>
      <c r="E427" t="str">
        <f>IFERROR(IF(ISNUMBER('Revenues &amp; Outlays in GDP'!D433),TEXT('Revenues &amp; Outlays in GDP'!D433, "0.00"),""), "")</f>
        <v/>
      </c>
      <c r="F427" t="str">
        <f>IFERROR(IF(ISNUMBER('Revenues &amp; Outlays in GDP'!B433), 'Revenues &amp; Outlays in GDP'!J433, ""), "")</f>
        <v/>
      </c>
    </row>
    <row r="428" spans="1:6">
      <c r="A428" t="str">
        <f>TEXT(IF('Revenues &amp; Outlays in GDP'!B434&lt;&gt;0,'Revenues &amp; Outlays in GDP'!B434, ""), "mm/dd/yyyy")</f>
        <v/>
      </c>
      <c r="B428" t="str">
        <f>IFERROR(IF(ISNUMBER('Revenues &amp; Outlays in GDP'!G434),TEXT('Revenues &amp; Outlays in GDP'!G434, "0.00"),""), "")</f>
        <v/>
      </c>
      <c r="C428" t="str">
        <f>IFERROR(IF(ISNUMBER('Revenues &amp; Outlays in GDP'!C434),TEXT('Revenues &amp; Outlays in GDP'!C434, "0.00"),""), "")</f>
        <v/>
      </c>
      <c r="D428" t="str">
        <f>IFERROR(IF(ISNUMBER('Revenues &amp; Outlays in GDP'!H434),TEXT('Revenues &amp; Outlays in GDP'!H434, "0.00"),""), "")</f>
        <v/>
      </c>
      <c r="E428" t="str">
        <f>IFERROR(IF(ISNUMBER('Revenues &amp; Outlays in GDP'!D434),TEXT('Revenues &amp; Outlays in GDP'!D434, "0.00"),""), "")</f>
        <v/>
      </c>
      <c r="F428" t="str">
        <f>IFERROR(IF(ISNUMBER('Revenues &amp; Outlays in GDP'!B434), 'Revenues &amp; Outlays in GDP'!J434, ""), "")</f>
        <v/>
      </c>
    </row>
    <row r="429" spans="1:6">
      <c r="A429" t="str">
        <f>TEXT(IF('Revenues &amp; Outlays in GDP'!B435&lt;&gt;0,'Revenues &amp; Outlays in GDP'!B435, ""), "mm/dd/yyyy")</f>
        <v/>
      </c>
      <c r="B429" t="str">
        <f>IFERROR(IF(ISNUMBER('Revenues &amp; Outlays in GDP'!G435),TEXT('Revenues &amp; Outlays in GDP'!G435, "0.00"),""), "")</f>
        <v/>
      </c>
      <c r="C429" t="str">
        <f>IFERROR(IF(ISNUMBER('Revenues &amp; Outlays in GDP'!C435),TEXT('Revenues &amp; Outlays in GDP'!C435, "0.00"),""), "")</f>
        <v/>
      </c>
      <c r="D429" t="str">
        <f>IFERROR(IF(ISNUMBER('Revenues &amp; Outlays in GDP'!H435),TEXT('Revenues &amp; Outlays in GDP'!H435, "0.00"),""), "")</f>
        <v/>
      </c>
      <c r="E429" t="str">
        <f>IFERROR(IF(ISNUMBER('Revenues &amp; Outlays in GDP'!D435),TEXT('Revenues &amp; Outlays in GDP'!D435, "0.00"),""), "")</f>
        <v/>
      </c>
      <c r="F429" t="str">
        <f>IFERROR(IF(ISNUMBER('Revenues &amp; Outlays in GDP'!B435), 'Revenues &amp; Outlays in GDP'!J435, ""), "")</f>
        <v/>
      </c>
    </row>
    <row r="430" spans="1:6">
      <c r="A430" t="str">
        <f>TEXT(IF('Revenues &amp; Outlays in GDP'!B436&lt;&gt;0,'Revenues &amp; Outlays in GDP'!B436, ""), "mm/dd/yyyy")</f>
        <v/>
      </c>
      <c r="B430" t="str">
        <f>IFERROR(IF(ISNUMBER('Revenues &amp; Outlays in GDP'!G436),TEXT('Revenues &amp; Outlays in GDP'!G436, "0.00"),""), "")</f>
        <v/>
      </c>
      <c r="C430" t="str">
        <f>IFERROR(IF(ISNUMBER('Revenues &amp; Outlays in GDP'!C436),TEXT('Revenues &amp; Outlays in GDP'!C436, "0.00"),""), "")</f>
        <v/>
      </c>
      <c r="D430" t="str">
        <f>IFERROR(IF(ISNUMBER('Revenues &amp; Outlays in GDP'!H436),TEXT('Revenues &amp; Outlays in GDP'!H436, "0.00"),""), "")</f>
        <v/>
      </c>
      <c r="E430" t="str">
        <f>IFERROR(IF(ISNUMBER('Revenues &amp; Outlays in GDP'!D436),TEXT('Revenues &amp; Outlays in GDP'!D436, "0.00"),""), "")</f>
        <v/>
      </c>
      <c r="F430" t="str">
        <f>IFERROR(IF(ISNUMBER('Revenues &amp; Outlays in GDP'!B436), 'Revenues &amp; Outlays in GDP'!J436, ""), "")</f>
        <v/>
      </c>
    </row>
    <row r="431" spans="1:6">
      <c r="A431" t="str">
        <f>TEXT(IF('Revenues &amp; Outlays in GDP'!B437&lt;&gt;0,'Revenues &amp; Outlays in GDP'!B437, ""), "mm/dd/yyyy")</f>
        <v/>
      </c>
      <c r="B431" t="str">
        <f>IFERROR(IF(ISNUMBER('Revenues &amp; Outlays in GDP'!G437),TEXT('Revenues &amp; Outlays in GDP'!G437, "0.00"),""), "")</f>
        <v/>
      </c>
      <c r="C431" t="str">
        <f>IFERROR(IF(ISNUMBER('Revenues &amp; Outlays in GDP'!C437),TEXT('Revenues &amp; Outlays in GDP'!C437, "0.00"),""), "")</f>
        <v/>
      </c>
      <c r="D431" t="str">
        <f>IFERROR(IF(ISNUMBER('Revenues &amp; Outlays in GDP'!H437),TEXT('Revenues &amp; Outlays in GDP'!H437, "0.00"),""), "")</f>
        <v/>
      </c>
      <c r="E431" t="str">
        <f>IFERROR(IF(ISNUMBER('Revenues &amp; Outlays in GDP'!D437),TEXT('Revenues &amp; Outlays in GDP'!D437, "0.00"),""), "")</f>
        <v/>
      </c>
      <c r="F431" t="str">
        <f>IFERROR(IF(ISNUMBER('Revenues &amp; Outlays in GDP'!B437), 'Revenues &amp; Outlays in GDP'!J437, ""), "")</f>
        <v/>
      </c>
    </row>
    <row r="432" spans="1:6">
      <c r="A432" t="str">
        <f>TEXT(IF('Revenues &amp; Outlays in GDP'!B438&lt;&gt;0,'Revenues &amp; Outlays in GDP'!B438, ""), "mm/dd/yyyy")</f>
        <v/>
      </c>
      <c r="B432" t="str">
        <f>IFERROR(IF(ISNUMBER('Revenues &amp; Outlays in GDP'!G438),TEXT('Revenues &amp; Outlays in GDP'!G438, "0.00"),""), "")</f>
        <v/>
      </c>
      <c r="C432" t="str">
        <f>IFERROR(IF(ISNUMBER('Revenues &amp; Outlays in GDP'!C438),TEXT('Revenues &amp; Outlays in GDP'!C438, "0.00"),""), "")</f>
        <v/>
      </c>
      <c r="D432" t="str">
        <f>IFERROR(IF(ISNUMBER('Revenues &amp; Outlays in GDP'!H438),TEXT('Revenues &amp; Outlays in GDP'!H438, "0.00"),""), "")</f>
        <v/>
      </c>
      <c r="E432" t="str">
        <f>IFERROR(IF(ISNUMBER('Revenues &amp; Outlays in GDP'!D438),TEXT('Revenues &amp; Outlays in GDP'!D438, "0.00"),""), "")</f>
        <v/>
      </c>
      <c r="F432" t="str">
        <f>IFERROR(IF(ISNUMBER('Revenues &amp; Outlays in GDP'!B438), 'Revenues &amp; Outlays in GDP'!J438, ""), "")</f>
        <v/>
      </c>
    </row>
    <row r="433" spans="1:6">
      <c r="A433" t="str">
        <f>TEXT(IF('Revenues &amp; Outlays in GDP'!B439&lt;&gt;0,'Revenues &amp; Outlays in GDP'!B439, ""), "mm/dd/yyyy")</f>
        <v/>
      </c>
      <c r="B433" t="str">
        <f>IFERROR(IF(ISNUMBER('Revenues &amp; Outlays in GDP'!G439),TEXT('Revenues &amp; Outlays in GDP'!G439, "0.00"),""), "")</f>
        <v/>
      </c>
      <c r="C433" t="str">
        <f>IFERROR(IF(ISNUMBER('Revenues &amp; Outlays in GDP'!C439),TEXT('Revenues &amp; Outlays in GDP'!C439, "0.00"),""), "")</f>
        <v/>
      </c>
      <c r="D433" t="str">
        <f>IFERROR(IF(ISNUMBER('Revenues &amp; Outlays in GDP'!H439),TEXT('Revenues &amp; Outlays in GDP'!H439, "0.00"),""), "")</f>
        <v/>
      </c>
      <c r="E433" t="str">
        <f>IFERROR(IF(ISNUMBER('Revenues &amp; Outlays in GDP'!D439),TEXT('Revenues &amp; Outlays in GDP'!D439, "0.00"),""), "")</f>
        <v/>
      </c>
      <c r="F433" t="str">
        <f>IFERROR(IF(ISNUMBER('Revenues &amp; Outlays in GDP'!B439), 'Revenues &amp; Outlays in GDP'!J439, ""), "")</f>
        <v/>
      </c>
    </row>
    <row r="434" spans="1:6">
      <c r="A434" t="str">
        <f>TEXT(IF('Revenues &amp; Outlays in GDP'!B440&lt;&gt;0,'Revenues &amp; Outlays in GDP'!B440, ""), "mm/dd/yyyy")</f>
        <v/>
      </c>
      <c r="B434" t="str">
        <f>IFERROR(IF(ISNUMBER('Revenues &amp; Outlays in GDP'!G440),TEXT('Revenues &amp; Outlays in GDP'!G440, "0.00"),""), "")</f>
        <v/>
      </c>
      <c r="C434" t="str">
        <f>IFERROR(IF(ISNUMBER('Revenues &amp; Outlays in GDP'!C440),TEXT('Revenues &amp; Outlays in GDP'!C440, "0.00"),""), "")</f>
        <v/>
      </c>
      <c r="D434" t="str">
        <f>IFERROR(IF(ISNUMBER('Revenues &amp; Outlays in GDP'!H440),TEXT('Revenues &amp; Outlays in GDP'!H440, "0.00"),""), "")</f>
        <v/>
      </c>
      <c r="E434" t="str">
        <f>IFERROR(IF(ISNUMBER('Revenues &amp; Outlays in GDP'!D440),TEXT('Revenues &amp; Outlays in GDP'!D440, "0.00"),""), "")</f>
        <v/>
      </c>
      <c r="F434" t="str">
        <f>IFERROR(IF(ISNUMBER('Revenues &amp; Outlays in GDP'!B440), 'Revenues &amp; Outlays in GDP'!J440, ""), "")</f>
        <v/>
      </c>
    </row>
    <row r="435" spans="1:6">
      <c r="A435" t="str">
        <f>TEXT(IF('Revenues &amp; Outlays in GDP'!B441&lt;&gt;0,'Revenues &amp; Outlays in GDP'!B441, ""), "mm/dd/yyyy")</f>
        <v/>
      </c>
      <c r="B435" t="str">
        <f>IFERROR(IF(ISNUMBER('Revenues &amp; Outlays in GDP'!G441),TEXT('Revenues &amp; Outlays in GDP'!G441, "0.00"),""), "")</f>
        <v/>
      </c>
      <c r="C435" t="str">
        <f>IFERROR(IF(ISNUMBER('Revenues &amp; Outlays in GDP'!C441),TEXT('Revenues &amp; Outlays in GDP'!C441, "0.00"),""), "")</f>
        <v/>
      </c>
      <c r="D435" t="str">
        <f>IFERROR(IF(ISNUMBER('Revenues &amp; Outlays in GDP'!H441),TEXT('Revenues &amp; Outlays in GDP'!H441, "0.00"),""), "")</f>
        <v/>
      </c>
      <c r="E435" t="str">
        <f>IFERROR(IF(ISNUMBER('Revenues &amp; Outlays in GDP'!D441),TEXT('Revenues &amp; Outlays in GDP'!D441, "0.00"),""), "")</f>
        <v/>
      </c>
      <c r="F435" t="str">
        <f>IFERROR(IF(ISNUMBER('Revenues &amp; Outlays in GDP'!B441), 'Revenues &amp; Outlays in GDP'!J441, ""), "")</f>
        <v/>
      </c>
    </row>
    <row r="436" spans="1:6">
      <c r="A436" t="str">
        <f>TEXT(IF('Revenues &amp; Outlays in GDP'!B442&lt;&gt;0,'Revenues &amp; Outlays in GDP'!B442, ""), "mm/dd/yyyy")</f>
        <v/>
      </c>
      <c r="B436" t="str">
        <f>IFERROR(IF(ISNUMBER('Revenues &amp; Outlays in GDP'!G442),TEXT('Revenues &amp; Outlays in GDP'!G442, "0.00"),""), "")</f>
        <v/>
      </c>
      <c r="C436" t="str">
        <f>IFERROR(IF(ISNUMBER('Revenues &amp; Outlays in GDP'!C442),TEXT('Revenues &amp; Outlays in GDP'!C442, "0.00"),""), "")</f>
        <v/>
      </c>
      <c r="D436" t="str">
        <f>IFERROR(IF(ISNUMBER('Revenues &amp; Outlays in GDP'!H442),TEXT('Revenues &amp; Outlays in GDP'!H442, "0.00"),""), "")</f>
        <v/>
      </c>
      <c r="E436" t="str">
        <f>IFERROR(IF(ISNUMBER('Revenues &amp; Outlays in GDP'!D442),TEXT('Revenues &amp; Outlays in GDP'!D442, "0.00"),""), "")</f>
        <v/>
      </c>
      <c r="F436" t="str">
        <f>IFERROR(IF(ISNUMBER('Revenues &amp; Outlays in GDP'!B442), 'Revenues &amp; Outlays in GDP'!J442, ""), "")</f>
        <v/>
      </c>
    </row>
    <row r="437" spans="1:6">
      <c r="A437" t="str">
        <f>TEXT(IF('Revenues &amp; Outlays in GDP'!B443&lt;&gt;0,'Revenues &amp; Outlays in GDP'!B443, ""), "mm/dd/yyyy")</f>
        <v/>
      </c>
      <c r="B437" t="str">
        <f>IFERROR(IF(ISNUMBER('Revenues &amp; Outlays in GDP'!G443),TEXT('Revenues &amp; Outlays in GDP'!G443, "0.00"),""), "")</f>
        <v/>
      </c>
      <c r="C437" t="str">
        <f>IFERROR(IF(ISNUMBER('Revenues &amp; Outlays in GDP'!C443),TEXT('Revenues &amp; Outlays in GDP'!C443, "0.00"),""), "")</f>
        <v/>
      </c>
      <c r="D437" t="str">
        <f>IFERROR(IF(ISNUMBER('Revenues &amp; Outlays in GDP'!H443),TEXT('Revenues &amp; Outlays in GDP'!H443, "0.00"),""), "")</f>
        <v/>
      </c>
      <c r="E437" t="str">
        <f>IFERROR(IF(ISNUMBER('Revenues &amp; Outlays in GDP'!D443),TEXT('Revenues &amp; Outlays in GDP'!D443, "0.00"),""), "")</f>
        <v/>
      </c>
      <c r="F437" t="str">
        <f>IFERROR(IF(ISNUMBER('Revenues &amp; Outlays in GDP'!B443), 'Revenues &amp; Outlays in GDP'!J443, ""), "")</f>
        <v/>
      </c>
    </row>
    <row r="438" spans="1:6">
      <c r="A438" t="str">
        <f>TEXT(IF('Revenues &amp; Outlays in GDP'!B444&lt;&gt;0,'Revenues &amp; Outlays in GDP'!B444, ""), "mm/dd/yyyy")</f>
        <v/>
      </c>
      <c r="B438" t="str">
        <f>IFERROR(IF(ISNUMBER('Revenues &amp; Outlays in GDP'!G444),TEXT('Revenues &amp; Outlays in GDP'!G444, "0.00"),""), "")</f>
        <v/>
      </c>
      <c r="C438" t="str">
        <f>IFERROR(IF(ISNUMBER('Revenues &amp; Outlays in GDP'!C444),TEXT('Revenues &amp; Outlays in GDP'!C444, "0.00"),""), "")</f>
        <v/>
      </c>
      <c r="D438" t="str">
        <f>IFERROR(IF(ISNUMBER('Revenues &amp; Outlays in GDP'!H444),TEXT('Revenues &amp; Outlays in GDP'!H444, "0.00"),""), "")</f>
        <v/>
      </c>
      <c r="E438" t="str">
        <f>IFERROR(IF(ISNUMBER('Revenues &amp; Outlays in GDP'!D444),TEXT('Revenues &amp; Outlays in GDP'!D444, "0.00"),""), "")</f>
        <v/>
      </c>
      <c r="F438" t="str">
        <f>IFERROR(IF(ISNUMBER('Revenues &amp; Outlays in GDP'!B444), 'Revenues &amp; Outlays in GDP'!J444, ""), "")</f>
        <v/>
      </c>
    </row>
    <row r="439" spans="1:6">
      <c r="A439" t="str">
        <f>TEXT(IF('Revenues &amp; Outlays in GDP'!B445&lt;&gt;0,'Revenues &amp; Outlays in GDP'!B445, ""), "mm/dd/yyyy")</f>
        <v/>
      </c>
      <c r="B439" t="str">
        <f>IFERROR(IF(ISNUMBER('Revenues &amp; Outlays in GDP'!G445),TEXT('Revenues &amp; Outlays in GDP'!G445, "0.00"),""), "")</f>
        <v/>
      </c>
      <c r="C439" t="str">
        <f>IFERROR(IF(ISNUMBER('Revenues &amp; Outlays in GDP'!C445),TEXT('Revenues &amp; Outlays in GDP'!C445, "0.00"),""), "")</f>
        <v/>
      </c>
      <c r="D439" t="str">
        <f>IFERROR(IF(ISNUMBER('Revenues &amp; Outlays in GDP'!H445),TEXT('Revenues &amp; Outlays in GDP'!H445, "0.00"),""), "")</f>
        <v/>
      </c>
      <c r="E439" t="str">
        <f>IFERROR(IF(ISNUMBER('Revenues &amp; Outlays in GDP'!D445),TEXT('Revenues &amp; Outlays in GDP'!D445, "0.00"),""), "")</f>
        <v/>
      </c>
      <c r="F439" t="str">
        <f>IFERROR(IF(ISNUMBER('Revenues &amp; Outlays in GDP'!B445), 'Revenues &amp; Outlays in GDP'!J445, ""), "")</f>
        <v/>
      </c>
    </row>
    <row r="440" spans="1:6">
      <c r="A440" t="str">
        <f>TEXT(IF('Revenues &amp; Outlays in GDP'!B446&lt;&gt;0,'Revenues &amp; Outlays in GDP'!B446, ""), "mm/dd/yyyy")</f>
        <v/>
      </c>
      <c r="B440" t="str">
        <f>IFERROR(IF(ISNUMBER('Revenues &amp; Outlays in GDP'!G446),TEXT('Revenues &amp; Outlays in GDP'!G446, "0.00"),""), "")</f>
        <v/>
      </c>
      <c r="C440" t="str">
        <f>IFERROR(IF(ISNUMBER('Revenues &amp; Outlays in GDP'!C446),TEXT('Revenues &amp; Outlays in GDP'!C446, "0.00"),""), "")</f>
        <v/>
      </c>
      <c r="D440" t="str">
        <f>IFERROR(IF(ISNUMBER('Revenues &amp; Outlays in GDP'!H446),TEXT('Revenues &amp; Outlays in GDP'!H446, "0.00"),""), "")</f>
        <v/>
      </c>
      <c r="E440" t="str">
        <f>IFERROR(IF(ISNUMBER('Revenues &amp; Outlays in GDP'!D446),TEXT('Revenues &amp; Outlays in GDP'!D446, "0.00"),""), "")</f>
        <v/>
      </c>
      <c r="F440" t="str">
        <f>IFERROR(IF(ISNUMBER('Revenues &amp; Outlays in GDP'!B446), 'Revenues &amp; Outlays in GDP'!J446, ""), "")</f>
        <v/>
      </c>
    </row>
    <row r="441" spans="1:6">
      <c r="A441" t="str">
        <f>TEXT(IF('Revenues &amp; Outlays in GDP'!B447&lt;&gt;0,'Revenues &amp; Outlays in GDP'!B447, ""), "mm/dd/yyyy")</f>
        <v/>
      </c>
      <c r="B441" t="str">
        <f>IFERROR(IF(ISNUMBER('Revenues &amp; Outlays in GDP'!G447),TEXT('Revenues &amp; Outlays in GDP'!G447, "0.00"),""), "")</f>
        <v/>
      </c>
      <c r="C441" t="str">
        <f>IFERROR(IF(ISNUMBER('Revenues &amp; Outlays in GDP'!C447),TEXT('Revenues &amp; Outlays in GDP'!C447, "0.00"),""), "")</f>
        <v/>
      </c>
      <c r="D441" t="str">
        <f>IFERROR(IF(ISNUMBER('Revenues &amp; Outlays in GDP'!H447),TEXT('Revenues &amp; Outlays in GDP'!H447, "0.00"),""), "")</f>
        <v/>
      </c>
      <c r="E441" t="str">
        <f>IFERROR(IF(ISNUMBER('Revenues &amp; Outlays in GDP'!D447),TEXT('Revenues &amp; Outlays in GDP'!D447, "0.00"),""), "")</f>
        <v/>
      </c>
      <c r="F441" t="str">
        <f>IFERROR(IF(ISNUMBER('Revenues &amp; Outlays in GDP'!B447), 'Revenues &amp; Outlays in GDP'!J447, ""), "")</f>
        <v/>
      </c>
    </row>
    <row r="442" spans="1:6">
      <c r="A442" t="str">
        <f>TEXT(IF('Revenues &amp; Outlays in GDP'!B448&lt;&gt;0,'Revenues &amp; Outlays in GDP'!B448, ""), "mm/dd/yyyy")</f>
        <v/>
      </c>
      <c r="B442" t="str">
        <f>IFERROR(IF(ISNUMBER('Revenues &amp; Outlays in GDP'!G448),TEXT('Revenues &amp; Outlays in GDP'!G448, "0.00"),""), "")</f>
        <v/>
      </c>
      <c r="C442" t="str">
        <f>IFERROR(IF(ISNUMBER('Revenues &amp; Outlays in GDP'!C448),TEXT('Revenues &amp; Outlays in GDP'!C448, "0.00"),""), "")</f>
        <v/>
      </c>
      <c r="D442" t="str">
        <f>IFERROR(IF(ISNUMBER('Revenues &amp; Outlays in GDP'!H448),TEXT('Revenues &amp; Outlays in GDP'!H448, "0.00"),""), "")</f>
        <v/>
      </c>
      <c r="E442" t="str">
        <f>IFERROR(IF(ISNUMBER('Revenues &amp; Outlays in GDP'!D448),TEXT('Revenues &amp; Outlays in GDP'!D448, "0.00"),""), "")</f>
        <v/>
      </c>
      <c r="F442" t="str">
        <f>IFERROR(IF(ISNUMBER('Revenues &amp; Outlays in GDP'!B448), 'Revenues &amp; Outlays in GDP'!J448, ""), "")</f>
        <v/>
      </c>
    </row>
    <row r="443" spans="1:6">
      <c r="A443" t="str">
        <f>TEXT(IF('Revenues &amp; Outlays in GDP'!B449&lt;&gt;0,'Revenues &amp; Outlays in GDP'!B449, ""), "mm/dd/yyyy")</f>
        <v/>
      </c>
      <c r="B443" t="str">
        <f>IFERROR(IF(ISNUMBER('Revenues &amp; Outlays in GDP'!G449),TEXT('Revenues &amp; Outlays in GDP'!G449, "0.00"),""), "")</f>
        <v/>
      </c>
      <c r="C443" t="str">
        <f>IFERROR(IF(ISNUMBER('Revenues &amp; Outlays in GDP'!C449),TEXT('Revenues &amp; Outlays in GDP'!C449, "0.00"),""), "")</f>
        <v/>
      </c>
      <c r="D443" t="str">
        <f>IFERROR(IF(ISNUMBER('Revenues &amp; Outlays in GDP'!H449),TEXT('Revenues &amp; Outlays in GDP'!H449, "0.00"),""), "")</f>
        <v/>
      </c>
      <c r="E443" t="str">
        <f>IFERROR(IF(ISNUMBER('Revenues &amp; Outlays in GDP'!D449),TEXT('Revenues &amp; Outlays in GDP'!D449, "0.00"),""), "")</f>
        <v/>
      </c>
      <c r="F443" t="str">
        <f>IFERROR(IF(ISNUMBER('Revenues &amp; Outlays in GDP'!B449), 'Revenues &amp; Outlays in GDP'!J449, ""), "")</f>
        <v/>
      </c>
    </row>
    <row r="444" spans="1:6">
      <c r="A444" t="str">
        <f>TEXT(IF('Revenues &amp; Outlays in GDP'!B450&lt;&gt;0,'Revenues &amp; Outlays in GDP'!B450, ""), "mm/dd/yyyy")</f>
        <v/>
      </c>
      <c r="B444" t="str">
        <f>IFERROR(IF(ISNUMBER('Revenues &amp; Outlays in GDP'!G450),TEXT('Revenues &amp; Outlays in GDP'!G450, "0.00"),""), "")</f>
        <v/>
      </c>
      <c r="C444" t="str">
        <f>IFERROR(IF(ISNUMBER('Revenues &amp; Outlays in GDP'!C450),TEXT('Revenues &amp; Outlays in GDP'!C450, "0.00"),""), "")</f>
        <v/>
      </c>
      <c r="D444" t="str">
        <f>IFERROR(IF(ISNUMBER('Revenues &amp; Outlays in GDP'!H450),TEXT('Revenues &amp; Outlays in GDP'!H450, "0.00"),""), "")</f>
        <v/>
      </c>
      <c r="E444" t="str">
        <f>IFERROR(IF(ISNUMBER('Revenues &amp; Outlays in GDP'!D450),TEXT('Revenues &amp; Outlays in GDP'!D450, "0.00"),""), "")</f>
        <v/>
      </c>
      <c r="F444" t="str">
        <f>IFERROR(IF(ISNUMBER('Revenues &amp; Outlays in GDP'!B450), 'Revenues &amp; Outlays in GDP'!J450, ""), "")</f>
        <v/>
      </c>
    </row>
    <row r="445" spans="1:6">
      <c r="A445" t="str">
        <f>TEXT(IF('Revenues &amp; Outlays in GDP'!B451&lt;&gt;0,'Revenues &amp; Outlays in GDP'!B451, ""), "mm/dd/yyyy")</f>
        <v/>
      </c>
      <c r="B445" t="str">
        <f>IFERROR(IF(ISNUMBER('Revenues &amp; Outlays in GDP'!G451),TEXT('Revenues &amp; Outlays in GDP'!G451, "0.00"),""), "")</f>
        <v/>
      </c>
      <c r="C445" t="str">
        <f>IFERROR(IF(ISNUMBER('Revenues &amp; Outlays in GDP'!C451),TEXT('Revenues &amp; Outlays in GDP'!C451, "0.00"),""), "")</f>
        <v/>
      </c>
      <c r="D445" t="str">
        <f>IFERROR(IF(ISNUMBER('Revenues &amp; Outlays in GDP'!H451),TEXT('Revenues &amp; Outlays in GDP'!H451, "0.00"),""), "")</f>
        <v/>
      </c>
      <c r="E445" t="str">
        <f>IFERROR(IF(ISNUMBER('Revenues &amp; Outlays in GDP'!D451),TEXT('Revenues &amp; Outlays in GDP'!D451, "0.00"),""), "")</f>
        <v/>
      </c>
      <c r="F445" t="str">
        <f>IFERROR(IF(ISNUMBER('Revenues &amp; Outlays in GDP'!B451), 'Revenues &amp; Outlays in GDP'!J451, ""), "")</f>
        <v/>
      </c>
    </row>
    <row r="446" spans="1:6">
      <c r="A446" t="str">
        <f>TEXT(IF('Revenues &amp; Outlays in GDP'!B452&lt;&gt;0,'Revenues &amp; Outlays in GDP'!B452, ""), "mm/dd/yyyy")</f>
        <v/>
      </c>
      <c r="B446" t="str">
        <f>IFERROR(IF(ISNUMBER('Revenues &amp; Outlays in GDP'!G452),TEXT('Revenues &amp; Outlays in GDP'!G452, "0.00"),""), "")</f>
        <v/>
      </c>
      <c r="C446" t="str">
        <f>IFERROR(IF(ISNUMBER('Revenues &amp; Outlays in GDP'!C452),TEXT('Revenues &amp; Outlays in GDP'!C452, "0.00"),""), "")</f>
        <v/>
      </c>
      <c r="D446" t="str">
        <f>IFERROR(IF(ISNUMBER('Revenues &amp; Outlays in GDP'!H452),TEXT('Revenues &amp; Outlays in GDP'!H452, "0.00"),""), "")</f>
        <v/>
      </c>
      <c r="E446" t="str">
        <f>IFERROR(IF(ISNUMBER('Revenues &amp; Outlays in GDP'!D452),TEXT('Revenues &amp; Outlays in GDP'!D452, "0.00"),""), "")</f>
        <v/>
      </c>
      <c r="F446" t="str">
        <f>IFERROR(IF(ISNUMBER('Revenues &amp; Outlays in GDP'!B452), 'Revenues &amp; Outlays in GDP'!J452, ""), "")</f>
        <v/>
      </c>
    </row>
    <row r="447" spans="1:6">
      <c r="A447" t="str">
        <f>TEXT(IF('Revenues &amp; Outlays in GDP'!B453&lt;&gt;0,'Revenues &amp; Outlays in GDP'!B453, ""), "mm/dd/yyyy")</f>
        <v/>
      </c>
      <c r="B447" t="str">
        <f>IFERROR(IF(ISNUMBER('Revenues &amp; Outlays in GDP'!G453),TEXT('Revenues &amp; Outlays in GDP'!G453, "0.00"),""), "")</f>
        <v/>
      </c>
      <c r="C447" t="str">
        <f>IFERROR(IF(ISNUMBER('Revenues &amp; Outlays in GDP'!C453),TEXT('Revenues &amp; Outlays in GDP'!C453, "0.00"),""), "")</f>
        <v/>
      </c>
      <c r="D447" t="str">
        <f>IFERROR(IF(ISNUMBER('Revenues &amp; Outlays in GDP'!H453),TEXT('Revenues &amp; Outlays in GDP'!H453, "0.00"),""), "")</f>
        <v/>
      </c>
      <c r="E447" t="str">
        <f>IFERROR(IF(ISNUMBER('Revenues &amp; Outlays in GDP'!D453),TEXT('Revenues &amp; Outlays in GDP'!D453, "0.00"),""), "")</f>
        <v/>
      </c>
      <c r="F447" t="str">
        <f>IFERROR(IF(ISNUMBER('Revenues &amp; Outlays in GDP'!B453), 'Revenues &amp; Outlays in GDP'!J453, ""), "")</f>
        <v/>
      </c>
    </row>
    <row r="448" spans="1:6">
      <c r="A448" t="str">
        <f>TEXT(IF('Revenues &amp; Outlays in GDP'!B454&lt;&gt;0,'Revenues &amp; Outlays in GDP'!B454, ""), "mm/dd/yyyy")</f>
        <v/>
      </c>
      <c r="B448" t="str">
        <f>IFERROR(IF(ISNUMBER('Revenues &amp; Outlays in GDP'!G454),TEXT('Revenues &amp; Outlays in GDP'!G454, "0.00"),""), "")</f>
        <v/>
      </c>
      <c r="C448" t="str">
        <f>IFERROR(IF(ISNUMBER('Revenues &amp; Outlays in GDP'!C454),TEXT('Revenues &amp; Outlays in GDP'!C454, "0.00"),""), "")</f>
        <v/>
      </c>
      <c r="D448" t="str">
        <f>IFERROR(IF(ISNUMBER('Revenues &amp; Outlays in GDP'!H454),TEXT('Revenues &amp; Outlays in GDP'!H454, "0.00"),""), "")</f>
        <v/>
      </c>
      <c r="E448" t="str">
        <f>IFERROR(IF(ISNUMBER('Revenues &amp; Outlays in GDP'!D454),TEXT('Revenues &amp; Outlays in GDP'!D454, "0.00"),""), "")</f>
        <v/>
      </c>
      <c r="F448" t="str">
        <f>IFERROR(IF(ISNUMBER('Revenues &amp; Outlays in GDP'!B454), 'Revenues &amp; Outlays in GDP'!J454, ""), "")</f>
        <v/>
      </c>
    </row>
    <row r="449" spans="1:6">
      <c r="A449" t="str">
        <f>TEXT(IF('Revenues &amp; Outlays in GDP'!B455&lt;&gt;0,'Revenues &amp; Outlays in GDP'!B455, ""), "mm/dd/yyyy")</f>
        <v/>
      </c>
      <c r="B449" t="str">
        <f>IFERROR(IF(ISNUMBER('Revenues &amp; Outlays in GDP'!G455),TEXT('Revenues &amp; Outlays in GDP'!G455, "0.00"),""), "")</f>
        <v/>
      </c>
      <c r="C449" t="str">
        <f>IFERROR(IF(ISNUMBER('Revenues &amp; Outlays in GDP'!C455),TEXT('Revenues &amp; Outlays in GDP'!C455, "0.00"),""), "")</f>
        <v/>
      </c>
      <c r="D449" t="str">
        <f>IFERROR(IF(ISNUMBER('Revenues &amp; Outlays in GDP'!H455),TEXT('Revenues &amp; Outlays in GDP'!H455, "0.00"),""), "")</f>
        <v/>
      </c>
      <c r="E449" t="str">
        <f>IFERROR(IF(ISNUMBER('Revenues &amp; Outlays in GDP'!D455),TEXT('Revenues &amp; Outlays in GDP'!D455, "0.00"),""), "")</f>
        <v/>
      </c>
      <c r="F449" t="str">
        <f>IFERROR(IF(ISNUMBER('Revenues &amp; Outlays in GDP'!B455), 'Revenues &amp; Outlays in GDP'!J455, ""), "")</f>
        <v/>
      </c>
    </row>
    <row r="450" spans="1:6">
      <c r="A450" t="str">
        <f>TEXT(IF('Revenues &amp; Outlays in GDP'!B456&lt;&gt;0,'Revenues &amp; Outlays in GDP'!B456, ""), "mm/dd/yyyy")</f>
        <v/>
      </c>
      <c r="B450" t="str">
        <f>IFERROR(IF(ISNUMBER('Revenues &amp; Outlays in GDP'!G456),TEXT('Revenues &amp; Outlays in GDP'!G456, "0.00"),""), "")</f>
        <v/>
      </c>
      <c r="C450" t="str">
        <f>IFERROR(IF(ISNUMBER('Revenues &amp; Outlays in GDP'!C456),TEXT('Revenues &amp; Outlays in GDP'!C456, "0.00"),""), "")</f>
        <v/>
      </c>
      <c r="D450" t="str">
        <f>IFERROR(IF(ISNUMBER('Revenues &amp; Outlays in GDP'!H456),TEXT('Revenues &amp; Outlays in GDP'!H456, "0.00"),""), "")</f>
        <v/>
      </c>
      <c r="E450" t="str">
        <f>IFERROR(IF(ISNUMBER('Revenues &amp; Outlays in GDP'!D456),TEXT('Revenues &amp; Outlays in GDP'!D456, "0.00"),""), "")</f>
        <v/>
      </c>
      <c r="F450" t="str">
        <f>IFERROR(IF(ISNUMBER('Revenues &amp; Outlays in GDP'!B456), 'Revenues &amp; Outlays in GDP'!J456, ""), "")</f>
        <v/>
      </c>
    </row>
    <row r="451" spans="1:6">
      <c r="A451" t="str">
        <f>TEXT(IF('Revenues &amp; Outlays in GDP'!B457&lt;&gt;0,'Revenues &amp; Outlays in GDP'!B457, ""), "mm/dd/yyyy")</f>
        <v/>
      </c>
      <c r="B451" t="str">
        <f>IFERROR(IF(ISNUMBER('Revenues &amp; Outlays in GDP'!G457),TEXT('Revenues &amp; Outlays in GDP'!G457, "0.00"),""), "")</f>
        <v/>
      </c>
      <c r="C451" t="str">
        <f>IFERROR(IF(ISNUMBER('Revenues &amp; Outlays in GDP'!C457),TEXT('Revenues &amp; Outlays in GDP'!C457, "0.00"),""), "")</f>
        <v/>
      </c>
      <c r="D451" t="str">
        <f>IFERROR(IF(ISNUMBER('Revenues &amp; Outlays in GDP'!H457),TEXT('Revenues &amp; Outlays in GDP'!H457, "0.00"),""), "")</f>
        <v/>
      </c>
      <c r="E451" t="str">
        <f>IFERROR(IF(ISNUMBER('Revenues &amp; Outlays in GDP'!D457),TEXT('Revenues &amp; Outlays in GDP'!D457, "0.00"),""), "")</f>
        <v/>
      </c>
      <c r="F451" t="str">
        <f>IFERROR(IF(ISNUMBER('Revenues &amp; Outlays in GDP'!B457), 'Revenues &amp; Outlays in GDP'!J457, ""), "")</f>
        <v/>
      </c>
    </row>
    <row r="452" spans="1:6">
      <c r="A452" t="str">
        <f>TEXT(IF('Revenues &amp; Outlays in GDP'!B458&lt;&gt;0,'Revenues &amp; Outlays in GDP'!B458, ""), "mm/dd/yyyy")</f>
        <v/>
      </c>
      <c r="B452" t="str">
        <f>IFERROR(IF(ISNUMBER('Revenues &amp; Outlays in GDP'!G458),TEXT('Revenues &amp; Outlays in GDP'!G458, "0.00"),""), "")</f>
        <v/>
      </c>
      <c r="C452" t="str">
        <f>IFERROR(IF(ISNUMBER('Revenues &amp; Outlays in GDP'!C458),TEXT('Revenues &amp; Outlays in GDP'!C458, "0.00"),""), "")</f>
        <v/>
      </c>
      <c r="D452" t="str">
        <f>IFERROR(IF(ISNUMBER('Revenues &amp; Outlays in GDP'!H458),TEXT('Revenues &amp; Outlays in GDP'!H458, "0.00"),""), "")</f>
        <v/>
      </c>
      <c r="E452" t="str">
        <f>IFERROR(IF(ISNUMBER('Revenues &amp; Outlays in GDP'!D458),TEXT('Revenues &amp; Outlays in GDP'!D458, "0.00"),""), "")</f>
        <v/>
      </c>
      <c r="F452" t="str">
        <f>IFERROR(IF(ISNUMBER('Revenues &amp; Outlays in GDP'!B458), 'Revenues &amp; Outlays in GDP'!J458, ""), "")</f>
        <v/>
      </c>
    </row>
    <row r="453" spans="1:6">
      <c r="A453" t="str">
        <f>TEXT(IF('Revenues &amp; Outlays in GDP'!B459&lt;&gt;0,'Revenues &amp; Outlays in GDP'!B459, ""), "mm/dd/yyyy")</f>
        <v/>
      </c>
      <c r="B453" t="str">
        <f>IFERROR(IF(ISNUMBER('Revenues &amp; Outlays in GDP'!G459),TEXT('Revenues &amp; Outlays in GDP'!G459, "0.00"),""), "")</f>
        <v/>
      </c>
      <c r="C453" t="str">
        <f>IFERROR(IF(ISNUMBER('Revenues &amp; Outlays in GDP'!C459),TEXT('Revenues &amp; Outlays in GDP'!C459, "0.00"),""), "")</f>
        <v/>
      </c>
      <c r="D453" t="str">
        <f>IFERROR(IF(ISNUMBER('Revenues &amp; Outlays in GDP'!H459),TEXT('Revenues &amp; Outlays in GDP'!H459, "0.00"),""), "")</f>
        <v/>
      </c>
      <c r="E453" t="str">
        <f>IFERROR(IF(ISNUMBER('Revenues &amp; Outlays in GDP'!D459),TEXT('Revenues &amp; Outlays in GDP'!D459, "0.00"),""), "")</f>
        <v/>
      </c>
      <c r="F453" t="str">
        <f>IFERROR(IF(ISNUMBER('Revenues &amp; Outlays in GDP'!B459), 'Revenues &amp; Outlays in GDP'!J459, ""), "")</f>
        <v/>
      </c>
    </row>
    <row r="454" spans="1:6">
      <c r="A454" t="str">
        <f>TEXT(IF('Revenues &amp; Outlays in GDP'!B460&lt;&gt;0,'Revenues &amp; Outlays in GDP'!B460, ""), "mm/dd/yyyy")</f>
        <v/>
      </c>
      <c r="B454" t="str">
        <f>IFERROR(IF(ISNUMBER('Revenues &amp; Outlays in GDP'!G460),TEXT('Revenues &amp; Outlays in GDP'!G460, "0.00"),""), "")</f>
        <v/>
      </c>
      <c r="C454" t="str">
        <f>IFERROR(IF(ISNUMBER('Revenues &amp; Outlays in GDP'!C460),TEXT('Revenues &amp; Outlays in GDP'!C460, "0.00"),""), "")</f>
        <v/>
      </c>
      <c r="D454" t="str">
        <f>IFERROR(IF(ISNUMBER('Revenues &amp; Outlays in GDP'!H460),TEXT('Revenues &amp; Outlays in GDP'!H460, "0.00"),""), "")</f>
        <v/>
      </c>
      <c r="E454" t="str">
        <f>IFERROR(IF(ISNUMBER('Revenues &amp; Outlays in GDP'!D460),TEXT('Revenues &amp; Outlays in GDP'!D460, "0.00"),""), "")</f>
        <v/>
      </c>
      <c r="F454" t="str">
        <f>IFERROR(IF(ISNUMBER('Revenues &amp; Outlays in GDP'!B460), 'Revenues &amp; Outlays in GDP'!J460, ""), "")</f>
        <v/>
      </c>
    </row>
    <row r="455" spans="1:6">
      <c r="A455" t="str">
        <f>TEXT(IF('Revenues &amp; Outlays in GDP'!B461&lt;&gt;0,'Revenues &amp; Outlays in GDP'!B461, ""), "mm/dd/yyyy")</f>
        <v/>
      </c>
      <c r="B455" t="str">
        <f>IFERROR(IF(ISNUMBER('Revenues &amp; Outlays in GDP'!G461),TEXT('Revenues &amp; Outlays in GDP'!G461, "0.00"),""), "")</f>
        <v/>
      </c>
      <c r="C455" t="str">
        <f>IFERROR(IF(ISNUMBER('Revenues &amp; Outlays in GDP'!C461),TEXT('Revenues &amp; Outlays in GDP'!C461, "0.00"),""), "")</f>
        <v/>
      </c>
      <c r="D455" t="str">
        <f>IFERROR(IF(ISNUMBER('Revenues &amp; Outlays in GDP'!H461),TEXT('Revenues &amp; Outlays in GDP'!H461, "0.00"),""), "")</f>
        <v/>
      </c>
      <c r="E455" t="str">
        <f>IFERROR(IF(ISNUMBER('Revenues &amp; Outlays in GDP'!D461),TEXT('Revenues &amp; Outlays in GDP'!D461, "0.00"),""), "")</f>
        <v/>
      </c>
      <c r="F455" t="str">
        <f>IFERROR(IF(ISNUMBER('Revenues &amp; Outlays in GDP'!B461), 'Revenues &amp; Outlays in GDP'!J461, ""), "")</f>
        <v/>
      </c>
    </row>
    <row r="456" spans="1:6">
      <c r="A456" t="str">
        <f>TEXT(IF('Revenues &amp; Outlays in GDP'!B462&lt;&gt;0,'Revenues &amp; Outlays in GDP'!B462, ""), "mm/dd/yyyy")</f>
        <v/>
      </c>
      <c r="B456" t="str">
        <f>IFERROR(IF(ISNUMBER('Revenues &amp; Outlays in GDP'!G462),TEXT('Revenues &amp; Outlays in GDP'!G462, "0.00"),""), "")</f>
        <v/>
      </c>
      <c r="C456" t="str">
        <f>IFERROR(IF(ISNUMBER('Revenues &amp; Outlays in GDP'!C462),TEXT('Revenues &amp; Outlays in GDP'!C462, "0.00"),""), "")</f>
        <v/>
      </c>
      <c r="D456" t="str">
        <f>IFERROR(IF(ISNUMBER('Revenues &amp; Outlays in GDP'!H462),TEXT('Revenues &amp; Outlays in GDP'!H462, "0.00"),""), "")</f>
        <v/>
      </c>
      <c r="E456" t="str">
        <f>IFERROR(IF(ISNUMBER('Revenues &amp; Outlays in GDP'!D462),TEXT('Revenues &amp; Outlays in GDP'!D462, "0.00"),""), "")</f>
        <v/>
      </c>
      <c r="F456" t="str">
        <f>IFERROR(IF(ISNUMBER('Revenues &amp; Outlays in GDP'!B462), 'Revenues &amp; Outlays in GDP'!J462, ""), "")</f>
        <v/>
      </c>
    </row>
    <row r="457" spans="1:6">
      <c r="A457" t="str">
        <f>TEXT(IF('Revenues &amp; Outlays in GDP'!B463&lt;&gt;0,'Revenues &amp; Outlays in GDP'!B463, ""), "mm/dd/yyyy")</f>
        <v/>
      </c>
      <c r="B457" t="str">
        <f>IFERROR(IF(ISNUMBER('Revenues &amp; Outlays in GDP'!G463),TEXT('Revenues &amp; Outlays in GDP'!G463, "0.00"),""), "")</f>
        <v/>
      </c>
      <c r="C457" t="str">
        <f>IFERROR(IF(ISNUMBER('Revenues &amp; Outlays in GDP'!C463),TEXT('Revenues &amp; Outlays in GDP'!C463, "0.00"),""), "")</f>
        <v/>
      </c>
      <c r="D457" t="str">
        <f>IFERROR(IF(ISNUMBER('Revenues &amp; Outlays in GDP'!H463),TEXT('Revenues &amp; Outlays in GDP'!H463, "0.00"),""), "")</f>
        <v/>
      </c>
      <c r="E457" t="str">
        <f>IFERROR(IF(ISNUMBER('Revenues &amp; Outlays in GDP'!D463),TEXT('Revenues &amp; Outlays in GDP'!D463, "0.00"),""), "")</f>
        <v/>
      </c>
      <c r="F457" t="str">
        <f>IFERROR(IF(ISNUMBER('Revenues &amp; Outlays in GDP'!B463), 'Revenues &amp; Outlays in GDP'!J463, ""), "")</f>
        <v/>
      </c>
    </row>
    <row r="458" spans="1:6">
      <c r="A458" t="str">
        <f>TEXT(IF('Revenues &amp; Outlays in GDP'!B464&lt;&gt;0,'Revenues &amp; Outlays in GDP'!B464, ""), "mm/dd/yyyy")</f>
        <v/>
      </c>
      <c r="B458" t="str">
        <f>IFERROR(IF(ISNUMBER('Revenues &amp; Outlays in GDP'!G464),TEXT('Revenues &amp; Outlays in GDP'!G464, "0.00"),""), "")</f>
        <v/>
      </c>
      <c r="C458" t="str">
        <f>IFERROR(IF(ISNUMBER('Revenues &amp; Outlays in GDP'!C464),TEXT('Revenues &amp; Outlays in GDP'!C464, "0.00"),""), "")</f>
        <v/>
      </c>
      <c r="D458" t="str">
        <f>IFERROR(IF(ISNUMBER('Revenues &amp; Outlays in GDP'!H464),TEXT('Revenues &amp; Outlays in GDP'!H464, "0.00"),""), "")</f>
        <v/>
      </c>
      <c r="E458" t="str">
        <f>IFERROR(IF(ISNUMBER('Revenues &amp; Outlays in GDP'!D464),TEXT('Revenues &amp; Outlays in GDP'!D464, "0.00"),""), "")</f>
        <v/>
      </c>
      <c r="F458" t="str">
        <f>IFERROR(IF(ISNUMBER('Revenues &amp; Outlays in GDP'!B464), 'Revenues &amp; Outlays in GDP'!J464, ""), "")</f>
        <v/>
      </c>
    </row>
    <row r="459" spans="1:6">
      <c r="A459" t="str">
        <f>TEXT(IF('Revenues &amp; Outlays in GDP'!B465&lt;&gt;0,'Revenues &amp; Outlays in GDP'!B465, ""), "mm/dd/yyyy")</f>
        <v/>
      </c>
      <c r="B459" t="str">
        <f>IFERROR(IF(ISNUMBER('Revenues &amp; Outlays in GDP'!G465),TEXT('Revenues &amp; Outlays in GDP'!G465, "0.00"),""), "")</f>
        <v/>
      </c>
      <c r="C459" t="str">
        <f>IFERROR(IF(ISNUMBER('Revenues &amp; Outlays in GDP'!C465),TEXT('Revenues &amp; Outlays in GDP'!C465, "0.00"),""), "")</f>
        <v/>
      </c>
      <c r="D459" t="str">
        <f>IFERROR(IF(ISNUMBER('Revenues &amp; Outlays in GDP'!H465),TEXT('Revenues &amp; Outlays in GDP'!H465, "0.00"),""), "")</f>
        <v/>
      </c>
      <c r="E459" t="str">
        <f>IFERROR(IF(ISNUMBER('Revenues &amp; Outlays in GDP'!D465),TEXT('Revenues &amp; Outlays in GDP'!D465, "0.00"),""), "")</f>
        <v/>
      </c>
      <c r="F459" t="str">
        <f>IFERROR(IF(ISNUMBER('Revenues &amp; Outlays in GDP'!B465), 'Revenues &amp; Outlays in GDP'!J465, ""), "")</f>
        <v/>
      </c>
    </row>
    <row r="460" spans="1:6">
      <c r="A460" t="str">
        <f>TEXT(IF('Revenues &amp; Outlays in GDP'!B466&lt;&gt;0,'Revenues &amp; Outlays in GDP'!B466, ""), "mm/dd/yyyy")</f>
        <v/>
      </c>
      <c r="B460" t="str">
        <f>IFERROR(IF(ISNUMBER('Revenues &amp; Outlays in GDP'!G466),TEXT('Revenues &amp; Outlays in GDP'!G466, "0.00"),""), "")</f>
        <v/>
      </c>
      <c r="C460" t="str">
        <f>IFERROR(IF(ISNUMBER('Revenues &amp; Outlays in GDP'!C466),TEXT('Revenues &amp; Outlays in GDP'!C466, "0.00"),""), "")</f>
        <v/>
      </c>
      <c r="D460" t="str">
        <f>IFERROR(IF(ISNUMBER('Revenues &amp; Outlays in GDP'!H466),TEXT('Revenues &amp; Outlays in GDP'!H466, "0.00"),""), "")</f>
        <v/>
      </c>
      <c r="E460" t="str">
        <f>IFERROR(IF(ISNUMBER('Revenues &amp; Outlays in GDP'!D466),TEXT('Revenues &amp; Outlays in GDP'!D466, "0.00"),""), "")</f>
        <v/>
      </c>
      <c r="F460" t="str">
        <f>IFERROR(IF(ISNUMBER('Revenues &amp; Outlays in GDP'!B466), 'Revenues &amp; Outlays in GDP'!J466, ""), "")</f>
        <v/>
      </c>
    </row>
    <row r="461" spans="1:6">
      <c r="A461" t="str">
        <f>TEXT(IF('Revenues &amp; Outlays in GDP'!B467&lt;&gt;0,'Revenues &amp; Outlays in GDP'!B467, ""), "mm/dd/yyyy")</f>
        <v/>
      </c>
      <c r="B461" t="str">
        <f>IFERROR(IF(ISNUMBER('Revenues &amp; Outlays in GDP'!G467),TEXT('Revenues &amp; Outlays in GDP'!G467, "0.00"),""), "")</f>
        <v/>
      </c>
      <c r="C461" t="str">
        <f>IFERROR(IF(ISNUMBER('Revenues &amp; Outlays in GDP'!C467),TEXT('Revenues &amp; Outlays in GDP'!C467, "0.00"),""), "")</f>
        <v/>
      </c>
      <c r="D461" t="str">
        <f>IFERROR(IF(ISNUMBER('Revenues &amp; Outlays in GDP'!H467),TEXT('Revenues &amp; Outlays in GDP'!H467, "0.00"),""), "")</f>
        <v/>
      </c>
      <c r="E461" t="str">
        <f>IFERROR(IF(ISNUMBER('Revenues &amp; Outlays in GDP'!D467),TEXT('Revenues &amp; Outlays in GDP'!D467, "0.00"),""), "")</f>
        <v/>
      </c>
      <c r="F461" t="str">
        <f>IFERROR(IF(ISNUMBER('Revenues &amp; Outlays in GDP'!B467), 'Revenues &amp; Outlays in GDP'!J467, ""), "")</f>
        <v/>
      </c>
    </row>
    <row r="462" spans="1:6">
      <c r="A462" t="str">
        <f>TEXT(IF('Revenues &amp; Outlays in GDP'!B468&lt;&gt;0,'Revenues &amp; Outlays in GDP'!B468, ""), "mm/dd/yyyy")</f>
        <v/>
      </c>
      <c r="B462" t="str">
        <f>IFERROR(IF(ISNUMBER('Revenues &amp; Outlays in GDP'!G468),TEXT('Revenues &amp; Outlays in GDP'!G468, "0.00"),""), "")</f>
        <v/>
      </c>
      <c r="C462" t="str">
        <f>IFERROR(IF(ISNUMBER('Revenues &amp; Outlays in GDP'!C468),TEXT('Revenues &amp; Outlays in GDP'!C468, "0.00"),""), "")</f>
        <v/>
      </c>
      <c r="D462" t="str">
        <f>IFERROR(IF(ISNUMBER('Revenues &amp; Outlays in GDP'!H468),TEXT('Revenues &amp; Outlays in GDP'!H468, "0.00"),""), "")</f>
        <v/>
      </c>
      <c r="E462" t="str">
        <f>IFERROR(IF(ISNUMBER('Revenues &amp; Outlays in GDP'!D468),TEXT('Revenues &amp; Outlays in GDP'!D468, "0.00"),""), "")</f>
        <v/>
      </c>
      <c r="F462" t="str">
        <f>IFERROR(IF(ISNUMBER('Revenues &amp; Outlays in GDP'!B468), 'Revenues &amp; Outlays in GDP'!J468, ""), "")</f>
        <v/>
      </c>
    </row>
    <row r="463" spans="1:6">
      <c r="A463" t="str">
        <f>TEXT(IF('Revenues &amp; Outlays in GDP'!B469&lt;&gt;0,'Revenues &amp; Outlays in GDP'!B469, ""), "mm/dd/yyyy")</f>
        <v/>
      </c>
      <c r="B463" t="str">
        <f>IFERROR(IF(ISNUMBER('Revenues &amp; Outlays in GDP'!G469),TEXT('Revenues &amp; Outlays in GDP'!G469, "0.00"),""), "")</f>
        <v/>
      </c>
      <c r="C463" t="str">
        <f>IFERROR(IF(ISNUMBER('Revenues &amp; Outlays in GDP'!C469),TEXT('Revenues &amp; Outlays in GDP'!C469, "0.00"),""), "")</f>
        <v/>
      </c>
      <c r="D463" t="str">
        <f>IFERROR(IF(ISNUMBER('Revenues &amp; Outlays in GDP'!H469),TEXT('Revenues &amp; Outlays in GDP'!H469, "0.00"),""), "")</f>
        <v/>
      </c>
      <c r="E463" t="str">
        <f>IFERROR(IF(ISNUMBER('Revenues &amp; Outlays in GDP'!D469),TEXT('Revenues &amp; Outlays in GDP'!D469, "0.00"),""), "")</f>
        <v/>
      </c>
      <c r="F463" t="str">
        <f>IFERROR(IF(ISNUMBER('Revenues &amp; Outlays in GDP'!B469), 'Revenues &amp; Outlays in GDP'!J469, ""), "")</f>
        <v/>
      </c>
    </row>
    <row r="464" spans="1:6">
      <c r="A464" t="str">
        <f>TEXT(IF('Revenues &amp; Outlays in GDP'!B470&lt;&gt;0,'Revenues &amp; Outlays in GDP'!B470, ""), "mm/dd/yyyy")</f>
        <v/>
      </c>
      <c r="B464" t="str">
        <f>IFERROR(IF(ISNUMBER('Revenues &amp; Outlays in GDP'!G470),TEXT('Revenues &amp; Outlays in GDP'!G470, "0.00"),""), "")</f>
        <v/>
      </c>
      <c r="C464" t="str">
        <f>IFERROR(IF(ISNUMBER('Revenues &amp; Outlays in GDP'!C470),TEXT('Revenues &amp; Outlays in GDP'!C470, "0.00"),""), "")</f>
        <v/>
      </c>
      <c r="D464" t="str">
        <f>IFERROR(IF(ISNUMBER('Revenues &amp; Outlays in GDP'!H470),TEXT('Revenues &amp; Outlays in GDP'!H470, "0.00"),""), "")</f>
        <v/>
      </c>
      <c r="E464" t="str">
        <f>IFERROR(IF(ISNUMBER('Revenues &amp; Outlays in GDP'!D470),TEXT('Revenues &amp; Outlays in GDP'!D470, "0.00"),""), "")</f>
        <v/>
      </c>
      <c r="F464" t="str">
        <f>IFERROR(IF(ISNUMBER('Revenues &amp; Outlays in GDP'!B470), 'Revenues &amp; Outlays in GDP'!J470, ""), "")</f>
        <v/>
      </c>
    </row>
    <row r="465" spans="1:6">
      <c r="A465" t="str">
        <f>TEXT(IF('Revenues &amp; Outlays in GDP'!B471&lt;&gt;0,'Revenues &amp; Outlays in GDP'!B471, ""), "mm/dd/yyyy")</f>
        <v/>
      </c>
      <c r="B465" t="str">
        <f>IFERROR(IF(ISNUMBER('Revenues &amp; Outlays in GDP'!G471),TEXT('Revenues &amp; Outlays in GDP'!G471, "0.00"),""), "")</f>
        <v/>
      </c>
      <c r="C465" t="str">
        <f>IFERROR(IF(ISNUMBER('Revenues &amp; Outlays in GDP'!C471),TEXT('Revenues &amp; Outlays in GDP'!C471, "0.00"),""), "")</f>
        <v/>
      </c>
      <c r="D465" t="str">
        <f>IFERROR(IF(ISNUMBER('Revenues &amp; Outlays in GDP'!H471),TEXT('Revenues &amp; Outlays in GDP'!H471, "0.00"),""), "")</f>
        <v/>
      </c>
      <c r="E465" t="str">
        <f>IFERROR(IF(ISNUMBER('Revenues &amp; Outlays in GDP'!D471),TEXT('Revenues &amp; Outlays in GDP'!D471, "0.00"),""), "")</f>
        <v/>
      </c>
      <c r="F465" t="str">
        <f>IFERROR(IF(ISNUMBER('Revenues &amp; Outlays in GDP'!B471), 'Revenues &amp; Outlays in GDP'!J471, ""), "")</f>
        <v/>
      </c>
    </row>
    <row r="466" spans="1:6">
      <c r="A466" t="str">
        <f>TEXT(IF('Revenues &amp; Outlays in GDP'!B472&lt;&gt;0,'Revenues &amp; Outlays in GDP'!B472, ""), "mm/dd/yyyy")</f>
        <v/>
      </c>
      <c r="B466" t="str">
        <f>IFERROR(IF(ISNUMBER('Revenues &amp; Outlays in GDP'!G472),TEXT('Revenues &amp; Outlays in GDP'!G472, "0.00"),""), "")</f>
        <v/>
      </c>
      <c r="C466" t="str">
        <f>IFERROR(IF(ISNUMBER('Revenues &amp; Outlays in GDP'!C472),TEXT('Revenues &amp; Outlays in GDP'!C472, "0.00"),""), "")</f>
        <v/>
      </c>
      <c r="D466" t="str">
        <f>IFERROR(IF(ISNUMBER('Revenues &amp; Outlays in GDP'!H472),TEXT('Revenues &amp; Outlays in GDP'!H472, "0.00"),""), "")</f>
        <v/>
      </c>
      <c r="E466" t="str">
        <f>IFERROR(IF(ISNUMBER('Revenues &amp; Outlays in GDP'!D472),TEXT('Revenues &amp; Outlays in GDP'!D472, "0.00"),""), "")</f>
        <v/>
      </c>
      <c r="F466" t="str">
        <f>IFERROR(IF(ISNUMBER('Revenues &amp; Outlays in GDP'!B472), 'Revenues &amp; Outlays in GDP'!J472, ""), "")</f>
        <v/>
      </c>
    </row>
    <row r="467" spans="1:6">
      <c r="A467" t="str">
        <f>TEXT(IF('Revenues &amp; Outlays in GDP'!B473&lt;&gt;0,'Revenues &amp; Outlays in GDP'!B473, ""), "mm/dd/yyyy")</f>
        <v/>
      </c>
      <c r="B467" t="str">
        <f>IFERROR(IF(ISNUMBER('Revenues &amp; Outlays in GDP'!G473),TEXT('Revenues &amp; Outlays in GDP'!G473, "0.00"),""), "")</f>
        <v/>
      </c>
      <c r="C467" t="str">
        <f>IFERROR(IF(ISNUMBER('Revenues &amp; Outlays in GDP'!C473),TEXT('Revenues &amp; Outlays in GDP'!C473, "0.00"),""), "")</f>
        <v/>
      </c>
      <c r="D467" t="str">
        <f>IFERROR(IF(ISNUMBER('Revenues &amp; Outlays in GDP'!H473),TEXT('Revenues &amp; Outlays in GDP'!H473, "0.00"),""), "")</f>
        <v/>
      </c>
      <c r="E467" t="str">
        <f>IFERROR(IF(ISNUMBER('Revenues &amp; Outlays in GDP'!D473),TEXT('Revenues &amp; Outlays in GDP'!D473, "0.00"),""), "")</f>
        <v/>
      </c>
      <c r="F467" t="str">
        <f>IFERROR(IF(ISNUMBER('Revenues &amp; Outlays in GDP'!B473), 'Revenues &amp; Outlays in GDP'!J473, ""), "")</f>
        <v/>
      </c>
    </row>
    <row r="468" spans="1:6">
      <c r="A468" t="str">
        <f>TEXT(IF('Revenues &amp; Outlays in GDP'!B474&lt;&gt;0,'Revenues &amp; Outlays in GDP'!B474, ""), "mm/dd/yyyy")</f>
        <v/>
      </c>
      <c r="B468" t="str">
        <f>IFERROR(IF(ISNUMBER('Revenues &amp; Outlays in GDP'!G474),TEXT('Revenues &amp; Outlays in GDP'!G474, "0.00"),""), "")</f>
        <v/>
      </c>
      <c r="C468" t="str">
        <f>IFERROR(IF(ISNUMBER('Revenues &amp; Outlays in GDP'!C474),TEXT('Revenues &amp; Outlays in GDP'!C474, "0.00"),""), "")</f>
        <v/>
      </c>
      <c r="D468" t="str">
        <f>IFERROR(IF(ISNUMBER('Revenues &amp; Outlays in GDP'!H474),TEXT('Revenues &amp; Outlays in GDP'!H474, "0.00"),""), "")</f>
        <v/>
      </c>
      <c r="E468" t="str">
        <f>IFERROR(IF(ISNUMBER('Revenues &amp; Outlays in GDP'!D474),TEXT('Revenues &amp; Outlays in GDP'!D474, "0.00"),""), "")</f>
        <v/>
      </c>
      <c r="F468" t="str">
        <f>IFERROR(IF(ISNUMBER('Revenues &amp; Outlays in GDP'!B474), 'Revenues &amp; Outlays in GDP'!J474, ""), "")</f>
        <v/>
      </c>
    </row>
    <row r="469" spans="1:6">
      <c r="A469" t="str">
        <f>TEXT(IF('Revenues &amp; Outlays in GDP'!B475&lt;&gt;0,'Revenues &amp; Outlays in GDP'!B475, ""), "mm/dd/yyyy")</f>
        <v/>
      </c>
      <c r="B469" t="str">
        <f>IFERROR(IF(ISNUMBER('Revenues &amp; Outlays in GDP'!G475),TEXT('Revenues &amp; Outlays in GDP'!G475, "0.00"),""), "")</f>
        <v/>
      </c>
      <c r="C469" t="str">
        <f>IFERROR(IF(ISNUMBER('Revenues &amp; Outlays in GDP'!C475),TEXT('Revenues &amp; Outlays in GDP'!C475, "0.00"),""), "")</f>
        <v/>
      </c>
      <c r="D469" t="str">
        <f>IFERROR(IF(ISNUMBER('Revenues &amp; Outlays in GDP'!H475),TEXT('Revenues &amp; Outlays in GDP'!H475, "0.00"),""), "")</f>
        <v/>
      </c>
      <c r="E469" t="str">
        <f>IFERROR(IF(ISNUMBER('Revenues &amp; Outlays in GDP'!D475),TEXT('Revenues &amp; Outlays in GDP'!D475, "0.00"),""), "")</f>
        <v/>
      </c>
      <c r="F469" t="str">
        <f>IFERROR(IF(ISNUMBER('Revenues &amp; Outlays in GDP'!B475), 'Revenues &amp; Outlays in GDP'!J475, ""), "")</f>
        <v/>
      </c>
    </row>
    <row r="470" spans="1:6">
      <c r="A470" t="str">
        <f>TEXT(IF('Revenues &amp; Outlays in GDP'!B476&lt;&gt;0,'Revenues &amp; Outlays in GDP'!B476, ""), "mm/dd/yyyy")</f>
        <v/>
      </c>
      <c r="B470" t="str">
        <f>IFERROR(IF(ISNUMBER('Revenues &amp; Outlays in GDP'!G476),TEXT('Revenues &amp; Outlays in GDP'!G476, "0.00"),""), "")</f>
        <v/>
      </c>
      <c r="C470" t="str">
        <f>IFERROR(IF(ISNUMBER('Revenues &amp; Outlays in GDP'!C476),TEXT('Revenues &amp; Outlays in GDP'!C476, "0.00"),""), "")</f>
        <v/>
      </c>
      <c r="D470" t="str">
        <f>IFERROR(IF(ISNUMBER('Revenues &amp; Outlays in GDP'!H476),TEXT('Revenues &amp; Outlays in GDP'!H476, "0.00"),""), "")</f>
        <v/>
      </c>
      <c r="E470" t="str">
        <f>IFERROR(IF(ISNUMBER('Revenues &amp; Outlays in GDP'!D476),TEXT('Revenues &amp; Outlays in GDP'!D476, "0.00"),""), "")</f>
        <v/>
      </c>
      <c r="F470" t="str">
        <f>IFERROR(IF(ISNUMBER('Revenues &amp; Outlays in GDP'!B476), 'Revenues &amp; Outlays in GDP'!J476, ""), "")</f>
        <v/>
      </c>
    </row>
    <row r="471" spans="1:6">
      <c r="A471" t="str">
        <f>TEXT(IF('Revenues &amp; Outlays in GDP'!B477&lt;&gt;0,'Revenues &amp; Outlays in GDP'!B477, ""), "mm/dd/yyyy")</f>
        <v/>
      </c>
      <c r="B471" t="str">
        <f>IFERROR(IF(ISNUMBER('Revenues &amp; Outlays in GDP'!G477),TEXT('Revenues &amp; Outlays in GDP'!G477, "0.00"),""), "")</f>
        <v/>
      </c>
      <c r="C471" t="str">
        <f>IFERROR(IF(ISNUMBER('Revenues &amp; Outlays in GDP'!C477),TEXT('Revenues &amp; Outlays in GDP'!C477, "0.00"),""), "")</f>
        <v/>
      </c>
      <c r="D471" t="str">
        <f>IFERROR(IF(ISNUMBER('Revenues &amp; Outlays in GDP'!H477),TEXT('Revenues &amp; Outlays in GDP'!H477, "0.00"),""), "")</f>
        <v/>
      </c>
      <c r="E471" t="str">
        <f>IFERROR(IF(ISNUMBER('Revenues &amp; Outlays in GDP'!D477),TEXT('Revenues &amp; Outlays in GDP'!D477, "0.00"),""), "")</f>
        <v/>
      </c>
      <c r="F471" t="str">
        <f>IFERROR(IF(ISNUMBER('Revenues &amp; Outlays in GDP'!B477), 'Revenues &amp; Outlays in GDP'!J477, ""), "")</f>
        <v/>
      </c>
    </row>
    <row r="472" spans="1:6">
      <c r="A472" t="str">
        <f>TEXT(IF('Revenues &amp; Outlays in GDP'!B478&lt;&gt;0,'Revenues &amp; Outlays in GDP'!B478, ""), "mm/dd/yyyy")</f>
        <v/>
      </c>
      <c r="B472" t="str">
        <f>IFERROR(IF(ISNUMBER('Revenues &amp; Outlays in GDP'!G478),TEXT('Revenues &amp; Outlays in GDP'!G478, "0.00"),""), "")</f>
        <v/>
      </c>
      <c r="C472" t="str">
        <f>IFERROR(IF(ISNUMBER('Revenues &amp; Outlays in GDP'!C478),TEXT('Revenues &amp; Outlays in GDP'!C478, "0.00"),""), "")</f>
        <v/>
      </c>
      <c r="D472" t="str">
        <f>IFERROR(IF(ISNUMBER('Revenues &amp; Outlays in GDP'!H478),TEXT('Revenues &amp; Outlays in GDP'!H478, "0.00"),""), "")</f>
        <v/>
      </c>
      <c r="E472" t="str">
        <f>IFERROR(IF(ISNUMBER('Revenues &amp; Outlays in GDP'!D478),TEXT('Revenues &amp; Outlays in GDP'!D478, "0.00"),""), "")</f>
        <v/>
      </c>
      <c r="F472" t="str">
        <f>IFERROR(IF(ISNUMBER('Revenues &amp; Outlays in GDP'!B478), 'Revenues &amp; Outlays in GDP'!J478, ""), "")</f>
        <v/>
      </c>
    </row>
    <row r="473" spans="1:6">
      <c r="A473" t="str">
        <f>TEXT(IF('Revenues &amp; Outlays in GDP'!B479&lt;&gt;0,'Revenues &amp; Outlays in GDP'!B479, ""), "mm/dd/yyyy")</f>
        <v/>
      </c>
      <c r="B473" t="str">
        <f>IFERROR(IF(ISNUMBER('Revenues &amp; Outlays in GDP'!G479),TEXT('Revenues &amp; Outlays in GDP'!G479, "0.00"),""), "")</f>
        <v/>
      </c>
      <c r="C473" t="str">
        <f>IFERROR(IF(ISNUMBER('Revenues &amp; Outlays in GDP'!C479),TEXT('Revenues &amp; Outlays in GDP'!C479, "0.00"),""), "")</f>
        <v/>
      </c>
      <c r="D473" t="str">
        <f>IFERROR(IF(ISNUMBER('Revenues &amp; Outlays in GDP'!H479),TEXT('Revenues &amp; Outlays in GDP'!H479, "0.00"),""), "")</f>
        <v/>
      </c>
      <c r="E473" t="str">
        <f>IFERROR(IF(ISNUMBER('Revenues &amp; Outlays in GDP'!D479),TEXT('Revenues &amp; Outlays in GDP'!D479, "0.00"),""), "")</f>
        <v/>
      </c>
      <c r="F473" t="str">
        <f>IFERROR(IF(ISNUMBER('Revenues &amp; Outlays in GDP'!B479), 'Revenues &amp; Outlays in GDP'!J479, ""), "")</f>
        <v/>
      </c>
    </row>
    <row r="474" spans="1:6">
      <c r="A474" t="str">
        <f>TEXT(IF('Revenues &amp; Outlays in GDP'!B480&lt;&gt;0,'Revenues &amp; Outlays in GDP'!B480, ""), "mm/dd/yyyy")</f>
        <v/>
      </c>
      <c r="B474" t="str">
        <f>IFERROR(IF(ISNUMBER('Revenues &amp; Outlays in GDP'!G480),TEXT('Revenues &amp; Outlays in GDP'!G480, "0.00"),""), "")</f>
        <v/>
      </c>
      <c r="C474" t="str">
        <f>IFERROR(IF(ISNUMBER('Revenues &amp; Outlays in GDP'!C480),TEXT('Revenues &amp; Outlays in GDP'!C480, "0.00"),""), "")</f>
        <v/>
      </c>
      <c r="D474" t="str">
        <f>IFERROR(IF(ISNUMBER('Revenues &amp; Outlays in GDP'!H480),TEXT('Revenues &amp; Outlays in GDP'!H480, "0.00"),""), "")</f>
        <v/>
      </c>
      <c r="E474" t="str">
        <f>IFERROR(IF(ISNUMBER('Revenues &amp; Outlays in GDP'!D480),TEXT('Revenues &amp; Outlays in GDP'!D480, "0.00"),""), "")</f>
        <v/>
      </c>
      <c r="F474" t="str">
        <f>IFERROR(IF(ISNUMBER('Revenues &amp; Outlays in GDP'!B480), 'Revenues &amp; Outlays in GDP'!J480, ""), "")</f>
        <v/>
      </c>
    </row>
    <row r="475" spans="1:6">
      <c r="A475" t="str">
        <f>TEXT(IF('Revenues &amp; Outlays in GDP'!B481&lt;&gt;0,'Revenues &amp; Outlays in GDP'!B481, ""), "mm/dd/yyyy")</f>
        <v/>
      </c>
      <c r="B475" t="str">
        <f>IFERROR(IF(ISNUMBER('Revenues &amp; Outlays in GDP'!G481),TEXT('Revenues &amp; Outlays in GDP'!G481, "0.00"),""), "")</f>
        <v/>
      </c>
      <c r="C475" t="str">
        <f>IFERROR(IF(ISNUMBER('Revenues &amp; Outlays in GDP'!C481),TEXT('Revenues &amp; Outlays in GDP'!C481, "0.00"),""), "")</f>
        <v/>
      </c>
      <c r="D475" t="str">
        <f>IFERROR(IF(ISNUMBER('Revenues &amp; Outlays in GDP'!H481),TEXT('Revenues &amp; Outlays in GDP'!H481, "0.00"),""), "")</f>
        <v/>
      </c>
      <c r="E475" t="str">
        <f>IFERROR(IF(ISNUMBER('Revenues &amp; Outlays in GDP'!D481),TEXT('Revenues &amp; Outlays in GDP'!D481, "0.00"),""), "")</f>
        <v/>
      </c>
      <c r="F475" t="str">
        <f>IFERROR(IF(ISNUMBER('Revenues &amp; Outlays in GDP'!B481), 'Revenues &amp; Outlays in GDP'!J481, ""), "")</f>
        <v/>
      </c>
    </row>
    <row r="476" spans="1:6">
      <c r="A476" t="str">
        <f>TEXT(IF('Revenues &amp; Outlays in GDP'!B482&lt;&gt;0,'Revenues &amp; Outlays in GDP'!B482, ""), "mm/dd/yyyy")</f>
        <v/>
      </c>
      <c r="B476" t="str">
        <f>IFERROR(IF(ISNUMBER('Revenues &amp; Outlays in GDP'!G482),TEXT('Revenues &amp; Outlays in GDP'!G482, "0.00"),""), "")</f>
        <v/>
      </c>
      <c r="C476" t="str">
        <f>IFERROR(IF(ISNUMBER('Revenues &amp; Outlays in GDP'!C482),TEXT('Revenues &amp; Outlays in GDP'!C482, "0.00"),""), "")</f>
        <v/>
      </c>
      <c r="D476" t="str">
        <f>IFERROR(IF(ISNUMBER('Revenues &amp; Outlays in GDP'!H482),TEXT('Revenues &amp; Outlays in GDP'!H482, "0.00"),""), "")</f>
        <v/>
      </c>
      <c r="E476" t="str">
        <f>IFERROR(IF(ISNUMBER('Revenues &amp; Outlays in GDP'!D482),TEXT('Revenues &amp; Outlays in GDP'!D482, "0.00"),""), "")</f>
        <v/>
      </c>
      <c r="F476" t="str">
        <f>IFERROR(IF(ISNUMBER('Revenues &amp; Outlays in GDP'!B482), 'Revenues &amp; Outlays in GDP'!J482, ""), "")</f>
        <v/>
      </c>
    </row>
    <row r="477" spans="1:6">
      <c r="A477" t="str">
        <f>TEXT(IF('Revenues &amp; Outlays in GDP'!B483&lt;&gt;0,'Revenues &amp; Outlays in GDP'!B483, ""), "mm/dd/yyyy")</f>
        <v/>
      </c>
      <c r="B477" t="str">
        <f>IFERROR(IF(ISNUMBER('Revenues &amp; Outlays in GDP'!G483),TEXT('Revenues &amp; Outlays in GDP'!G483, "0.00"),""), "")</f>
        <v/>
      </c>
      <c r="C477" t="str">
        <f>IFERROR(IF(ISNUMBER('Revenues &amp; Outlays in GDP'!C483),TEXT('Revenues &amp; Outlays in GDP'!C483, "0.00"),""), "")</f>
        <v/>
      </c>
      <c r="D477" t="str">
        <f>IFERROR(IF(ISNUMBER('Revenues &amp; Outlays in GDP'!H483),TEXT('Revenues &amp; Outlays in GDP'!H483, "0.00"),""), "")</f>
        <v/>
      </c>
      <c r="E477" t="str">
        <f>IFERROR(IF(ISNUMBER('Revenues &amp; Outlays in GDP'!D483),TEXT('Revenues &amp; Outlays in GDP'!D483, "0.00"),""), "")</f>
        <v/>
      </c>
      <c r="F477" t="str">
        <f>IFERROR(IF(ISNUMBER('Revenues &amp; Outlays in GDP'!B483), 'Revenues &amp; Outlays in GDP'!J483, ""), "")</f>
        <v/>
      </c>
    </row>
    <row r="478" spans="1:6">
      <c r="A478" t="str">
        <f>TEXT(IF('Revenues &amp; Outlays in GDP'!B484&lt;&gt;0,'Revenues &amp; Outlays in GDP'!B484, ""), "mm/dd/yyyy")</f>
        <v/>
      </c>
      <c r="B478" t="str">
        <f>IFERROR(IF(ISNUMBER('Revenues &amp; Outlays in GDP'!G484),TEXT('Revenues &amp; Outlays in GDP'!G484, "0.00"),""), "")</f>
        <v/>
      </c>
      <c r="C478" t="str">
        <f>IFERROR(IF(ISNUMBER('Revenues &amp; Outlays in GDP'!C484),TEXT('Revenues &amp; Outlays in GDP'!C484, "0.00"),""), "")</f>
        <v/>
      </c>
      <c r="D478" t="str">
        <f>IFERROR(IF(ISNUMBER('Revenues &amp; Outlays in GDP'!H484),TEXT('Revenues &amp; Outlays in GDP'!H484, "0.00"),""), "")</f>
        <v/>
      </c>
      <c r="E478" t="str">
        <f>IFERROR(IF(ISNUMBER('Revenues &amp; Outlays in GDP'!D484),TEXT('Revenues &amp; Outlays in GDP'!D484, "0.00"),""), "")</f>
        <v/>
      </c>
      <c r="F478" t="str">
        <f>IFERROR(IF(ISNUMBER('Revenues &amp; Outlays in GDP'!B484), 'Revenues &amp; Outlays in GDP'!J484, ""), "")</f>
        <v/>
      </c>
    </row>
    <row r="479" spans="1:6">
      <c r="A479" t="str">
        <f>TEXT(IF('Revenues &amp; Outlays in GDP'!B485&lt;&gt;0,'Revenues &amp; Outlays in GDP'!B485, ""), "mm/dd/yyyy")</f>
        <v/>
      </c>
      <c r="B479" t="str">
        <f>IFERROR(IF(ISNUMBER('Revenues &amp; Outlays in GDP'!G485),TEXT('Revenues &amp; Outlays in GDP'!G485, "0.00"),""), "")</f>
        <v/>
      </c>
      <c r="C479" t="str">
        <f>IFERROR(IF(ISNUMBER('Revenues &amp; Outlays in GDP'!C485),TEXT('Revenues &amp; Outlays in GDP'!C485, "0.00"),""), "")</f>
        <v/>
      </c>
      <c r="D479" t="str">
        <f>IFERROR(IF(ISNUMBER('Revenues &amp; Outlays in GDP'!H485),TEXT('Revenues &amp; Outlays in GDP'!H485, "0.00"),""), "")</f>
        <v/>
      </c>
      <c r="E479" t="str">
        <f>IFERROR(IF(ISNUMBER('Revenues &amp; Outlays in GDP'!D485),TEXT('Revenues &amp; Outlays in GDP'!D485, "0.00"),""), "")</f>
        <v/>
      </c>
      <c r="F479" t="str">
        <f>IFERROR(IF(ISNUMBER('Revenues &amp; Outlays in GDP'!B485), 'Revenues &amp; Outlays in GDP'!J485, ""), "")</f>
        <v/>
      </c>
    </row>
    <row r="480" spans="1:6">
      <c r="A480" t="str">
        <f>TEXT(IF('Revenues &amp; Outlays in GDP'!B486&lt;&gt;0,'Revenues &amp; Outlays in GDP'!B486, ""), "mm/dd/yyyy")</f>
        <v/>
      </c>
      <c r="B480" t="str">
        <f>IFERROR(IF(ISNUMBER('Revenues &amp; Outlays in GDP'!G486),TEXT('Revenues &amp; Outlays in GDP'!G486, "0.00"),""), "")</f>
        <v/>
      </c>
      <c r="C480" t="str">
        <f>IFERROR(IF(ISNUMBER('Revenues &amp; Outlays in GDP'!C486),TEXT('Revenues &amp; Outlays in GDP'!C486, "0.00"),""), "")</f>
        <v/>
      </c>
      <c r="D480" t="str">
        <f>IFERROR(IF(ISNUMBER('Revenues &amp; Outlays in GDP'!H486),TEXT('Revenues &amp; Outlays in GDP'!H486, "0.00"),""), "")</f>
        <v/>
      </c>
      <c r="E480" t="str">
        <f>IFERROR(IF(ISNUMBER('Revenues &amp; Outlays in GDP'!D486),TEXT('Revenues &amp; Outlays in GDP'!D486, "0.00"),""), "")</f>
        <v/>
      </c>
      <c r="F480" t="str">
        <f>IFERROR(IF(ISNUMBER('Revenues &amp; Outlays in GDP'!B486), 'Revenues &amp; Outlays in GDP'!J486, ""), "")</f>
        <v/>
      </c>
    </row>
    <row r="481" spans="1:6">
      <c r="A481" t="str">
        <f>TEXT(IF('Revenues &amp; Outlays in GDP'!B487&lt;&gt;0,'Revenues &amp; Outlays in GDP'!B487, ""), "mm/dd/yyyy")</f>
        <v/>
      </c>
      <c r="B481" t="str">
        <f>IFERROR(IF(ISNUMBER('Revenues &amp; Outlays in GDP'!G487),TEXT('Revenues &amp; Outlays in GDP'!G487, "0.00"),""), "")</f>
        <v/>
      </c>
      <c r="C481" t="str">
        <f>IFERROR(IF(ISNUMBER('Revenues &amp; Outlays in GDP'!C487),TEXT('Revenues &amp; Outlays in GDP'!C487, "0.00"),""), "")</f>
        <v/>
      </c>
      <c r="D481" t="str">
        <f>IFERROR(IF(ISNUMBER('Revenues &amp; Outlays in GDP'!H487),TEXT('Revenues &amp; Outlays in GDP'!H487, "0.00"),""), "")</f>
        <v/>
      </c>
      <c r="E481" t="str">
        <f>IFERROR(IF(ISNUMBER('Revenues &amp; Outlays in GDP'!D487),TEXT('Revenues &amp; Outlays in GDP'!D487, "0.00"),""), "")</f>
        <v/>
      </c>
      <c r="F481" t="str">
        <f>IFERROR(IF(ISNUMBER('Revenues &amp; Outlays in GDP'!B487), 'Revenues &amp; Outlays in GDP'!J487, ""), "")</f>
        <v/>
      </c>
    </row>
    <row r="482" spans="1:6">
      <c r="A482" t="str">
        <f>TEXT(IF('Revenues &amp; Outlays in GDP'!B488&lt;&gt;0,'Revenues &amp; Outlays in GDP'!B488, ""), "mm/dd/yyyy")</f>
        <v/>
      </c>
      <c r="B482" t="str">
        <f>IFERROR(IF(ISNUMBER('Revenues &amp; Outlays in GDP'!G488),TEXT('Revenues &amp; Outlays in GDP'!G488, "0.00"),""), "")</f>
        <v/>
      </c>
      <c r="C482" t="str">
        <f>IFERROR(IF(ISNUMBER('Revenues &amp; Outlays in GDP'!C488),TEXT('Revenues &amp; Outlays in GDP'!C488, "0.00"),""), "")</f>
        <v/>
      </c>
      <c r="D482" t="str">
        <f>IFERROR(IF(ISNUMBER('Revenues &amp; Outlays in GDP'!H488),TEXT('Revenues &amp; Outlays in GDP'!H488, "0.00"),""), "")</f>
        <v/>
      </c>
      <c r="E482" t="str">
        <f>IFERROR(IF(ISNUMBER('Revenues &amp; Outlays in GDP'!D488),TEXT('Revenues &amp; Outlays in GDP'!D488, "0.00"),""), "")</f>
        <v/>
      </c>
      <c r="F482" t="str">
        <f>IFERROR(IF(ISNUMBER('Revenues &amp; Outlays in GDP'!B488), 'Revenues &amp; Outlays in GDP'!J488, ""), "")</f>
        <v/>
      </c>
    </row>
    <row r="483" spans="1:6">
      <c r="A483" t="str">
        <f>TEXT(IF('Revenues &amp; Outlays in GDP'!B489&lt;&gt;0,'Revenues &amp; Outlays in GDP'!B489, ""), "mm/dd/yyyy")</f>
        <v/>
      </c>
      <c r="B483" t="str">
        <f>IFERROR(IF(ISNUMBER('Revenues &amp; Outlays in GDP'!G489),TEXT('Revenues &amp; Outlays in GDP'!G489, "0.00"),""), "")</f>
        <v/>
      </c>
      <c r="C483" t="str">
        <f>IFERROR(IF(ISNUMBER('Revenues &amp; Outlays in GDP'!C489),TEXT('Revenues &amp; Outlays in GDP'!C489, "0.00"),""), "")</f>
        <v/>
      </c>
      <c r="D483" t="str">
        <f>IFERROR(IF(ISNUMBER('Revenues &amp; Outlays in GDP'!H489),TEXT('Revenues &amp; Outlays in GDP'!H489, "0.00"),""), "")</f>
        <v/>
      </c>
      <c r="E483" t="str">
        <f>IFERROR(IF(ISNUMBER('Revenues &amp; Outlays in GDP'!D489),TEXT('Revenues &amp; Outlays in GDP'!D489, "0.00"),""), "")</f>
        <v/>
      </c>
      <c r="F483" t="str">
        <f>IFERROR(IF(ISNUMBER('Revenues &amp; Outlays in GDP'!B489), 'Revenues &amp; Outlays in GDP'!J489, ""), "")</f>
        <v/>
      </c>
    </row>
    <row r="484" spans="1:6">
      <c r="A484" t="str">
        <f>TEXT(IF('Revenues &amp; Outlays in GDP'!B490&lt;&gt;0,'Revenues &amp; Outlays in GDP'!B490, ""), "mm/dd/yyyy")</f>
        <v/>
      </c>
      <c r="B484" t="str">
        <f>IFERROR(IF(ISNUMBER('Revenues &amp; Outlays in GDP'!G490),TEXT('Revenues &amp; Outlays in GDP'!G490, "0.00"),""), "")</f>
        <v/>
      </c>
      <c r="C484" t="str">
        <f>IFERROR(IF(ISNUMBER('Revenues &amp; Outlays in GDP'!C490),TEXT('Revenues &amp; Outlays in GDP'!C490, "0.00"),""), "")</f>
        <v/>
      </c>
      <c r="D484" t="str">
        <f>IFERROR(IF(ISNUMBER('Revenues &amp; Outlays in GDP'!H490),TEXT('Revenues &amp; Outlays in GDP'!H490, "0.00"),""), "")</f>
        <v/>
      </c>
      <c r="E484" t="str">
        <f>IFERROR(IF(ISNUMBER('Revenues &amp; Outlays in GDP'!D490),TEXT('Revenues &amp; Outlays in GDP'!D490, "0.00"),""), "")</f>
        <v/>
      </c>
      <c r="F484" t="str">
        <f>IFERROR(IF(ISNUMBER('Revenues &amp; Outlays in GDP'!B490), 'Revenues &amp; Outlays in GDP'!J490, ""), "")</f>
        <v/>
      </c>
    </row>
    <row r="485" spans="1:6">
      <c r="A485" t="str">
        <f>TEXT(IF('Revenues &amp; Outlays in GDP'!B491&lt;&gt;0,'Revenues &amp; Outlays in GDP'!B491, ""), "mm/dd/yyyy")</f>
        <v/>
      </c>
      <c r="B485" t="str">
        <f>IFERROR(IF(ISNUMBER('Revenues &amp; Outlays in GDP'!G491),TEXT('Revenues &amp; Outlays in GDP'!G491, "0.00"),""), "")</f>
        <v/>
      </c>
      <c r="C485" t="str">
        <f>IFERROR(IF(ISNUMBER('Revenues &amp; Outlays in GDP'!C491),TEXT('Revenues &amp; Outlays in GDP'!C491, "0.00"),""), "")</f>
        <v/>
      </c>
      <c r="D485" t="str">
        <f>IFERROR(IF(ISNUMBER('Revenues &amp; Outlays in GDP'!H491),TEXT('Revenues &amp; Outlays in GDP'!H491, "0.00"),""), "")</f>
        <v/>
      </c>
      <c r="E485" t="str">
        <f>IFERROR(IF(ISNUMBER('Revenues &amp; Outlays in GDP'!D491),TEXT('Revenues &amp; Outlays in GDP'!D491, "0.00"),""), "")</f>
        <v/>
      </c>
      <c r="F485" t="str">
        <f>IFERROR(IF(ISNUMBER('Revenues &amp; Outlays in GDP'!B491), 'Revenues &amp; Outlays in GDP'!J491, ""), "")</f>
        <v/>
      </c>
    </row>
    <row r="486" spans="1:6">
      <c r="A486" t="str">
        <f>TEXT(IF('Revenues &amp; Outlays in GDP'!B492&lt;&gt;0,'Revenues &amp; Outlays in GDP'!B492, ""), "mm/dd/yyyy")</f>
        <v/>
      </c>
      <c r="B486" t="str">
        <f>IFERROR(IF(ISNUMBER('Revenues &amp; Outlays in GDP'!G492),TEXT('Revenues &amp; Outlays in GDP'!G492, "0.00"),""), "")</f>
        <v/>
      </c>
      <c r="C486" t="str">
        <f>IFERROR(IF(ISNUMBER('Revenues &amp; Outlays in GDP'!C492),TEXT('Revenues &amp; Outlays in GDP'!C492, "0.00"),""), "")</f>
        <v/>
      </c>
      <c r="D486" t="str">
        <f>IFERROR(IF(ISNUMBER('Revenues &amp; Outlays in GDP'!H492),TEXT('Revenues &amp; Outlays in GDP'!H492, "0.00"),""), "")</f>
        <v/>
      </c>
      <c r="E486" t="str">
        <f>IFERROR(IF(ISNUMBER('Revenues &amp; Outlays in GDP'!D492),TEXT('Revenues &amp; Outlays in GDP'!D492, "0.00"),""), "")</f>
        <v/>
      </c>
      <c r="F486" t="str">
        <f>IFERROR(IF(ISNUMBER('Revenues &amp; Outlays in GDP'!B492), 'Revenues &amp; Outlays in GDP'!J492, ""), "")</f>
        <v/>
      </c>
    </row>
    <row r="487" spans="1:6">
      <c r="A487" t="str">
        <f>TEXT(IF('Revenues &amp; Outlays in GDP'!B493&lt;&gt;0,'Revenues &amp; Outlays in GDP'!B493, ""), "mm/dd/yyyy")</f>
        <v/>
      </c>
      <c r="B487" t="str">
        <f>IFERROR(IF(ISNUMBER('Revenues &amp; Outlays in GDP'!G493),TEXT('Revenues &amp; Outlays in GDP'!G493, "0.00"),""), "")</f>
        <v/>
      </c>
      <c r="C487" t="str">
        <f>IFERROR(IF(ISNUMBER('Revenues &amp; Outlays in GDP'!C493),TEXT('Revenues &amp; Outlays in GDP'!C493, "0.00"),""), "")</f>
        <v/>
      </c>
      <c r="D487" t="str">
        <f>IFERROR(IF(ISNUMBER('Revenues &amp; Outlays in GDP'!H493),TEXT('Revenues &amp; Outlays in GDP'!H493, "0.00"),""), "")</f>
        <v/>
      </c>
      <c r="E487" t="str">
        <f>IFERROR(IF(ISNUMBER('Revenues &amp; Outlays in GDP'!D493),TEXT('Revenues &amp; Outlays in GDP'!D493, "0.00"),""), "")</f>
        <v/>
      </c>
      <c r="F487" t="str">
        <f>IFERROR(IF(ISNUMBER('Revenues &amp; Outlays in GDP'!B493), 'Revenues &amp; Outlays in GDP'!J493, ""), "")</f>
        <v/>
      </c>
    </row>
    <row r="488" spans="1:6">
      <c r="A488" t="str">
        <f>TEXT(IF('Revenues &amp; Outlays in GDP'!B494&lt;&gt;0,'Revenues &amp; Outlays in GDP'!B494, ""), "mm/dd/yyyy")</f>
        <v/>
      </c>
      <c r="B488" t="str">
        <f>IFERROR(IF(ISNUMBER('Revenues &amp; Outlays in GDP'!G494),TEXT('Revenues &amp; Outlays in GDP'!G494, "0.00"),""), "")</f>
        <v/>
      </c>
      <c r="C488" t="str">
        <f>IFERROR(IF(ISNUMBER('Revenues &amp; Outlays in GDP'!C494),TEXT('Revenues &amp; Outlays in GDP'!C494, "0.00"),""), "")</f>
        <v/>
      </c>
      <c r="D488" t="str">
        <f>IFERROR(IF(ISNUMBER('Revenues &amp; Outlays in GDP'!H494),TEXT('Revenues &amp; Outlays in GDP'!H494, "0.00"),""), "")</f>
        <v/>
      </c>
      <c r="E488" t="str">
        <f>IFERROR(IF(ISNUMBER('Revenues &amp; Outlays in GDP'!D494),TEXT('Revenues &amp; Outlays in GDP'!D494, "0.00"),""), "")</f>
        <v/>
      </c>
      <c r="F488" t="str">
        <f>IFERROR(IF(ISNUMBER('Revenues &amp; Outlays in GDP'!B494), 'Revenues &amp; Outlays in GDP'!J494, ""), "")</f>
        <v/>
      </c>
    </row>
    <row r="489" spans="1:6">
      <c r="A489" t="str">
        <f>TEXT(IF('Revenues &amp; Outlays in GDP'!B495&lt;&gt;0,'Revenues &amp; Outlays in GDP'!B495, ""), "mm/dd/yyyy")</f>
        <v/>
      </c>
      <c r="B489" t="str">
        <f>IFERROR(IF(ISNUMBER('Revenues &amp; Outlays in GDP'!G495),TEXT('Revenues &amp; Outlays in GDP'!G495, "0.00"),""), "")</f>
        <v/>
      </c>
      <c r="C489" t="str">
        <f>IFERROR(IF(ISNUMBER('Revenues &amp; Outlays in GDP'!C495),TEXT('Revenues &amp; Outlays in GDP'!C495, "0.00"),""), "")</f>
        <v/>
      </c>
      <c r="D489" t="str">
        <f>IFERROR(IF(ISNUMBER('Revenues &amp; Outlays in GDP'!H495),TEXT('Revenues &amp; Outlays in GDP'!H495, "0.00"),""), "")</f>
        <v/>
      </c>
      <c r="E489" t="str">
        <f>IFERROR(IF(ISNUMBER('Revenues &amp; Outlays in GDP'!D495),TEXT('Revenues &amp; Outlays in GDP'!D495, "0.00"),""), "")</f>
        <v/>
      </c>
      <c r="F489" t="str">
        <f>IFERROR(IF(ISNUMBER('Revenues &amp; Outlays in GDP'!B495), 'Revenues &amp; Outlays in GDP'!J495, ""), "")</f>
        <v/>
      </c>
    </row>
    <row r="490" spans="1:6">
      <c r="A490" t="str">
        <f>TEXT(IF('Revenues &amp; Outlays in GDP'!B496&lt;&gt;0,'Revenues &amp; Outlays in GDP'!B496, ""), "mm/dd/yyyy")</f>
        <v/>
      </c>
      <c r="B490" t="str">
        <f>IFERROR(IF(ISNUMBER('Revenues &amp; Outlays in GDP'!G496),TEXT('Revenues &amp; Outlays in GDP'!G496, "0.00"),""), "")</f>
        <v/>
      </c>
      <c r="C490" t="str">
        <f>IFERROR(IF(ISNUMBER('Revenues &amp; Outlays in GDP'!C496),TEXT('Revenues &amp; Outlays in GDP'!C496, "0.00"),""), "")</f>
        <v/>
      </c>
      <c r="D490" t="str">
        <f>IFERROR(IF(ISNUMBER('Revenues &amp; Outlays in GDP'!H496),TEXT('Revenues &amp; Outlays in GDP'!H496, "0.00"),""), "")</f>
        <v/>
      </c>
      <c r="E490" t="str">
        <f>IFERROR(IF(ISNUMBER('Revenues &amp; Outlays in GDP'!D496),TEXT('Revenues &amp; Outlays in GDP'!D496, "0.00"),""), "")</f>
        <v/>
      </c>
      <c r="F490" t="str">
        <f>IFERROR(IF(ISNUMBER('Revenues &amp; Outlays in GDP'!B496), 'Revenues &amp; Outlays in GDP'!J496, ""), "")</f>
        <v/>
      </c>
    </row>
    <row r="491" spans="1:6">
      <c r="A491" t="str">
        <f>TEXT(IF('Revenues &amp; Outlays in GDP'!B497&lt;&gt;0,'Revenues &amp; Outlays in GDP'!B497, ""), "mm/dd/yyyy")</f>
        <v/>
      </c>
      <c r="B491" t="str">
        <f>IFERROR(IF(ISNUMBER('Revenues &amp; Outlays in GDP'!G497),TEXT('Revenues &amp; Outlays in GDP'!G497, "0.00"),""), "")</f>
        <v/>
      </c>
      <c r="C491" t="str">
        <f>IFERROR(IF(ISNUMBER('Revenues &amp; Outlays in GDP'!C497),TEXT('Revenues &amp; Outlays in GDP'!C497, "0.00"),""), "")</f>
        <v/>
      </c>
      <c r="D491" t="str">
        <f>IFERROR(IF(ISNUMBER('Revenues &amp; Outlays in GDP'!H497),TEXT('Revenues &amp; Outlays in GDP'!H497, "0.00"),""), "")</f>
        <v/>
      </c>
      <c r="E491" t="str">
        <f>IFERROR(IF(ISNUMBER('Revenues &amp; Outlays in GDP'!D497),TEXT('Revenues &amp; Outlays in GDP'!D497, "0.00"),""), "")</f>
        <v/>
      </c>
      <c r="F491" t="str">
        <f>IFERROR(IF(ISNUMBER('Revenues &amp; Outlays in GDP'!B497), 'Revenues &amp; Outlays in GDP'!J497, ""), "")</f>
        <v/>
      </c>
    </row>
    <row r="492" spans="1:6">
      <c r="A492" t="str">
        <f>TEXT(IF('Revenues &amp; Outlays in GDP'!B498&lt;&gt;0,'Revenues &amp; Outlays in GDP'!B498, ""), "mm/dd/yyyy")</f>
        <v/>
      </c>
      <c r="B492" t="str">
        <f>IFERROR(IF(ISNUMBER('Revenues &amp; Outlays in GDP'!G498),TEXT('Revenues &amp; Outlays in GDP'!G498, "0.00"),""), "")</f>
        <v/>
      </c>
      <c r="C492" t="str">
        <f>IFERROR(IF(ISNUMBER('Revenues &amp; Outlays in GDP'!C498),TEXT('Revenues &amp; Outlays in GDP'!C498, "0.00"),""), "")</f>
        <v/>
      </c>
      <c r="D492" t="str">
        <f>IFERROR(IF(ISNUMBER('Revenues &amp; Outlays in GDP'!H498),TEXT('Revenues &amp; Outlays in GDP'!H498, "0.00"),""), "")</f>
        <v/>
      </c>
      <c r="E492" t="str">
        <f>IFERROR(IF(ISNUMBER('Revenues &amp; Outlays in GDP'!D498),TEXT('Revenues &amp; Outlays in GDP'!D498, "0.00"),""), "")</f>
        <v/>
      </c>
      <c r="F492" t="str">
        <f>IFERROR(IF(ISNUMBER('Revenues &amp; Outlays in GDP'!B498), 'Revenues &amp; Outlays in GDP'!J498, ""), "")</f>
        <v/>
      </c>
    </row>
    <row r="493" spans="1:6">
      <c r="A493" t="str">
        <f>TEXT(IF('Revenues &amp; Outlays in GDP'!B499&lt;&gt;0,'Revenues &amp; Outlays in GDP'!B499, ""), "mm/dd/yyyy")</f>
        <v/>
      </c>
      <c r="B493" t="str">
        <f>IFERROR(IF(ISNUMBER('Revenues &amp; Outlays in GDP'!G499),TEXT('Revenues &amp; Outlays in GDP'!G499, "0.00"),""), "")</f>
        <v/>
      </c>
      <c r="C493" t="str">
        <f>IFERROR(IF(ISNUMBER('Revenues &amp; Outlays in GDP'!C499),TEXT('Revenues &amp; Outlays in GDP'!C499, "0.00"),""), "")</f>
        <v/>
      </c>
      <c r="D493" t="str">
        <f>IFERROR(IF(ISNUMBER('Revenues &amp; Outlays in GDP'!H499),TEXT('Revenues &amp; Outlays in GDP'!H499, "0.00"),""), "")</f>
        <v/>
      </c>
      <c r="E493" t="str">
        <f>IFERROR(IF(ISNUMBER('Revenues &amp; Outlays in GDP'!D499),TEXT('Revenues &amp; Outlays in GDP'!D499, "0.00"),""), "")</f>
        <v/>
      </c>
      <c r="F493" t="str">
        <f>IFERROR(IF(ISNUMBER('Revenues &amp; Outlays in GDP'!B499), 'Revenues &amp; Outlays in GDP'!J499, ""), "")</f>
        <v/>
      </c>
    </row>
    <row r="494" spans="1:6">
      <c r="A494" t="str">
        <f>TEXT(IF('Revenues &amp; Outlays in GDP'!B500&lt;&gt;0,'Revenues &amp; Outlays in GDP'!B500, ""), "mm/dd/yyyy")</f>
        <v/>
      </c>
      <c r="B494" t="str">
        <f>IFERROR(IF(ISNUMBER('Revenues &amp; Outlays in GDP'!G500),TEXT('Revenues &amp; Outlays in GDP'!G500, "0.00"),""), "")</f>
        <v/>
      </c>
      <c r="C494" t="str">
        <f>IFERROR(IF(ISNUMBER('Revenues &amp; Outlays in GDP'!C500),TEXT('Revenues &amp; Outlays in GDP'!C500, "0.00"),""), "")</f>
        <v/>
      </c>
      <c r="D494" t="str">
        <f>IFERROR(IF(ISNUMBER('Revenues &amp; Outlays in GDP'!H500),TEXT('Revenues &amp; Outlays in GDP'!H500, "0.00"),""), "")</f>
        <v/>
      </c>
      <c r="E494" t="str">
        <f>IFERROR(IF(ISNUMBER('Revenues &amp; Outlays in GDP'!D500),TEXT('Revenues &amp; Outlays in GDP'!D500, "0.00"),""), "")</f>
        <v/>
      </c>
      <c r="F494" t="str">
        <f>IFERROR(IF(ISNUMBER('Revenues &amp; Outlays in GDP'!B500), 'Revenues &amp; Outlays in GDP'!J500, ""), "")</f>
        <v/>
      </c>
    </row>
    <row r="495" spans="1:6">
      <c r="A495" t="str">
        <f>TEXT(IF('Revenues &amp; Outlays in GDP'!B501&lt;&gt;0,'Revenues &amp; Outlays in GDP'!B501, ""), "mm/dd/yyyy")</f>
        <v/>
      </c>
      <c r="B495" t="str">
        <f>IFERROR(IF(ISNUMBER('Revenues &amp; Outlays in GDP'!G501),TEXT('Revenues &amp; Outlays in GDP'!G501, "0.00"),""), "")</f>
        <v/>
      </c>
      <c r="C495" t="str">
        <f>IFERROR(IF(ISNUMBER('Revenues &amp; Outlays in GDP'!C501),TEXT('Revenues &amp; Outlays in GDP'!C501, "0.00"),""), "")</f>
        <v/>
      </c>
      <c r="D495" t="str">
        <f>IFERROR(IF(ISNUMBER('Revenues &amp; Outlays in GDP'!H501),TEXT('Revenues &amp; Outlays in GDP'!H501, "0.00"),""), "")</f>
        <v/>
      </c>
      <c r="E495" t="str">
        <f>IFERROR(IF(ISNUMBER('Revenues &amp; Outlays in GDP'!D501),TEXT('Revenues &amp; Outlays in GDP'!D501, "0.00"),""), "")</f>
        <v/>
      </c>
      <c r="F495" t="str">
        <f>IFERROR(IF(ISNUMBER('Revenues &amp; Outlays in GDP'!B501), 'Revenues &amp; Outlays in GDP'!J501, ""), "")</f>
        <v/>
      </c>
    </row>
    <row r="496" spans="1:6">
      <c r="A496" t="str">
        <f>TEXT(IF('Revenues &amp; Outlays in GDP'!B502&lt;&gt;0,'Revenues &amp; Outlays in GDP'!B502, ""), "mm/dd/yyyy")</f>
        <v/>
      </c>
      <c r="B496" t="str">
        <f>IFERROR(IF(ISNUMBER('Revenues &amp; Outlays in GDP'!G502),TEXT('Revenues &amp; Outlays in GDP'!G502, "0.00"),""), "")</f>
        <v/>
      </c>
      <c r="C496" t="str">
        <f>IFERROR(IF(ISNUMBER('Revenues &amp; Outlays in GDP'!C502),TEXT('Revenues &amp; Outlays in GDP'!C502, "0.00"),""), "")</f>
        <v/>
      </c>
      <c r="D496" t="str">
        <f>IFERROR(IF(ISNUMBER('Revenues &amp; Outlays in GDP'!H502),TEXT('Revenues &amp; Outlays in GDP'!H502, "0.00"),""), "")</f>
        <v/>
      </c>
      <c r="E496" t="str">
        <f>IFERROR(IF(ISNUMBER('Revenues &amp; Outlays in GDP'!D502),TEXT('Revenues &amp; Outlays in GDP'!D502, "0.00"),""), "")</f>
        <v/>
      </c>
      <c r="F496" t="str">
        <f>IFERROR(IF(ISNUMBER('Revenues &amp; Outlays in GDP'!B502), 'Revenues &amp; Outlays in GDP'!J502, ""), "")</f>
        <v/>
      </c>
    </row>
    <row r="497" spans="1:6">
      <c r="A497" t="str">
        <f>TEXT(IF('Revenues &amp; Outlays in GDP'!B503&lt;&gt;0,'Revenues &amp; Outlays in GDP'!B503, ""), "mm/dd/yyyy")</f>
        <v/>
      </c>
      <c r="B497" t="str">
        <f>IFERROR(IF(ISNUMBER('Revenues &amp; Outlays in GDP'!G503),TEXT('Revenues &amp; Outlays in GDP'!G503, "0.00"),""), "")</f>
        <v/>
      </c>
      <c r="C497" t="str">
        <f>IFERROR(IF(ISNUMBER('Revenues &amp; Outlays in GDP'!C503),TEXT('Revenues &amp; Outlays in GDP'!C503, "0.00"),""), "")</f>
        <v/>
      </c>
      <c r="D497" t="str">
        <f>IFERROR(IF(ISNUMBER('Revenues &amp; Outlays in GDP'!H503),TEXT('Revenues &amp; Outlays in GDP'!H503, "0.00"),""), "")</f>
        <v/>
      </c>
      <c r="E497" t="str">
        <f>IFERROR(IF(ISNUMBER('Revenues &amp; Outlays in GDP'!D503),TEXT('Revenues &amp; Outlays in GDP'!D503, "0.00"),""), "")</f>
        <v/>
      </c>
      <c r="F497" t="str">
        <f>IFERROR(IF(ISNUMBER('Revenues &amp; Outlays in GDP'!B503), 'Revenues &amp; Outlays in GDP'!J503, ""), "")</f>
        <v/>
      </c>
    </row>
    <row r="498" spans="1:6">
      <c r="A498" t="str">
        <f>TEXT(IF('Revenues &amp; Outlays in GDP'!B504&lt;&gt;0,'Revenues &amp; Outlays in GDP'!B504, ""), "mm/dd/yyyy")</f>
        <v/>
      </c>
      <c r="B498" t="str">
        <f>IFERROR(IF(ISNUMBER('Revenues &amp; Outlays in GDP'!G504),TEXT('Revenues &amp; Outlays in GDP'!G504, "0.00"),""), "")</f>
        <v/>
      </c>
      <c r="C498" t="str">
        <f>IFERROR(IF(ISNUMBER('Revenues &amp; Outlays in GDP'!C504),TEXT('Revenues &amp; Outlays in GDP'!C504, "0.00"),""), "")</f>
        <v/>
      </c>
      <c r="D498" t="str">
        <f>IFERROR(IF(ISNUMBER('Revenues &amp; Outlays in GDP'!H504),TEXT('Revenues &amp; Outlays in GDP'!H504, "0.00"),""), "")</f>
        <v/>
      </c>
      <c r="E498" t="str">
        <f>IFERROR(IF(ISNUMBER('Revenues &amp; Outlays in GDP'!D504),TEXT('Revenues &amp; Outlays in GDP'!D504, "0.00"),""), "")</f>
        <v/>
      </c>
      <c r="F498" t="str">
        <f>IFERROR(IF(ISNUMBER('Revenues &amp; Outlays in GDP'!B504), 'Revenues &amp; Outlays in GDP'!J504, ""), "")</f>
        <v/>
      </c>
    </row>
    <row r="499" spans="1:6">
      <c r="A499" t="str">
        <f>TEXT(IF('Revenues &amp; Outlays in GDP'!B505&lt;&gt;0,'Revenues &amp; Outlays in GDP'!B505, ""), "mm/dd/yyyy")</f>
        <v/>
      </c>
      <c r="B499" t="str">
        <f>IFERROR(IF(ISNUMBER('Revenues &amp; Outlays in GDP'!G505),TEXT('Revenues &amp; Outlays in GDP'!G505, "0.00"),""), "")</f>
        <v/>
      </c>
      <c r="C499" t="str">
        <f>IFERROR(IF(ISNUMBER('Revenues &amp; Outlays in GDP'!C505),TEXT('Revenues &amp; Outlays in GDP'!C505, "0.00"),""), "")</f>
        <v/>
      </c>
      <c r="D499" t="str">
        <f>IFERROR(IF(ISNUMBER('Revenues &amp; Outlays in GDP'!H505),TEXT('Revenues &amp; Outlays in GDP'!H505, "0.00"),""), "")</f>
        <v/>
      </c>
      <c r="E499" t="str">
        <f>IFERROR(IF(ISNUMBER('Revenues &amp; Outlays in GDP'!D505),TEXT('Revenues &amp; Outlays in GDP'!D505, "0.00"),""), "")</f>
        <v/>
      </c>
      <c r="F499" t="str">
        <f>IFERROR(IF(ISNUMBER('Revenues &amp; Outlays in GDP'!B505), 'Revenues &amp; Outlays in GDP'!J505, ""), "")</f>
        <v/>
      </c>
    </row>
    <row r="500" spans="1:6">
      <c r="A500" t="str">
        <f>TEXT(IF('Revenues &amp; Outlays in GDP'!B506&lt;&gt;0,'Revenues &amp; Outlays in GDP'!B506, ""), "mm/dd/yyyy")</f>
        <v/>
      </c>
      <c r="B500" t="str">
        <f>IFERROR(IF(ISNUMBER('Revenues &amp; Outlays in GDP'!G506),TEXT('Revenues &amp; Outlays in GDP'!G506, "0.00"),""), "")</f>
        <v/>
      </c>
      <c r="C500" t="str">
        <f>IFERROR(IF(ISNUMBER('Revenues &amp; Outlays in GDP'!C506),TEXT('Revenues &amp; Outlays in GDP'!C506, "0.00"),""), "")</f>
        <v/>
      </c>
      <c r="D500" t="str">
        <f>IFERROR(IF(ISNUMBER('Revenues &amp; Outlays in GDP'!H506),TEXT('Revenues &amp; Outlays in GDP'!H506, "0.00"),""), "")</f>
        <v/>
      </c>
      <c r="E500" t="str">
        <f>IFERROR(IF(ISNUMBER('Revenues &amp; Outlays in GDP'!D506),TEXT('Revenues &amp; Outlays in GDP'!D506, "0.00"),""), "")</f>
        <v/>
      </c>
      <c r="F500" t="str">
        <f>IFERROR(IF(ISNUMBER('Revenues &amp; Outlays in GDP'!B506), 'Revenues &amp; Outlays in GDP'!J506, ""), "")</f>
        <v/>
      </c>
    </row>
    <row r="501" spans="1:6">
      <c r="A501" t="str">
        <f>TEXT(IF('Revenues &amp; Outlays in GDP'!B507&lt;&gt;0,'Revenues &amp; Outlays in GDP'!B507, ""), "mm/dd/yyyy")</f>
        <v/>
      </c>
      <c r="B501" t="str">
        <f>IFERROR(IF(ISNUMBER('Revenues &amp; Outlays in GDP'!G507),TEXT('Revenues &amp; Outlays in GDP'!G507, "0.00"),""), "")</f>
        <v/>
      </c>
      <c r="C501" t="str">
        <f>IFERROR(IF(ISNUMBER('Revenues &amp; Outlays in GDP'!C507),TEXT('Revenues &amp; Outlays in GDP'!C507, "0.00"),""), "")</f>
        <v/>
      </c>
      <c r="D501" t="str">
        <f>IFERROR(IF(ISNUMBER('Revenues &amp; Outlays in GDP'!H507),TEXT('Revenues &amp; Outlays in GDP'!H507, "0.00"),""), "")</f>
        <v/>
      </c>
      <c r="E501" t="str">
        <f>IFERROR(IF(ISNUMBER('Revenues &amp; Outlays in GDP'!D507),TEXT('Revenues &amp; Outlays in GDP'!D507, "0.00"),""), "")</f>
        <v/>
      </c>
      <c r="F501" t="str">
        <f>IFERROR(IF(ISNUMBER('Revenues &amp; Outlays in GDP'!B507), 'Revenues &amp; Outlays in GDP'!J507, ""), "")</f>
        <v/>
      </c>
    </row>
    <row r="502" spans="1:6">
      <c r="A502" t="str">
        <f>TEXT(IF('Revenues &amp; Outlays in GDP'!B508&lt;&gt;0,'Revenues &amp; Outlays in GDP'!B508, ""), "mm/dd/yyyy")</f>
        <v/>
      </c>
      <c r="B502" t="str">
        <f>IFERROR(IF(ISNUMBER('Revenues &amp; Outlays in GDP'!G508),TEXT('Revenues &amp; Outlays in GDP'!G508, "0.00"),""), "")</f>
        <v/>
      </c>
      <c r="C502" t="str">
        <f>IFERROR(IF(ISNUMBER('Revenues &amp; Outlays in GDP'!C508),TEXT('Revenues &amp; Outlays in GDP'!C508, "0.00"),""), "")</f>
        <v/>
      </c>
      <c r="D502" t="str">
        <f>IFERROR(IF(ISNUMBER('Revenues &amp; Outlays in GDP'!H508),TEXT('Revenues &amp; Outlays in GDP'!H508, "0.00"),""), "")</f>
        <v/>
      </c>
      <c r="E502" t="str">
        <f>IFERROR(IF(ISNUMBER('Revenues &amp; Outlays in GDP'!D508),TEXT('Revenues &amp; Outlays in GDP'!D508, "0.00"),""), "")</f>
        <v/>
      </c>
      <c r="F502" t="str">
        <f>IFERROR(IF(ISNUMBER('Revenues &amp; Outlays in GDP'!B508), 'Revenues &amp; Outlays in GDP'!J508, ""), "")</f>
        <v/>
      </c>
    </row>
    <row r="503" spans="1:6">
      <c r="A503" t="str">
        <f>TEXT(IF('Revenues &amp; Outlays in GDP'!B509&lt;&gt;0,'Revenues &amp; Outlays in GDP'!B509, ""), "mm/dd/yyyy")</f>
        <v/>
      </c>
      <c r="B503" t="str">
        <f>IFERROR(IF(ISNUMBER('Revenues &amp; Outlays in GDP'!G509),TEXT('Revenues &amp; Outlays in GDP'!G509, "0.00"),""), "")</f>
        <v/>
      </c>
      <c r="C503" t="str">
        <f>IFERROR(IF(ISNUMBER('Revenues &amp; Outlays in GDP'!C509),TEXT('Revenues &amp; Outlays in GDP'!C509, "0.00"),""), "")</f>
        <v/>
      </c>
      <c r="D503" t="str">
        <f>IFERROR(IF(ISNUMBER('Revenues &amp; Outlays in GDP'!H509),TEXT('Revenues &amp; Outlays in GDP'!H509, "0.00"),""), "")</f>
        <v/>
      </c>
      <c r="E503" t="str">
        <f>IFERROR(IF(ISNUMBER('Revenues &amp; Outlays in GDP'!D509),TEXT('Revenues &amp; Outlays in GDP'!D509, "0.00"),""), "")</f>
        <v/>
      </c>
      <c r="F503" t="str">
        <f>IFERROR(IF(ISNUMBER('Revenues &amp; Outlays in GDP'!B509), 'Revenues &amp; Outlays in GDP'!J509, ""), "")</f>
        <v/>
      </c>
    </row>
    <row r="504" spans="1:6">
      <c r="A504" t="str">
        <f>TEXT(IF('Revenues &amp; Outlays in GDP'!B510&lt;&gt;0,'Revenues &amp; Outlays in GDP'!B510, ""), "mm/dd/yyyy")</f>
        <v/>
      </c>
      <c r="B504" t="str">
        <f>IFERROR(IF(ISNUMBER('Revenues &amp; Outlays in GDP'!G510),TEXT('Revenues &amp; Outlays in GDP'!G510, "0.00"),""), "")</f>
        <v/>
      </c>
      <c r="C504" t="str">
        <f>IFERROR(IF(ISNUMBER('Revenues &amp; Outlays in GDP'!C510),TEXT('Revenues &amp; Outlays in GDP'!C510, "0.00"),""), "")</f>
        <v/>
      </c>
      <c r="D504" t="str">
        <f>IFERROR(IF(ISNUMBER('Revenues &amp; Outlays in GDP'!H510),TEXT('Revenues &amp; Outlays in GDP'!H510, "0.00"),""), "")</f>
        <v/>
      </c>
      <c r="E504" t="str">
        <f>IFERROR(IF(ISNUMBER('Revenues &amp; Outlays in GDP'!D510),TEXT('Revenues &amp; Outlays in GDP'!D510, "0.00"),""), "")</f>
        <v/>
      </c>
      <c r="F504" t="str">
        <f>IFERROR(IF(ISNUMBER('Revenues &amp; Outlays in GDP'!B510), 'Revenues &amp; Outlays in GDP'!J510, ""), "")</f>
        <v/>
      </c>
    </row>
    <row r="505" spans="1:6">
      <c r="A505" t="str">
        <f>TEXT(IF('Revenues &amp; Outlays in GDP'!B511&lt;&gt;0,'Revenues &amp; Outlays in GDP'!B511, ""), "mm/dd/yyyy")</f>
        <v/>
      </c>
      <c r="B505" t="str">
        <f>IFERROR(IF(ISNUMBER('Revenues &amp; Outlays in GDP'!G511),TEXT('Revenues &amp; Outlays in GDP'!G511, "0.00"),""), "")</f>
        <v/>
      </c>
      <c r="C505" t="str">
        <f>IFERROR(IF(ISNUMBER('Revenues &amp; Outlays in GDP'!C511),TEXT('Revenues &amp; Outlays in GDP'!C511, "0.00"),""), "")</f>
        <v/>
      </c>
      <c r="D505" t="str">
        <f>IFERROR(IF(ISNUMBER('Revenues &amp; Outlays in GDP'!H511),TEXT('Revenues &amp; Outlays in GDP'!H511, "0.00"),""), "")</f>
        <v/>
      </c>
      <c r="E505" t="str">
        <f>IFERROR(IF(ISNUMBER('Revenues &amp; Outlays in GDP'!D511),TEXT('Revenues &amp; Outlays in GDP'!D511, "0.00"),""), "")</f>
        <v/>
      </c>
      <c r="F505" t="str">
        <f>IFERROR(IF(ISNUMBER('Revenues &amp; Outlays in GDP'!B511), 'Revenues &amp; Outlays in GDP'!J511, ""), "")</f>
        <v/>
      </c>
    </row>
    <row r="506" spans="1:6">
      <c r="A506" t="str">
        <f>TEXT(IF('Revenues &amp; Outlays in GDP'!B512&lt;&gt;0,'Revenues &amp; Outlays in GDP'!B512, ""), "mm/dd/yyyy")</f>
        <v/>
      </c>
      <c r="B506" t="str">
        <f>IFERROR(IF(ISNUMBER('Revenues &amp; Outlays in GDP'!G512),TEXT('Revenues &amp; Outlays in GDP'!G512, "0.00"),""), "")</f>
        <v/>
      </c>
      <c r="C506" t="str">
        <f>IFERROR(IF(ISNUMBER('Revenues &amp; Outlays in GDP'!C512),TEXT('Revenues &amp; Outlays in GDP'!C512, "0.00"),""), "")</f>
        <v/>
      </c>
      <c r="D506" t="str">
        <f>IFERROR(IF(ISNUMBER('Revenues &amp; Outlays in GDP'!H512),TEXT('Revenues &amp; Outlays in GDP'!H512, "0.00"),""), "")</f>
        <v/>
      </c>
      <c r="E506" t="str">
        <f>IFERROR(IF(ISNUMBER('Revenues &amp; Outlays in GDP'!D512),TEXT('Revenues &amp; Outlays in GDP'!D512, "0.00"),""), "")</f>
        <v/>
      </c>
      <c r="F506" t="str">
        <f>IFERROR(IF(ISNUMBER('Revenues &amp; Outlays in GDP'!B512), 'Revenues &amp; Outlays in GDP'!J512, ""), "")</f>
        <v/>
      </c>
    </row>
    <row r="507" spans="1:6">
      <c r="A507" t="str">
        <f>TEXT(IF('Revenues &amp; Outlays in GDP'!B513&lt;&gt;0,'Revenues &amp; Outlays in GDP'!B513, ""), "mm/dd/yyyy")</f>
        <v/>
      </c>
      <c r="B507" t="str">
        <f>IFERROR(IF(ISNUMBER('Revenues &amp; Outlays in GDP'!G513),TEXT('Revenues &amp; Outlays in GDP'!G513, "0.00"),""), "")</f>
        <v/>
      </c>
      <c r="C507" t="str">
        <f>IFERROR(IF(ISNUMBER('Revenues &amp; Outlays in GDP'!C513),TEXT('Revenues &amp; Outlays in GDP'!C513, "0.00"),""), "")</f>
        <v/>
      </c>
      <c r="D507" t="str">
        <f>IFERROR(IF(ISNUMBER('Revenues &amp; Outlays in GDP'!H513),TEXT('Revenues &amp; Outlays in GDP'!H513, "0.00"),""), "")</f>
        <v/>
      </c>
      <c r="E507" t="str">
        <f>IFERROR(IF(ISNUMBER('Revenues &amp; Outlays in GDP'!D513),TEXT('Revenues &amp; Outlays in GDP'!D513, "0.00"),""), "")</f>
        <v/>
      </c>
      <c r="F507" t="str">
        <f>IFERROR(IF(ISNUMBER('Revenues &amp; Outlays in GDP'!B513), 'Revenues &amp; Outlays in GDP'!J513, ""), "")</f>
        <v/>
      </c>
    </row>
    <row r="508" spans="1:6">
      <c r="A508" t="str">
        <f>TEXT(IF('Revenues &amp; Outlays in GDP'!B514&lt;&gt;0,'Revenues &amp; Outlays in GDP'!B514, ""), "mm/dd/yyyy")</f>
        <v/>
      </c>
      <c r="B508" t="str">
        <f>IFERROR(IF(ISNUMBER('Revenues &amp; Outlays in GDP'!G514),TEXT('Revenues &amp; Outlays in GDP'!G514, "0.00"),""), "")</f>
        <v/>
      </c>
      <c r="C508" t="str">
        <f>IFERROR(IF(ISNUMBER('Revenues &amp; Outlays in GDP'!C514),TEXT('Revenues &amp; Outlays in GDP'!C514, "0.00"),""), "")</f>
        <v/>
      </c>
      <c r="D508" t="str">
        <f>IFERROR(IF(ISNUMBER('Revenues &amp; Outlays in GDP'!H514),TEXT('Revenues &amp; Outlays in GDP'!H514, "0.00"),""), "")</f>
        <v/>
      </c>
      <c r="E508" t="str">
        <f>IFERROR(IF(ISNUMBER('Revenues &amp; Outlays in GDP'!D514),TEXT('Revenues &amp; Outlays in GDP'!D514, "0.00"),""), "")</f>
        <v/>
      </c>
      <c r="F508" t="str">
        <f>IFERROR(IF(ISNUMBER('Revenues &amp; Outlays in GDP'!B514), 'Revenues &amp; Outlays in GDP'!J514, ""), "")</f>
        <v/>
      </c>
    </row>
    <row r="509" spans="1:6">
      <c r="A509" t="str">
        <f>TEXT(IF('Revenues &amp; Outlays in GDP'!B515&lt;&gt;0,'Revenues &amp; Outlays in GDP'!B515, ""), "mm/dd/yyyy")</f>
        <v/>
      </c>
      <c r="B509" t="str">
        <f>IFERROR(IF(ISNUMBER('Revenues &amp; Outlays in GDP'!G515),TEXT('Revenues &amp; Outlays in GDP'!G515, "0.00"),""), "")</f>
        <v/>
      </c>
      <c r="C509" t="str">
        <f>IFERROR(IF(ISNUMBER('Revenues &amp; Outlays in GDP'!C515),TEXT('Revenues &amp; Outlays in GDP'!C515, "0.00"),""), "")</f>
        <v/>
      </c>
      <c r="D509" t="str">
        <f>IFERROR(IF(ISNUMBER('Revenues &amp; Outlays in GDP'!H515),TEXT('Revenues &amp; Outlays in GDP'!H515, "0.00"),""), "")</f>
        <v/>
      </c>
      <c r="E509" t="str">
        <f>IFERROR(IF(ISNUMBER('Revenues &amp; Outlays in GDP'!D515),TEXT('Revenues &amp; Outlays in GDP'!D515, "0.00"),""), "")</f>
        <v/>
      </c>
      <c r="F509" t="str">
        <f>IFERROR(IF(ISNUMBER('Revenues &amp; Outlays in GDP'!B515), 'Revenues &amp; Outlays in GDP'!J515, ""), "")</f>
        <v/>
      </c>
    </row>
    <row r="510" spans="1:6">
      <c r="A510" t="str">
        <f>TEXT(IF('Revenues &amp; Outlays in GDP'!B516&lt;&gt;0,'Revenues &amp; Outlays in GDP'!B516, ""), "mm/dd/yyyy")</f>
        <v/>
      </c>
      <c r="B510" t="str">
        <f>IFERROR(IF(ISNUMBER('Revenues &amp; Outlays in GDP'!G516),TEXT('Revenues &amp; Outlays in GDP'!G516, "0.00"),""), "")</f>
        <v/>
      </c>
      <c r="C510" t="str">
        <f>IFERROR(IF(ISNUMBER('Revenues &amp; Outlays in GDP'!C516),TEXT('Revenues &amp; Outlays in GDP'!C516, "0.00"),""), "")</f>
        <v/>
      </c>
      <c r="D510" t="str">
        <f>IFERROR(IF(ISNUMBER('Revenues &amp; Outlays in GDP'!H516),TEXT('Revenues &amp; Outlays in GDP'!H516, "0.00"),""), "")</f>
        <v/>
      </c>
      <c r="E510" t="str">
        <f>IFERROR(IF(ISNUMBER('Revenues &amp; Outlays in GDP'!D516),TEXT('Revenues &amp; Outlays in GDP'!D516, "0.00"),""), "")</f>
        <v/>
      </c>
      <c r="F510" t="str">
        <f>IFERROR(IF(ISNUMBER('Revenues &amp; Outlays in GDP'!B516), 'Revenues &amp; Outlays in GDP'!J516, ""), "")</f>
        <v/>
      </c>
    </row>
    <row r="511" spans="1:6">
      <c r="A511" t="str">
        <f>TEXT(IF('Revenues &amp; Outlays in GDP'!B517&lt;&gt;0,'Revenues &amp; Outlays in GDP'!B517, ""), "mm/dd/yyyy")</f>
        <v/>
      </c>
      <c r="B511" t="str">
        <f>IFERROR(IF(ISNUMBER('Revenues &amp; Outlays in GDP'!G517),TEXT('Revenues &amp; Outlays in GDP'!G517, "0.00"),""), "")</f>
        <v/>
      </c>
      <c r="C511" t="str">
        <f>IFERROR(IF(ISNUMBER('Revenues &amp; Outlays in GDP'!C517),TEXT('Revenues &amp; Outlays in GDP'!C517, "0.00"),""), "")</f>
        <v/>
      </c>
      <c r="D511" t="str">
        <f>IFERROR(IF(ISNUMBER('Revenues &amp; Outlays in GDP'!H517),TEXT('Revenues &amp; Outlays in GDP'!H517, "0.00"),""), "")</f>
        <v/>
      </c>
      <c r="E511" t="str">
        <f>IFERROR(IF(ISNUMBER('Revenues &amp; Outlays in GDP'!D517),TEXT('Revenues &amp; Outlays in GDP'!D517, "0.00"),""), "")</f>
        <v/>
      </c>
      <c r="F511" t="str">
        <f>IFERROR(IF(ISNUMBER('Revenues &amp; Outlays in GDP'!B517), 'Revenues &amp; Outlays in GDP'!J517, ""), "")</f>
        <v/>
      </c>
    </row>
    <row r="512" spans="1:6">
      <c r="A512" t="str">
        <f>TEXT(IF('Revenues &amp; Outlays in GDP'!B518&lt;&gt;0,'Revenues &amp; Outlays in GDP'!B518, ""), "mm/dd/yyyy")</f>
        <v/>
      </c>
      <c r="B512" t="str">
        <f>IFERROR(IF(ISNUMBER('Revenues &amp; Outlays in GDP'!G518),TEXT('Revenues &amp; Outlays in GDP'!G518, "0.00"),""), "")</f>
        <v/>
      </c>
      <c r="C512" t="str">
        <f>IFERROR(IF(ISNUMBER('Revenues &amp; Outlays in GDP'!C518),TEXT('Revenues &amp; Outlays in GDP'!C518, "0.00"),""), "")</f>
        <v/>
      </c>
      <c r="D512" t="str">
        <f>IFERROR(IF(ISNUMBER('Revenues &amp; Outlays in GDP'!H518),TEXT('Revenues &amp; Outlays in GDP'!H518, "0.00"),""), "")</f>
        <v/>
      </c>
      <c r="E512" t="str">
        <f>IFERROR(IF(ISNUMBER('Revenues &amp; Outlays in GDP'!D518),TEXT('Revenues &amp; Outlays in GDP'!D518, "0.00"),""), "")</f>
        <v/>
      </c>
      <c r="F512" t="str">
        <f>IFERROR(IF(ISNUMBER('Revenues &amp; Outlays in GDP'!B518), 'Revenues &amp; Outlays in GDP'!J518, ""), "")</f>
        <v/>
      </c>
    </row>
    <row r="513" spans="1:6">
      <c r="A513" t="str">
        <f>TEXT(IF('Revenues &amp; Outlays in GDP'!B519&lt;&gt;0,'Revenues &amp; Outlays in GDP'!B519, ""), "mm/dd/yyyy")</f>
        <v/>
      </c>
      <c r="B513" t="str">
        <f>IFERROR(IF(ISNUMBER('Revenues &amp; Outlays in GDP'!G519),TEXT('Revenues &amp; Outlays in GDP'!G519, "0.00"),""), "")</f>
        <v/>
      </c>
      <c r="C513" t="str">
        <f>IFERROR(IF(ISNUMBER('Revenues &amp; Outlays in GDP'!C519),TEXT('Revenues &amp; Outlays in GDP'!C519, "0.00"),""), "")</f>
        <v/>
      </c>
      <c r="D513" t="str">
        <f>IFERROR(IF(ISNUMBER('Revenues &amp; Outlays in GDP'!H519),TEXT('Revenues &amp; Outlays in GDP'!H519, "0.00"),""), "")</f>
        <v/>
      </c>
      <c r="E513" t="str">
        <f>IFERROR(IF(ISNUMBER('Revenues &amp; Outlays in GDP'!D519),TEXT('Revenues &amp; Outlays in GDP'!D519, "0.00"),""), "")</f>
        <v/>
      </c>
      <c r="F513" t="str">
        <f>IFERROR(IF(ISNUMBER('Revenues &amp; Outlays in GDP'!B519), 'Revenues &amp; Outlays in GDP'!J519, ""), "")</f>
        <v/>
      </c>
    </row>
    <row r="514" spans="1:6">
      <c r="A514" t="str">
        <f>TEXT(IF('Revenues &amp; Outlays in GDP'!B520&lt;&gt;0,'Revenues &amp; Outlays in GDP'!B520, ""), "mm/dd/yyyy")</f>
        <v/>
      </c>
      <c r="B514" t="str">
        <f>IFERROR(IF(ISNUMBER('Revenues &amp; Outlays in GDP'!G520),TEXT('Revenues &amp; Outlays in GDP'!G520, "0.00"),""), "")</f>
        <v/>
      </c>
      <c r="C514" t="str">
        <f>IFERROR(IF(ISNUMBER('Revenues &amp; Outlays in GDP'!C520),TEXT('Revenues &amp; Outlays in GDP'!C520, "0.00"),""), "")</f>
        <v/>
      </c>
      <c r="D514" t="str">
        <f>IFERROR(IF(ISNUMBER('Revenues &amp; Outlays in GDP'!H520),TEXT('Revenues &amp; Outlays in GDP'!H520, "0.00"),""), "")</f>
        <v/>
      </c>
      <c r="E514" t="str">
        <f>IFERROR(IF(ISNUMBER('Revenues &amp; Outlays in GDP'!D520),TEXT('Revenues &amp; Outlays in GDP'!D520, "0.00"),""), "")</f>
        <v/>
      </c>
      <c r="F514" t="str">
        <f>IFERROR(IF(ISNUMBER('Revenues &amp; Outlays in GDP'!B520), 'Revenues &amp; Outlays in GDP'!J520, ""), "")</f>
        <v/>
      </c>
    </row>
    <row r="515" spans="1:6">
      <c r="A515" t="str">
        <f>TEXT(IF('Revenues &amp; Outlays in GDP'!B521&lt;&gt;0,'Revenues &amp; Outlays in GDP'!B521, ""), "mm/dd/yyyy")</f>
        <v/>
      </c>
      <c r="B515" t="str">
        <f>IFERROR(IF(ISNUMBER('Revenues &amp; Outlays in GDP'!G521),TEXT('Revenues &amp; Outlays in GDP'!G521, "0.00"),""), "")</f>
        <v/>
      </c>
      <c r="C515" t="str">
        <f>IFERROR(IF(ISNUMBER('Revenues &amp; Outlays in GDP'!C521),TEXT('Revenues &amp; Outlays in GDP'!C521, "0.00"),""), "")</f>
        <v/>
      </c>
      <c r="D515" t="str">
        <f>IFERROR(IF(ISNUMBER('Revenues &amp; Outlays in GDP'!H521),TEXT('Revenues &amp; Outlays in GDP'!H521, "0.00"),""), "")</f>
        <v/>
      </c>
      <c r="E515" t="str">
        <f>IFERROR(IF(ISNUMBER('Revenues &amp; Outlays in GDP'!D521),TEXT('Revenues &amp; Outlays in GDP'!D521, "0.00"),""), "")</f>
        <v/>
      </c>
      <c r="F515" t="str">
        <f>IFERROR(IF(ISNUMBER('Revenues &amp; Outlays in GDP'!B521), 'Revenues &amp; Outlays in GDP'!J521, ""), "")</f>
        <v/>
      </c>
    </row>
    <row r="516" spans="1:6">
      <c r="A516" t="str">
        <f>TEXT(IF('Revenues &amp; Outlays in GDP'!B522&lt;&gt;0,'Revenues &amp; Outlays in GDP'!B522, ""), "mm/dd/yyyy")</f>
        <v/>
      </c>
      <c r="B516" t="str">
        <f>IFERROR(IF(ISNUMBER('Revenues &amp; Outlays in GDP'!G522),TEXT('Revenues &amp; Outlays in GDP'!G522, "0.00"),""), "")</f>
        <v/>
      </c>
      <c r="C516" t="str">
        <f>IFERROR(IF(ISNUMBER('Revenues &amp; Outlays in GDP'!C522),TEXT('Revenues &amp; Outlays in GDP'!C522, "0.00"),""), "")</f>
        <v/>
      </c>
      <c r="D516" t="str">
        <f>IFERROR(IF(ISNUMBER('Revenues &amp; Outlays in GDP'!H522),TEXT('Revenues &amp; Outlays in GDP'!H522, "0.00"),""), "")</f>
        <v/>
      </c>
      <c r="E516" t="str">
        <f>IFERROR(IF(ISNUMBER('Revenues &amp; Outlays in GDP'!D522),TEXT('Revenues &amp; Outlays in GDP'!D522, "0.00"),""), "")</f>
        <v/>
      </c>
      <c r="F516" t="str">
        <f>IFERROR(IF(ISNUMBER('Revenues &amp; Outlays in GDP'!B522), 'Revenues &amp; Outlays in GDP'!J522, ""), "")</f>
        <v/>
      </c>
    </row>
    <row r="517" spans="1:6">
      <c r="A517" t="str">
        <f>TEXT(IF('Revenues &amp; Outlays in GDP'!B523&lt;&gt;0,'Revenues &amp; Outlays in GDP'!B523, ""), "mm/dd/yyyy")</f>
        <v/>
      </c>
      <c r="B517" t="str">
        <f>IFERROR(IF(ISNUMBER('Revenues &amp; Outlays in GDP'!G523),TEXT('Revenues &amp; Outlays in GDP'!G523, "0.00"),""), "")</f>
        <v/>
      </c>
      <c r="C517" t="str">
        <f>IFERROR(IF(ISNUMBER('Revenues &amp; Outlays in GDP'!C523),TEXT('Revenues &amp; Outlays in GDP'!C523, "0.00"),""), "")</f>
        <v/>
      </c>
      <c r="D517" t="str">
        <f>IFERROR(IF(ISNUMBER('Revenues &amp; Outlays in GDP'!H523),TEXT('Revenues &amp; Outlays in GDP'!H523, "0.00"),""), "")</f>
        <v/>
      </c>
      <c r="E517" t="str">
        <f>IFERROR(IF(ISNUMBER('Revenues &amp; Outlays in GDP'!D523),TEXT('Revenues &amp; Outlays in GDP'!D523, "0.00"),""), "")</f>
        <v/>
      </c>
      <c r="F517" t="str">
        <f>IFERROR(IF(ISNUMBER('Revenues &amp; Outlays in GDP'!B523), 'Revenues &amp; Outlays in GDP'!J523, ""), "")</f>
        <v/>
      </c>
    </row>
    <row r="518" spans="1:6">
      <c r="A518" t="str">
        <f>TEXT(IF('Revenues &amp; Outlays in GDP'!B524&lt;&gt;0,'Revenues &amp; Outlays in GDP'!B524, ""), "mm/dd/yyyy")</f>
        <v/>
      </c>
      <c r="B518" t="str">
        <f>IFERROR(IF(ISNUMBER('Revenues &amp; Outlays in GDP'!G524),TEXT('Revenues &amp; Outlays in GDP'!G524, "0.00"),""), "")</f>
        <v/>
      </c>
      <c r="C518" t="str">
        <f>IFERROR(IF(ISNUMBER('Revenues &amp; Outlays in GDP'!C524),TEXT('Revenues &amp; Outlays in GDP'!C524, "0.00"),""), "")</f>
        <v/>
      </c>
      <c r="D518" t="str">
        <f>IFERROR(IF(ISNUMBER('Revenues &amp; Outlays in GDP'!H524),TEXT('Revenues &amp; Outlays in GDP'!H524, "0.00"),""), "")</f>
        <v/>
      </c>
      <c r="E518" t="str">
        <f>IFERROR(IF(ISNUMBER('Revenues &amp; Outlays in GDP'!D524),TEXT('Revenues &amp; Outlays in GDP'!D524, "0.00"),""), "")</f>
        <v/>
      </c>
      <c r="F518" t="str">
        <f>IFERROR(IF(ISNUMBER('Revenues &amp; Outlays in GDP'!B524), 'Revenues &amp; Outlays in GDP'!J524, ""), "")</f>
        <v/>
      </c>
    </row>
    <row r="519" spans="1:6">
      <c r="A519" t="str">
        <f>TEXT(IF('Revenues &amp; Outlays in GDP'!B525&lt;&gt;0,'Revenues &amp; Outlays in GDP'!B525, ""), "mm/dd/yyyy")</f>
        <v/>
      </c>
      <c r="B519" t="str">
        <f>IFERROR(IF(ISNUMBER('Revenues &amp; Outlays in GDP'!G525),TEXT('Revenues &amp; Outlays in GDP'!G525, "0.00"),""), "")</f>
        <v/>
      </c>
      <c r="C519" t="str">
        <f>IFERROR(IF(ISNUMBER('Revenues &amp; Outlays in GDP'!C525),TEXT('Revenues &amp; Outlays in GDP'!C525, "0.00"),""), "")</f>
        <v/>
      </c>
      <c r="D519" t="str">
        <f>IFERROR(IF(ISNUMBER('Revenues &amp; Outlays in GDP'!H525),TEXT('Revenues &amp; Outlays in GDP'!H525, "0.00"),""), "")</f>
        <v/>
      </c>
      <c r="E519" t="str">
        <f>IFERROR(IF(ISNUMBER('Revenues &amp; Outlays in GDP'!D525),TEXT('Revenues &amp; Outlays in GDP'!D525, "0.00"),""), "")</f>
        <v/>
      </c>
      <c r="F519" t="str">
        <f>IFERROR(IF(ISNUMBER('Revenues &amp; Outlays in GDP'!B525), 'Revenues &amp; Outlays in GDP'!J525, ""), "")</f>
        <v/>
      </c>
    </row>
    <row r="520" spans="1:6">
      <c r="A520" t="str">
        <f>TEXT(IF('Revenues &amp; Outlays in GDP'!B526&lt;&gt;0,'Revenues &amp; Outlays in GDP'!B526, ""), "mm/dd/yyyy")</f>
        <v/>
      </c>
      <c r="B520" t="str">
        <f>IFERROR(IF(ISNUMBER('Revenues &amp; Outlays in GDP'!G526),TEXT('Revenues &amp; Outlays in GDP'!G526, "0.00"),""), "")</f>
        <v/>
      </c>
      <c r="C520" t="str">
        <f>IFERROR(IF(ISNUMBER('Revenues &amp; Outlays in GDP'!C526),TEXT('Revenues &amp; Outlays in GDP'!C526, "0.00"),""), "")</f>
        <v/>
      </c>
      <c r="D520" t="str">
        <f>IFERROR(IF(ISNUMBER('Revenues &amp; Outlays in GDP'!H526),TEXT('Revenues &amp; Outlays in GDP'!H526, "0.00"),""), "")</f>
        <v/>
      </c>
      <c r="E520" t="str">
        <f>IFERROR(IF(ISNUMBER('Revenues &amp; Outlays in GDP'!D526),TEXT('Revenues &amp; Outlays in GDP'!D526, "0.00"),""), "")</f>
        <v/>
      </c>
      <c r="F520" t="str">
        <f>IFERROR(IF(ISNUMBER('Revenues &amp; Outlays in GDP'!B526), 'Revenues &amp; Outlays in GDP'!J526, ""), "")</f>
        <v/>
      </c>
    </row>
    <row r="521" spans="1:6">
      <c r="A521" t="str">
        <f>TEXT(IF('Revenues &amp; Outlays in GDP'!B527&lt;&gt;0,'Revenues &amp; Outlays in GDP'!B527, ""), "mm/dd/yyyy")</f>
        <v/>
      </c>
      <c r="B521" t="str">
        <f>IFERROR(IF(ISNUMBER('Revenues &amp; Outlays in GDP'!G527),TEXT('Revenues &amp; Outlays in GDP'!G527, "0.00"),""), "")</f>
        <v/>
      </c>
      <c r="C521" t="str">
        <f>IFERROR(IF(ISNUMBER('Revenues &amp; Outlays in GDP'!C527),TEXT('Revenues &amp; Outlays in GDP'!C527, "0.00"),""), "")</f>
        <v/>
      </c>
      <c r="D521" t="str">
        <f>IFERROR(IF(ISNUMBER('Revenues &amp; Outlays in GDP'!H527),TEXT('Revenues &amp; Outlays in GDP'!H527, "0.00"),""), "")</f>
        <v/>
      </c>
      <c r="E521" t="str">
        <f>IFERROR(IF(ISNUMBER('Revenues &amp; Outlays in GDP'!D527),TEXT('Revenues &amp; Outlays in GDP'!D527, "0.00"),""), "")</f>
        <v/>
      </c>
      <c r="F521" t="str">
        <f>IFERROR(IF(ISNUMBER('Revenues &amp; Outlays in GDP'!B527), 'Revenues &amp; Outlays in GDP'!J527, ""), "")</f>
        <v/>
      </c>
    </row>
    <row r="522" spans="1:6">
      <c r="A522" t="str">
        <f>TEXT(IF('Revenues &amp; Outlays in GDP'!B528&lt;&gt;0,'Revenues &amp; Outlays in GDP'!B528, ""), "mm/dd/yyyy")</f>
        <v/>
      </c>
      <c r="B522" t="str">
        <f>IFERROR(IF(ISNUMBER('Revenues &amp; Outlays in GDP'!G528),TEXT('Revenues &amp; Outlays in GDP'!G528, "0.00"),""), "")</f>
        <v/>
      </c>
      <c r="C522" t="str">
        <f>IFERROR(IF(ISNUMBER('Revenues &amp; Outlays in GDP'!C528),TEXT('Revenues &amp; Outlays in GDP'!C528, "0.00"),""), "")</f>
        <v/>
      </c>
      <c r="D522" t="str">
        <f>IFERROR(IF(ISNUMBER('Revenues &amp; Outlays in GDP'!H528),TEXT('Revenues &amp; Outlays in GDP'!H528, "0.00"),""), "")</f>
        <v/>
      </c>
      <c r="E522" t="str">
        <f>IFERROR(IF(ISNUMBER('Revenues &amp; Outlays in GDP'!D528),TEXT('Revenues &amp; Outlays in GDP'!D528, "0.00"),""), "")</f>
        <v/>
      </c>
      <c r="F522" t="str">
        <f>IFERROR(IF(ISNUMBER('Revenues &amp; Outlays in GDP'!B528), 'Revenues &amp; Outlays in GDP'!J528, ""), "")</f>
        <v/>
      </c>
    </row>
    <row r="523" spans="1:6">
      <c r="A523" t="str">
        <f>TEXT(IF('Revenues &amp; Outlays in GDP'!B529&lt;&gt;0,'Revenues &amp; Outlays in GDP'!B529, ""), "mm/dd/yyyy")</f>
        <v/>
      </c>
      <c r="B523" t="str">
        <f>IFERROR(IF(ISNUMBER('Revenues &amp; Outlays in GDP'!G529),TEXT('Revenues &amp; Outlays in GDP'!G529, "0.00"),""), "")</f>
        <v/>
      </c>
      <c r="C523" t="str">
        <f>IFERROR(IF(ISNUMBER('Revenues &amp; Outlays in GDP'!C529),TEXT('Revenues &amp; Outlays in GDP'!C529, "0.00"),""), "")</f>
        <v/>
      </c>
      <c r="D523" t="str">
        <f>IFERROR(IF(ISNUMBER('Revenues &amp; Outlays in GDP'!H529),TEXT('Revenues &amp; Outlays in GDP'!H529, "0.00"),""), "")</f>
        <v/>
      </c>
      <c r="E523" t="str">
        <f>IFERROR(IF(ISNUMBER('Revenues &amp; Outlays in GDP'!D529),TEXT('Revenues &amp; Outlays in GDP'!D529, "0.00"),""), "")</f>
        <v/>
      </c>
      <c r="F523" t="str">
        <f>IFERROR(IF(ISNUMBER('Revenues &amp; Outlays in GDP'!B529), 'Revenues &amp; Outlays in GDP'!J529, ""), "")</f>
        <v/>
      </c>
    </row>
    <row r="524" spans="1:6">
      <c r="A524" t="str">
        <f>TEXT(IF('Revenues &amp; Outlays in GDP'!B530&lt;&gt;0,'Revenues &amp; Outlays in GDP'!B530, ""), "mm/dd/yyyy")</f>
        <v/>
      </c>
      <c r="B524" t="str">
        <f>IFERROR(IF(ISNUMBER('Revenues &amp; Outlays in GDP'!G530),TEXT('Revenues &amp; Outlays in GDP'!G530, "0.00"),""), "")</f>
        <v/>
      </c>
      <c r="C524" t="str">
        <f>IFERROR(IF(ISNUMBER('Revenues &amp; Outlays in GDP'!C530),TEXT('Revenues &amp; Outlays in GDP'!C530, "0.00"),""), "")</f>
        <v/>
      </c>
      <c r="D524" t="str">
        <f>IFERROR(IF(ISNUMBER('Revenues &amp; Outlays in GDP'!H530),TEXT('Revenues &amp; Outlays in GDP'!H530, "0.00"),""), "")</f>
        <v/>
      </c>
      <c r="E524" t="str">
        <f>IFERROR(IF(ISNUMBER('Revenues &amp; Outlays in GDP'!D530),TEXT('Revenues &amp; Outlays in GDP'!D530, "0.00"),""), "")</f>
        <v/>
      </c>
      <c r="F524" t="str">
        <f>IFERROR(IF(ISNUMBER('Revenues &amp; Outlays in GDP'!B530), 'Revenues &amp; Outlays in GDP'!J530, ""), "")</f>
        <v/>
      </c>
    </row>
    <row r="525" spans="1:6">
      <c r="A525" t="str">
        <f>TEXT(IF('Revenues &amp; Outlays in GDP'!B531&lt;&gt;0,'Revenues &amp; Outlays in GDP'!B531, ""), "mm/dd/yyyy")</f>
        <v/>
      </c>
      <c r="B525" t="str">
        <f>IFERROR(IF(ISNUMBER('Revenues &amp; Outlays in GDP'!G531),TEXT('Revenues &amp; Outlays in GDP'!G531, "0.00"),""), "")</f>
        <v/>
      </c>
      <c r="C525" t="str">
        <f>IFERROR(IF(ISNUMBER('Revenues &amp; Outlays in GDP'!C531),TEXT('Revenues &amp; Outlays in GDP'!C531, "0.00"),""), "")</f>
        <v/>
      </c>
      <c r="D525" t="str">
        <f>IFERROR(IF(ISNUMBER('Revenues &amp; Outlays in GDP'!H531),TEXT('Revenues &amp; Outlays in GDP'!H531, "0.00"),""), "")</f>
        <v/>
      </c>
      <c r="E525" t="str">
        <f>IFERROR(IF(ISNUMBER('Revenues &amp; Outlays in GDP'!D531),TEXT('Revenues &amp; Outlays in GDP'!D531, "0.00"),""), "")</f>
        <v/>
      </c>
      <c r="F525" t="str">
        <f>IFERROR(IF(ISNUMBER('Revenues &amp; Outlays in GDP'!B531), 'Revenues &amp; Outlays in GDP'!J531, ""), "")</f>
        <v/>
      </c>
    </row>
    <row r="526" spans="1:6">
      <c r="A526" t="str">
        <f>TEXT(IF('Revenues &amp; Outlays in GDP'!B532&lt;&gt;0,'Revenues &amp; Outlays in GDP'!B532, ""), "mm/dd/yyyy")</f>
        <v/>
      </c>
      <c r="B526" t="str">
        <f>IFERROR(IF(ISNUMBER('Revenues &amp; Outlays in GDP'!G532),TEXT('Revenues &amp; Outlays in GDP'!G532, "0.00"),""), "")</f>
        <v/>
      </c>
      <c r="C526" t="str">
        <f>IFERROR(IF(ISNUMBER('Revenues &amp; Outlays in GDP'!C532),TEXT('Revenues &amp; Outlays in GDP'!C532, "0.00"),""), "")</f>
        <v/>
      </c>
      <c r="D526" t="str">
        <f>IFERROR(IF(ISNUMBER('Revenues &amp; Outlays in GDP'!H532),TEXT('Revenues &amp; Outlays in GDP'!H532, "0.00"),""), "")</f>
        <v/>
      </c>
      <c r="E526" t="str">
        <f>IFERROR(IF(ISNUMBER('Revenues &amp; Outlays in GDP'!D532),TEXT('Revenues &amp; Outlays in GDP'!D532, "0.00"),""), "")</f>
        <v/>
      </c>
      <c r="F526" t="str">
        <f>IFERROR(IF(ISNUMBER('Revenues &amp; Outlays in GDP'!B532), 'Revenues &amp; Outlays in GDP'!J532, ""), "")</f>
        <v/>
      </c>
    </row>
    <row r="527" spans="1:6">
      <c r="A527" t="str">
        <f>TEXT(IF('Revenues &amp; Outlays in GDP'!B533&lt;&gt;0,'Revenues &amp; Outlays in GDP'!B533, ""), "mm/dd/yyyy")</f>
        <v/>
      </c>
      <c r="B527" t="str">
        <f>IFERROR(IF(ISNUMBER('Revenues &amp; Outlays in GDP'!G533),TEXT('Revenues &amp; Outlays in GDP'!G533, "0.00"),""), "")</f>
        <v/>
      </c>
      <c r="C527" t="str">
        <f>IFERROR(IF(ISNUMBER('Revenues &amp; Outlays in GDP'!C533),TEXT('Revenues &amp; Outlays in GDP'!C533, "0.00"),""), "")</f>
        <v/>
      </c>
      <c r="D527" t="str">
        <f>IFERROR(IF(ISNUMBER('Revenues &amp; Outlays in GDP'!H533),TEXT('Revenues &amp; Outlays in GDP'!H533, "0.00"),""), "")</f>
        <v/>
      </c>
      <c r="E527" t="str">
        <f>IFERROR(IF(ISNUMBER('Revenues &amp; Outlays in GDP'!D533),TEXT('Revenues &amp; Outlays in GDP'!D533, "0.00"),""), "")</f>
        <v/>
      </c>
      <c r="F527" t="str">
        <f>IFERROR(IF(ISNUMBER('Revenues &amp; Outlays in GDP'!B533), 'Revenues &amp; Outlays in GDP'!J533, ""), "")</f>
        <v/>
      </c>
    </row>
    <row r="528" spans="1:6">
      <c r="A528" t="str">
        <f>TEXT(IF('Revenues &amp; Outlays in GDP'!B534&lt;&gt;0,'Revenues &amp; Outlays in GDP'!B534, ""), "mm/dd/yyyy")</f>
        <v/>
      </c>
      <c r="B528" t="str">
        <f>IFERROR(IF(ISNUMBER('Revenues &amp; Outlays in GDP'!G534),TEXT('Revenues &amp; Outlays in GDP'!G534, "0.00"),""), "")</f>
        <v/>
      </c>
      <c r="C528" t="str">
        <f>IFERROR(IF(ISNUMBER('Revenues &amp; Outlays in GDP'!C534),TEXT('Revenues &amp; Outlays in GDP'!C534, "0.00"),""), "")</f>
        <v/>
      </c>
      <c r="D528" t="str">
        <f>IFERROR(IF(ISNUMBER('Revenues &amp; Outlays in GDP'!H534),TEXT('Revenues &amp; Outlays in GDP'!H534, "0.00"),""), "")</f>
        <v/>
      </c>
      <c r="E528" t="str">
        <f>IFERROR(IF(ISNUMBER('Revenues &amp; Outlays in GDP'!D534),TEXT('Revenues &amp; Outlays in GDP'!D534, "0.00"),""), "")</f>
        <v/>
      </c>
      <c r="F528" t="str">
        <f>IFERROR(IF(ISNUMBER('Revenues &amp; Outlays in GDP'!B534), 'Revenues &amp; Outlays in GDP'!J534, ""), "")</f>
        <v/>
      </c>
    </row>
    <row r="529" spans="1:6">
      <c r="A529" t="str">
        <f>TEXT(IF('Revenues &amp; Outlays in GDP'!B535&lt;&gt;0,'Revenues &amp; Outlays in GDP'!B535, ""), "mm/dd/yyyy")</f>
        <v/>
      </c>
      <c r="B529" t="str">
        <f>IFERROR(IF(ISNUMBER('Revenues &amp; Outlays in GDP'!G535),TEXT('Revenues &amp; Outlays in GDP'!G535, "0.00"),""), "")</f>
        <v/>
      </c>
      <c r="C529" t="str">
        <f>IFERROR(IF(ISNUMBER('Revenues &amp; Outlays in GDP'!C535),TEXT('Revenues &amp; Outlays in GDP'!C535, "0.00"),""), "")</f>
        <v/>
      </c>
      <c r="D529" t="str">
        <f>IFERROR(IF(ISNUMBER('Revenues &amp; Outlays in GDP'!H535),TEXT('Revenues &amp; Outlays in GDP'!H535, "0.00"),""), "")</f>
        <v/>
      </c>
      <c r="E529" t="str">
        <f>IFERROR(IF(ISNUMBER('Revenues &amp; Outlays in GDP'!D535),TEXT('Revenues &amp; Outlays in GDP'!D535, "0.00"),""), "")</f>
        <v/>
      </c>
      <c r="F529" t="str">
        <f>IFERROR(IF(ISNUMBER('Revenues &amp; Outlays in GDP'!B535), 'Revenues &amp; Outlays in GDP'!J535, ""), "")</f>
        <v/>
      </c>
    </row>
    <row r="530" spans="1:6">
      <c r="A530" t="str">
        <f>TEXT(IF('Revenues &amp; Outlays in GDP'!B536&lt;&gt;0,'Revenues &amp; Outlays in GDP'!B536, ""), "mm/dd/yyyy")</f>
        <v/>
      </c>
      <c r="B530" t="str">
        <f>IFERROR(IF(ISNUMBER('Revenues &amp; Outlays in GDP'!G536),TEXT('Revenues &amp; Outlays in GDP'!G536, "0.00"),""), "")</f>
        <v/>
      </c>
      <c r="C530" t="str">
        <f>IFERROR(IF(ISNUMBER('Revenues &amp; Outlays in GDP'!C536),TEXT('Revenues &amp; Outlays in GDP'!C536, "0.00"),""), "")</f>
        <v/>
      </c>
      <c r="D530" t="str">
        <f>IFERROR(IF(ISNUMBER('Revenues &amp; Outlays in GDP'!H536),TEXT('Revenues &amp; Outlays in GDP'!H536, "0.00"),""), "")</f>
        <v/>
      </c>
      <c r="E530" t="str">
        <f>IFERROR(IF(ISNUMBER('Revenues &amp; Outlays in GDP'!D536),TEXT('Revenues &amp; Outlays in GDP'!D536, "0.00"),""), "")</f>
        <v/>
      </c>
      <c r="F530" t="str">
        <f>IFERROR(IF(ISNUMBER('Revenues &amp; Outlays in GDP'!B536), 'Revenues &amp; Outlays in GDP'!J536, ""), "")</f>
        <v/>
      </c>
    </row>
    <row r="531" spans="1:6">
      <c r="A531" t="str">
        <f>TEXT(IF('Revenues &amp; Outlays in GDP'!B537&lt;&gt;0,'Revenues &amp; Outlays in GDP'!B537, ""), "mm/dd/yyyy")</f>
        <v/>
      </c>
      <c r="B531" t="str">
        <f>IFERROR(IF(ISNUMBER('Revenues &amp; Outlays in GDP'!G537),TEXT('Revenues &amp; Outlays in GDP'!G537, "0.00"),""), "")</f>
        <v/>
      </c>
      <c r="C531" t="str">
        <f>IFERROR(IF(ISNUMBER('Revenues &amp; Outlays in GDP'!C537),TEXT('Revenues &amp; Outlays in GDP'!C537, "0.00"),""), "")</f>
        <v/>
      </c>
      <c r="D531" t="str">
        <f>IFERROR(IF(ISNUMBER('Revenues &amp; Outlays in GDP'!H537),TEXT('Revenues &amp; Outlays in GDP'!H537, "0.00"),""), "")</f>
        <v/>
      </c>
      <c r="E531" t="str">
        <f>IFERROR(IF(ISNUMBER('Revenues &amp; Outlays in GDP'!D537),TEXT('Revenues &amp; Outlays in GDP'!D537, "0.00"),""), "")</f>
        <v/>
      </c>
      <c r="F531" t="str">
        <f>IFERROR(IF(ISNUMBER('Revenues &amp; Outlays in GDP'!B537), 'Revenues &amp; Outlays in GDP'!J537, ""), "")</f>
        <v/>
      </c>
    </row>
    <row r="532" spans="1:6">
      <c r="A532" t="str">
        <f>TEXT(IF('Revenues &amp; Outlays in GDP'!B538&lt;&gt;0,'Revenues &amp; Outlays in GDP'!B538, ""), "mm/dd/yyyy")</f>
        <v/>
      </c>
      <c r="B532" t="str">
        <f>IFERROR(IF(ISNUMBER('Revenues &amp; Outlays in GDP'!G538),TEXT('Revenues &amp; Outlays in GDP'!G538, "0.00"),""), "")</f>
        <v/>
      </c>
      <c r="C532" t="str">
        <f>IFERROR(IF(ISNUMBER('Revenues &amp; Outlays in GDP'!C538),TEXT('Revenues &amp; Outlays in GDP'!C538, "0.00"),""), "")</f>
        <v/>
      </c>
      <c r="D532" t="str">
        <f>IFERROR(IF(ISNUMBER('Revenues &amp; Outlays in GDP'!H538),TEXT('Revenues &amp; Outlays in GDP'!H538, "0.00"),""), "")</f>
        <v/>
      </c>
      <c r="E532" t="str">
        <f>IFERROR(IF(ISNUMBER('Revenues &amp; Outlays in GDP'!D538),TEXT('Revenues &amp; Outlays in GDP'!D538, "0.00"),""), "")</f>
        <v/>
      </c>
      <c r="F532" t="str">
        <f>IFERROR(IF(ISNUMBER('Revenues &amp; Outlays in GDP'!B538), 'Revenues &amp; Outlays in GDP'!J538, ""), "")</f>
        <v/>
      </c>
    </row>
    <row r="533" spans="1:6">
      <c r="A533" t="str">
        <f>TEXT(IF('Revenues &amp; Outlays in GDP'!B539&lt;&gt;0,'Revenues &amp; Outlays in GDP'!B539, ""), "mm/dd/yyyy")</f>
        <v/>
      </c>
      <c r="B533" t="str">
        <f>IFERROR(IF(ISNUMBER('Revenues &amp; Outlays in GDP'!G539),TEXT('Revenues &amp; Outlays in GDP'!G539, "0.00"),""), "")</f>
        <v/>
      </c>
      <c r="C533" t="str">
        <f>IFERROR(IF(ISNUMBER('Revenues &amp; Outlays in GDP'!C539),TEXT('Revenues &amp; Outlays in GDP'!C539, "0.00"),""), "")</f>
        <v/>
      </c>
      <c r="D533" t="str">
        <f>IFERROR(IF(ISNUMBER('Revenues &amp; Outlays in GDP'!H539),TEXT('Revenues &amp; Outlays in GDP'!H539, "0.00"),""), "")</f>
        <v/>
      </c>
      <c r="E533" t="str">
        <f>IFERROR(IF(ISNUMBER('Revenues &amp; Outlays in GDP'!D539),TEXT('Revenues &amp; Outlays in GDP'!D539, "0.00"),""), "")</f>
        <v/>
      </c>
      <c r="F533" t="str">
        <f>IFERROR(IF(ISNUMBER('Revenues &amp; Outlays in GDP'!B539), 'Revenues &amp; Outlays in GDP'!J539, ""), "")</f>
        <v/>
      </c>
    </row>
    <row r="534" spans="1:6">
      <c r="A534" t="str">
        <f>TEXT(IF('Revenues &amp; Outlays in GDP'!B540&lt;&gt;0,'Revenues &amp; Outlays in GDP'!B540, ""), "mm/dd/yyyy")</f>
        <v/>
      </c>
      <c r="B534" t="str">
        <f>IFERROR(IF(ISNUMBER('Revenues &amp; Outlays in GDP'!G540),TEXT('Revenues &amp; Outlays in GDP'!G540, "0.00"),""), "")</f>
        <v/>
      </c>
      <c r="C534" t="str">
        <f>IFERROR(IF(ISNUMBER('Revenues &amp; Outlays in GDP'!C540),TEXT('Revenues &amp; Outlays in GDP'!C540, "0.00"),""), "")</f>
        <v/>
      </c>
      <c r="D534" t="str">
        <f>IFERROR(IF(ISNUMBER('Revenues &amp; Outlays in GDP'!H540),TEXT('Revenues &amp; Outlays in GDP'!H540, "0.00"),""), "")</f>
        <v/>
      </c>
      <c r="E534" t="str">
        <f>IFERROR(IF(ISNUMBER('Revenues &amp; Outlays in GDP'!D540),TEXT('Revenues &amp; Outlays in GDP'!D540, "0.00"),""), "")</f>
        <v/>
      </c>
      <c r="F534" t="str">
        <f>IFERROR(IF(ISNUMBER('Revenues &amp; Outlays in GDP'!B540), 'Revenues &amp; Outlays in GDP'!J540, ""), "")</f>
        <v/>
      </c>
    </row>
    <row r="535" spans="1:6">
      <c r="A535" t="str">
        <f>TEXT(IF('Revenues &amp; Outlays in GDP'!B541&lt;&gt;0,'Revenues &amp; Outlays in GDP'!B541, ""), "mm/dd/yyyy")</f>
        <v/>
      </c>
      <c r="B535" t="str">
        <f>IFERROR(IF(ISNUMBER('Revenues &amp; Outlays in GDP'!G541),TEXT('Revenues &amp; Outlays in GDP'!G541, "0.00"),""), "")</f>
        <v/>
      </c>
      <c r="C535" t="str">
        <f>IFERROR(IF(ISNUMBER('Revenues &amp; Outlays in GDP'!C541),TEXT('Revenues &amp; Outlays in GDP'!C541, "0.00"),""), "")</f>
        <v/>
      </c>
      <c r="D535" t="str">
        <f>IFERROR(IF(ISNUMBER('Revenues &amp; Outlays in GDP'!H541),TEXT('Revenues &amp; Outlays in GDP'!H541, "0.00"),""), "")</f>
        <v/>
      </c>
      <c r="E535" t="str">
        <f>IFERROR(IF(ISNUMBER('Revenues &amp; Outlays in GDP'!D541),TEXT('Revenues &amp; Outlays in GDP'!D541, "0.00"),""), "")</f>
        <v/>
      </c>
      <c r="F535" t="str">
        <f>IFERROR(IF(ISNUMBER('Revenues &amp; Outlays in GDP'!B541), 'Revenues &amp; Outlays in GDP'!J541, ""), "")</f>
        <v/>
      </c>
    </row>
    <row r="536" spans="1:6">
      <c r="A536" t="str">
        <f>TEXT(IF('Revenues &amp; Outlays in GDP'!B542&lt;&gt;0,'Revenues &amp; Outlays in GDP'!B542, ""), "mm/dd/yyyy")</f>
        <v/>
      </c>
      <c r="B536" t="str">
        <f>IFERROR(IF(ISNUMBER('Revenues &amp; Outlays in GDP'!G542),TEXT('Revenues &amp; Outlays in GDP'!G542, "0.00"),""), "")</f>
        <v/>
      </c>
      <c r="C536" t="str">
        <f>IFERROR(IF(ISNUMBER('Revenues &amp; Outlays in GDP'!C542),TEXT('Revenues &amp; Outlays in GDP'!C542, "0.00"),""), "")</f>
        <v/>
      </c>
      <c r="D536" t="str">
        <f>IFERROR(IF(ISNUMBER('Revenues &amp; Outlays in GDP'!H542),TEXT('Revenues &amp; Outlays in GDP'!H542, "0.00"),""), "")</f>
        <v/>
      </c>
      <c r="E536" t="str">
        <f>IFERROR(IF(ISNUMBER('Revenues &amp; Outlays in GDP'!D542),TEXT('Revenues &amp; Outlays in GDP'!D542, "0.00"),""), "")</f>
        <v/>
      </c>
      <c r="F536" t="str">
        <f>IFERROR(IF(ISNUMBER('Revenues &amp; Outlays in GDP'!B542), 'Revenues &amp; Outlays in GDP'!J542, ""), "")</f>
        <v/>
      </c>
    </row>
    <row r="537" spans="1:6">
      <c r="A537" t="str">
        <f>TEXT(IF('Revenues &amp; Outlays in GDP'!B543&lt;&gt;0,'Revenues &amp; Outlays in GDP'!B543, ""), "mm/dd/yyyy")</f>
        <v/>
      </c>
      <c r="B537" t="str">
        <f>IFERROR(IF(ISNUMBER('Revenues &amp; Outlays in GDP'!G543),TEXT('Revenues &amp; Outlays in GDP'!G543, "0.00"),""), "")</f>
        <v/>
      </c>
      <c r="C537" t="str">
        <f>IFERROR(IF(ISNUMBER('Revenues &amp; Outlays in GDP'!C543),TEXT('Revenues &amp; Outlays in GDP'!C543, "0.00"),""), "")</f>
        <v/>
      </c>
      <c r="D537" t="str">
        <f>IFERROR(IF(ISNUMBER('Revenues &amp; Outlays in GDP'!H543),TEXT('Revenues &amp; Outlays in GDP'!H543, "0.00"),""), "")</f>
        <v/>
      </c>
      <c r="E537" t="str">
        <f>IFERROR(IF(ISNUMBER('Revenues &amp; Outlays in GDP'!D543),TEXT('Revenues &amp; Outlays in GDP'!D543, "0.00"),""), "")</f>
        <v/>
      </c>
      <c r="F537" t="str">
        <f>IFERROR(IF(ISNUMBER('Revenues &amp; Outlays in GDP'!B543), 'Revenues &amp; Outlays in GDP'!J543, ""), "")</f>
        <v/>
      </c>
    </row>
    <row r="538" spans="1:6">
      <c r="A538" t="str">
        <f>TEXT(IF('Revenues &amp; Outlays in GDP'!B544&lt;&gt;0,'Revenues &amp; Outlays in GDP'!B544, ""), "mm/dd/yyyy")</f>
        <v/>
      </c>
      <c r="B538" t="str">
        <f>IFERROR(IF(ISNUMBER('Revenues &amp; Outlays in GDP'!G544),TEXT('Revenues &amp; Outlays in GDP'!G544, "0.00"),""), "")</f>
        <v/>
      </c>
      <c r="C538" t="str">
        <f>IFERROR(IF(ISNUMBER('Revenues &amp; Outlays in GDP'!C544),TEXT('Revenues &amp; Outlays in GDP'!C544, "0.00"),""), "")</f>
        <v/>
      </c>
      <c r="D538" t="str">
        <f>IFERROR(IF(ISNUMBER('Revenues &amp; Outlays in GDP'!H544),TEXT('Revenues &amp; Outlays in GDP'!H544, "0.00"),""), "")</f>
        <v/>
      </c>
      <c r="E538" t="str">
        <f>IFERROR(IF(ISNUMBER('Revenues &amp; Outlays in GDP'!D544),TEXT('Revenues &amp; Outlays in GDP'!D544, "0.00"),""), "")</f>
        <v/>
      </c>
      <c r="F538" t="str">
        <f>IFERROR(IF(ISNUMBER('Revenues &amp; Outlays in GDP'!B544), 'Revenues &amp; Outlays in GDP'!J544, ""), "")</f>
        <v/>
      </c>
    </row>
    <row r="539" spans="1:6">
      <c r="A539" t="str">
        <f>TEXT(IF('Revenues &amp; Outlays in GDP'!B545&lt;&gt;0,'Revenues &amp; Outlays in GDP'!B545, ""), "mm/dd/yyyy")</f>
        <v/>
      </c>
      <c r="B539" t="str">
        <f>IFERROR(IF(ISNUMBER('Revenues &amp; Outlays in GDP'!G545),TEXT('Revenues &amp; Outlays in GDP'!G545, "0.00"),""), "")</f>
        <v/>
      </c>
      <c r="C539" t="str">
        <f>IFERROR(IF(ISNUMBER('Revenues &amp; Outlays in GDP'!C545),TEXT('Revenues &amp; Outlays in GDP'!C545, "0.00"),""), "")</f>
        <v/>
      </c>
      <c r="D539" t="str">
        <f>IFERROR(IF(ISNUMBER('Revenues &amp; Outlays in GDP'!H545),TEXT('Revenues &amp; Outlays in GDP'!H545, "0.00"),""), "")</f>
        <v/>
      </c>
      <c r="E539" t="str">
        <f>IFERROR(IF(ISNUMBER('Revenues &amp; Outlays in GDP'!D545),TEXT('Revenues &amp; Outlays in GDP'!D545, "0.00"),""), "")</f>
        <v/>
      </c>
      <c r="F539" t="str">
        <f>IFERROR(IF(ISNUMBER('Revenues &amp; Outlays in GDP'!B545), 'Revenues &amp; Outlays in GDP'!J545, ""), "")</f>
        <v/>
      </c>
    </row>
    <row r="540" spans="1:6">
      <c r="A540" t="str">
        <f>TEXT(IF('Revenues &amp; Outlays in GDP'!B546&lt;&gt;0,'Revenues &amp; Outlays in GDP'!B546, ""), "mm/dd/yyyy")</f>
        <v/>
      </c>
      <c r="B540" t="str">
        <f>IFERROR(IF(ISNUMBER('Revenues &amp; Outlays in GDP'!G546),TEXT('Revenues &amp; Outlays in GDP'!G546, "0.00"),""), "")</f>
        <v/>
      </c>
      <c r="C540" t="str">
        <f>IFERROR(IF(ISNUMBER('Revenues &amp; Outlays in GDP'!C546),TEXT('Revenues &amp; Outlays in GDP'!C546, "0.00"),""), "")</f>
        <v/>
      </c>
      <c r="D540" t="str">
        <f>IFERROR(IF(ISNUMBER('Revenues &amp; Outlays in GDP'!H546),TEXT('Revenues &amp; Outlays in GDP'!H546, "0.00"),""), "")</f>
        <v/>
      </c>
      <c r="E540" t="str">
        <f>IFERROR(IF(ISNUMBER('Revenues &amp; Outlays in GDP'!D546),TEXT('Revenues &amp; Outlays in GDP'!D546, "0.00"),""), "")</f>
        <v/>
      </c>
      <c r="F540" t="str">
        <f>IFERROR(IF(ISNUMBER('Revenues &amp; Outlays in GDP'!B546), 'Revenues &amp; Outlays in GDP'!J546, ""), "")</f>
        <v/>
      </c>
    </row>
    <row r="541" spans="1:6">
      <c r="A541" t="str">
        <f>TEXT(IF('Revenues &amp; Outlays in GDP'!B547&lt;&gt;0,'Revenues &amp; Outlays in GDP'!B547, ""), "mm/dd/yyyy")</f>
        <v/>
      </c>
      <c r="B541" t="str">
        <f>IFERROR(IF(ISNUMBER('Revenues &amp; Outlays in GDP'!G547),TEXT('Revenues &amp; Outlays in GDP'!G547, "0.00"),""), "")</f>
        <v/>
      </c>
      <c r="C541" t="str">
        <f>IFERROR(IF(ISNUMBER('Revenues &amp; Outlays in GDP'!C547),TEXT('Revenues &amp; Outlays in GDP'!C547, "0.00"),""), "")</f>
        <v/>
      </c>
      <c r="D541" t="str">
        <f>IFERROR(IF(ISNUMBER('Revenues &amp; Outlays in GDP'!H547),TEXT('Revenues &amp; Outlays in GDP'!H547, "0.00"),""), "")</f>
        <v/>
      </c>
      <c r="E541" t="str">
        <f>IFERROR(IF(ISNUMBER('Revenues &amp; Outlays in GDP'!D547),TEXT('Revenues &amp; Outlays in GDP'!D547, "0.00"),""), "")</f>
        <v/>
      </c>
      <c r="F541" t="str">
        <f>IFERROR(IF(ISNUMBER('Revenues &amp; Outlays in GDP'!B547), 'Revenues &amp; Outlays in GDP'!J547, ""), "")</f>
        <v/>
      </c>
    </row>
    <row r="542" spans="1:6">
      <c r="A542" t="str">
        <f>TEXT(IF('Revenues &amp; Outlays in GDP'!B548&lt;&gt;0,'Revenues &amp; Outlays in GDP'!B548, ""), "mm/dd/yyyy")</f>
        <v/>
      </c>
      <c r="B542" t="str">
        <f>IFERROR(IF(ISNUMBER('Revenues &amp; Outlays in GDP'!G548),TEXT('Revenues &amp; Outlays in GDP'!G548, "0.00"),""), "")</f>
        <v/>
      </c>
      <c r="C542" t="str">
        <f>IFERROR(IF(ISNUMBER('Revenues &amp; Outlays in GDP'!C548),TEXT('Revenues &amp; Outlays in GDP'!C548, "0.00"),""), "")</f>
        <v/>
      </c>
      <c r="D542" t="str">
        <f>IFERROR(IF(ISNUMBER('Revenues &amp; Outlays in GDP'!H548),TEXT('Revenues &amp; Outlays in GDP'!H548, "0.00"),""), "")</f>
        <v/>
      </c>
      <c r="E542" t="str">
        <f>IFERROR(IF(ISNUMBER('Revenues &amp; Outlays in GDP'!D548),TEXT('Revenues &amp; Outlays in GDP'!D548, "0.00"),""), "")</f>
        <v/>
      </c>
      <c r="F542" t="str">
        <f>IFERROR(IF(ISNUMBER('Revenues &amp; Outlays in GDP'!B548), 'Revenues &amp; Outlays in GDP'!J548, ""), "")</f>
        <v/>
      </c>
    </row>
    <row r="543" spans="1:6">
      <c r="A543" t="str">
        <f>TEXT(IF('Revenues &amp; Outlays in GDP'!B549&lt;&gt;0,'Revenues &amp; Outlays in GDP'!B549, ""), "mm/dd/yyyy")</f>
        <v/>
      </c>
      <c r="B543" t="str">
        <f>IFERROR(IF(ISNUMBER('Revenues &amp; Outlays in GDP'!G549),TEXT('Revenues &amp; Outlays in GDP'!G549, "0.00"),""), "")</f>
        <v/>
      </c>
      <c r="C543" t="str">
        <f>IFERROR(IF(ISNUMBER('Revenues &amp; Outlays in GDP'!C549),TEXT('Revenues &amp; Outlays in GDP'!C549, "0.00"),""), "")</f>
        <v/>
      </c>
      <c r="D543" t="str">
        <f>IFERROR(IF(ISNUMBER('Revenues &amp; Outlays in GDP'!H549),TEXT('Revenues &amp; Outlays in GDP'!H549, "0.00"),""), "")</f>
        <v/>
      </c>
      <c r="E543" t="str">
        <f>IFERROR(IF(ISNUMBER('Revenues &amp; Outlays in GDP'!D549),TEXT('Revenues &amp; Outlays in GDP'!D549, "0.00"),""), "")</f>
        <v/>
      </c>
      <c r="F543" t="str">
        <f>IFERROR(IF(ISNUMBER('Revenues &amp; Outlays in GDP'!B549), 'Revenues &amp; Outlays in GDP'!J549, ""), "")</f>
        <v/>
      </c>
    </row>
    <row r="544" spans="1:6">
      <c r="A544" t="str">
        <f>TEXT(IF('Revenues &amp; Outlays in GDP'!B550&lt;&gt;0,'Revenues &amp; Outlays in GDP'!B550, ""), "mm/dd/yyyy")</f>
        <v/>
      </c>
      <c r="B544" t="str">
        <f>IFERROR(IF(ISNUMBER('Revenues &amp; Outlays in GDP'!G550),TEXT('Revenues &amp; Outlays in GDP'!G550, "0.00"),""), "")</f>
        <v/>
      </c>
      <c r="C544" t="str">
        <f>IFERROR(IF(ISNUMBER('Revenues &amp; Outlays in GDP'!C550),TEXT('Revenues &amp; Outlays in GDP'!C550, "0.00"),""), "")</f>
        <v/>
      </c>
      <c r="D544" t="str">
        <f>IFERROR(IF(ISNUMBER('Revenues &amp; Outlays in GDP'!H550),TEXT('Revenues &amp; Outlays in GDP'!H550, "0.00"),""), "")</f>
        <v/>
      </c>
      <c r="E544" t="str">
        <f>IFERROR(IF(ISNUMBER('Revenues &amp; Outlays in GDP'!D550),TEXT('Revenues &amp; Outlays in GDP'!D550, "0.00"),""), "")</f>
        <v/>
      </c>
      <c r="F544" t="str">
        <f>IFERROR(IF(ISNUMBER('Revenues &amp; Outlays in GDP'!B550), 'Revenues &amp; Outlays in GDP'!J550, ""), "")</f>
        <v/>
      </c>
    </row>
    <row r="545" spans="1:6">
      <c r="A545" t="str">
        <f>TEXT(IF('Revenues &amp; Outlays in GDP'!B551&lt;&gt;0,'Revenues &amp; Outlays in GDP'!B551, ""), "mm/dd/yyyy")</f>
        <v/>
      </c>
      <c r="B545" t="str">
        <f>IFERROR(IF(ISNUMBER('Revenues &amp; Outlays in GDP'!G551),TEXT('Revenues &amp; Outlays in GDP'!G551, "0.00"),""), "")</f>
        <v/>
      </c>
      <c r="C545" t="str">
        <f>IFERROR(IF(ISNUMBER('Revenues &amp; Outlays in GDP'!C551),TEXT('Revenues &amp; Outlays in GDP'!C551, "0.00"),""), "")</f>
        <v/>
      </c>
      <c r="D545" t="str">
        <f>IFERROR(IF(ISNUMBER('Revenues &amp; Outlays in GDP'!H551),TEXT('Revenues &amp; Outlays in GDP'!H551, "0.00"),""), "")</f>
        <v/>
      </c>
      <c r="E545" t="str">
        <f>IFERROR(IF(ISNUMBER('Revenues &amp; Outlays in GDP'!D551),TEXT('Revenues &amp; Outlays in GDP'!D551, "0.00"),""), "")</f>
        <v/>
      </c>
      <c r="F545" t="str">
        <f>IFERROR(IF(ISNUMBER('Revenues &amp; Outlays in GDP'!B551), 'Revenues &amp; Outlays in GDP'!J551, ""), "")</f>
        <v/>
      </c>
    </row>
    <row r="546" spans="1:6">
      <c r="A546" t="str">
        <f>TEXT(IF('Revenues &amp; Outlays in GDP'!B552&lt;&gt;0,'Revenues &amp; Outlays in GDP'!B552, ""), "mm/dd/yyyy")</f>
        <v/>
      </c>
      <c r="B546" t="str">
        <f>IFERROR(IF(ISNUMBER('Revenues &amp; Outlays in GDP'!G552),TEXT('Revenues &amp; Outlays in GDP'!G552, "0.00"),""), "")</f>
        <v/>
      </c>
      <c r="C546" t="str">
        <f>IFERROR(IF(ISNUMBER('Revenues &amp; Outlays in GDP'!C552),TEXT('Revenues &amp; Outlays in GDP'!C552, "0.00"),""), "")</f>
        <v/>
      </c>
      <c r="D546" t="str">
        <f>IFERROR(IF(ISNUMBER('Revenues &amp; Outlays in GDP'!H552),TEXT('Revenues &amp; Outlays in GDP'!H552, "0.00"),""), "")</f>
        <v/>
      </c>
      <c r="E546" t="str">
        <f>IFERROR(IF(ISNUMBER('Revenues &amp; Outlays in GDP'!D552),TEXT('Revenues &amp; Outlays in GDP'!D552, "0.00"),""), "")</f>
        <v/>
      </c>
      <c r="F546" t="str">
        <f>IFERROR(IF(ISNUMBER('Revenues &amp; Outlays in GDP'!B552), 'Revenues &amp; Outlays in GDP'!J552, ""), "")</f>
        <v/>
      </c>
    </row>
    <row r="547" spans="1:6">
      <c r="A547" t="str">
        <f>TEXT(IF('Revenues &amp; Outlays in GDP'!B553&lt;&gt;0,'Revenues &amp; Outlays in GDP'!B553, ""), "mm/dd/yyyy")</f>
        <v/>
      </c>
      <c r="B547" t="str">
        <f>IFERROR(IF(ISNUMBER('Revenues &amp; Outlays in GDP'!G553),TEXT('Revenues &amp; Outlays in GDP'!G553, "0.00"),""), "")</f>
        <v/>
      </c>
      <c r="C547" t="str">
        <f>IFERROR(IF(ISNUMBER('Revenues &amp; Outlays in GDP'!C553),TEXT('Revenues &amp; Outlays in GDP'!C553, "0.00"),""), "")</f>
        <v/>
      </c>
      <c r="D547" t="str">
        <f>IFERROR(IF(ISNUMBER('Revenues &amp; Outlays in GDP'!H553),TEXT('Revenues &amp; Outlays in GDP'!H553, "0.00"),""), "")</f>
        <v/>
      </c>
      <c r="E547" t="str">
        <f>IFERROR(IF(ISNUMBER('Revenues &amp; Outlays in GDP'!D553),TEXT('Revenues &amp; Outlays in GDP'!D553, "0.00"),""), "")</f>
        <v/>
      </c>
      <c r="F547" t="str">
        <f>IFERROR(IF(ISNUMBER('Revenues &amp; Outlays in GDP'!B553), 'Revenues &amp; Outlays in GDP'!J553, ""), "")</f>
        <v/>
      </c>
    </row>
    <row r="548" spans="1:6">
      <c r="A548" t="str">
        <f>TEXT(IF('Revenues &amp; Outlays in GDP'!B554&lt;&gt;0,'Revenues &amp; Outlays in GDP'!B554, ""), "mm/dd/yyyy")</f>
        <v/>
      </c>
      <c r="B548" t="str">
        <f>IFERROR(IF(ISNUMBER('Revenues &amp; Outlays in GDP'!G554),TEXT('Revenues &amp; Outlays in GDP'!G554, "0.00"),""), "")</f>
        <v/>
      </c>
      <c r="C548" t="str">
        <f>IFERROR(IF(ISNUMBER('Revenues &amp; Outlays in GDP'!C554),TEXT('Revenues &amp; Outlays in GDP'!C554, "0.00"),""), "")</f>
        <v/>
      </c>
      <c r="D548" t="str">
        <f>IFERROR(IF(ISNUMBER('Revenues &amp; Outlays in GDP'!H554),TEXT('Revenues &amp; Outlays in GDP'!H554, "0.00"),""), "")</f>
        <v/>
      </c>
      <c r="E548" t="str">
        <f>IFERROR(IF(ISNUMBER('Revenues &amp; Outlays in GDP'!D554),TEXT('Revenues &amp; Outlays in GDP'!D554, "0.00"),""), "")</f>
        <v/>
      </c>
      <c r="F548" t="str">
        <f>IFERROR(IF(ISNUMBER('Revenues &amp; Outlays in GDP'!B554), 'Revenues &amp; Outlays in GDP'!J554, ""), "")</f>
        <v/>
      </c>
    </row>
    <row r="549" spans="1:6">
      <c r="A549" t="str">
        <f>TEXT(IF('Revenues &amp; Outlays in GDP'!B555&lt;&gt;0,'Revenues &amp; Outlays in GDP'!B555, ""), "mm/dd/yyyy")</f>
        <v/>
      </c>
      <c r="B549" t="str">
        <f>IFERROR(IF(ISNUMBER('Revenues &amp; Outlays in GDP'!G555),TEXT('Revenues &amp; Outlays in GDP'!G555, "0.00"),""), "")</f>
        <v/>
      </c>
      <c r="C549" t="str">
        <f>IFERROR(IF(ISNUMBER('Revenues &amp; Outlays in GDP'!C555),TEXT('Revenues &amp; Outlays in GDP'!C555, "0.00"),""), "")</f>
        <v/>
      </c>
      <c r="D549" t="str">
        <f>IFERROR(IF(ISNUMBER('Revenues &amp; Outlays in GDP'!H555),TEXT('Revenues &amp; Outlays in GDP'!H555, "0.00"),""), "")</f>
        <v/>
      </c>
      <c r="E549" t="str">
        <f>IFERROR(IF(ISNUMBER('Revenues &amp; Outlays in GDP'!D555),TEXT('Revenues &amp; Outlays in GDP'!D555, "0.00"),""), "")</f>
        <v/>
      </c>
      <c r="F549" t="str">
        <f>IFERROR(IF(ISNUMBER('Revenues &amp; Outlays in GDP'!B555), 'Revenues &amp; Outlays in GDP'!J555, ""), "")</f>
        <v/>
      </c>
    </row>
    <row r="550" spans="1:6">
      <c r="A550" t="str">
        <f>TEXT(IF('Revenues &amp; Outlays in GDP'!B556&lt;&gt;0,'Revenues &amp; Outlays in GDP'!B556, ""), "mm/dd/yyyy")</f>
        <v/>
      </c>
      <c r="B550" t="str">
        <f>IFERROR(IF(ISNUMBER('Revenues &amp; Outlays in GDP'!G556),TEXT('Revenues &amp; Outlays in GDP'!G556, "0.00"),""), "")</f>
        <v/>
      </c>
      <c r="C550" t="str">
        <f>IFERROR(IF(ISNUMBER('Revenues &amp; Outlays in GDP'!C556),TEXT('Revenues &amp; Outlays in GDP'!C556, "0.00"),""), "")</f>
        <v/>
      </c>
      <c r="D550" t="str">
        <f>IFERROR(IF(ISNUMBER('Revenues &amp; Outlays in GDP'!H556),TEXT('Revenues &amp; Outlays in GDP'!H556, "0.00"),""), "")</f>
        <v/>
      </c>
      <c r="E550" t="str">
        <f>IFERROR(IF(ISNUMBER('Revenues &amp; Outlays in GDP'!D556),TEXT('Revenues &amp; Outlays in GDP'!D556, "0.00"),""), "")</f>
        <v/>
      </c>
      <c r="F550" t="str">
        <f>IFERROR(IF(ISNUMBER('Revenues &amp; Outlays in GDP'!B556), 'Revenues &amp; Outlays in GDP'!J556, ""), "")</f>
        <v/>
      </c>
    </row>
    <row r="551" spans="1:6">
      <c r="A551" t="str">
        <f>TEXT(IF('Revenues &amp; Outlays in GDP'!B557&lt;&gt;0,'Revenues &amp; Outlays in GDP'!B557, ""), "mm/dd/yyyy")</f>
        <v/>
      </c>
      <c r="B551" t="str">
        <f>IFERROR(IF(ISNUMBER('Revenues &amp; Outlays in GDP'!G557),TEXT('Revenues &amp; Outlays in GDP'!G557, "0.00"),""), "")</f>
        <v/>
      </c>
      <c r="C551" t="str">
        <f>IFERROR(IF(ISNUMBER('Revenues &amp; Outlays in GDP'!C557),TEXT('Revenues &amp; Outlays in GDP'!C557, "0.00"),""), "")</f>
        <v/>
      </c>
      <c r="D551" t="str">
        <f>IFERROR(IF(ISNUMBER('Revenues &amp; Outlays in GDP'!H557),TEXT('Revenues &amp; Outlays in GDP'!H557, "0.00"),""), "")</f>
        <v/>
      </c>
      <c r="E551" t="str">
        <f>IFERROR(IF(ISNUMBER('Revenues &amp; Outlays in GDP'!D557),TEXT('Revenues &amp; Outlays in GDP'!D557, "0.00"),""), "")</f>
        <v/>
      </c>
      <c r="F551" t="str">
        <f>IFERROR(IF(ISNUMBER('Revenues &amp; Outlays in GDP'!B557), 'Revenues &amp; Outlays in GDP'!J557, ""), "")</f>
        <v/>
      </c>
    </row>
    <row r="552" spans="1:6">
      <c r="A552" t="str">
        <f>TEXT(IF('Revenues &amp; Outlays in GDP'!B558&lt;&gt;0,'Revenues &amp; Outlays in GDP'!B558, ""), "mm/dd/yyyy")</f>
        <v/>
      </c>
      <c r="B552" t="str">
        <f>IFERROR(IF(ISNUMBER('Revenues &amp; Outlays in GDP'!G558),TEXT('Revenues &amp; Outlays in GDP'!G558, "0.00"),""), "")</f>
        <v/>
      </c>
      <c r="C552" t="str">
        <f>IFERROR(IF(ISNUMBER('Revenues &amp; Outlays in GDP'!C558),TEXT('Revenues &amp; Outlays in GDP'!C558, "0.00"),""), "")</f>
        <v/>
      </c>
      <c r="D552" t="str">
        <f>IFERROR(IF(ISNUMBER('Revenues &amp; Outlays in GDP'!H558),TEXT('Revenues &amp; Outlays in GDP'!H558, "0.00"),""), "")</f>
        <v/>
      </c>
      <c r="E552" t="str">
        <f>IFERROR(IF(ISNUMBER('Revenues &amp; Outlays in GDP'!D558),TEXT('Revenues &amp; Outlays in GDP'!D558, "0.00"),""), "")</f>
        <v/>
      </c>
      <c r="F552" t="str">
        <f>IFERROR(IF(ISNUMBER('Revenues &amp; Outlays in GDP'!B558), 'Revenues &amp; Outlays in GDP'!J558, ""), "")</f>
        <v/>
      </c>
    </row>
    <row r="553" spans="1:6">
      <c r="A553" t="str">
        <f>TEXT(IF('Revenues &amp; Outlays in GDP'!B559&lt;&gt;0,'Revenues &amp; Outlays in GDP'!B559, ""), "mm/dd/yyyy")</f>
        <v/>
      </c>
      <c r="B553" t="str">
        <f>IFERROR(IF(ISNUMBER('Revenues &amp; Outlays in GDP'!G559),TEXT('Revenues &amp; Outlays in GDP'!G559, "0.00"),""), "")</f>
        <v/>
      </c>
      <c r="C553" t="str">
        <f>IFERROR(IF(ISNUMBER('Revenues &amp; Outlays in GDP'!C559),TEXT('Revenues &amp; Outlays in GDP'!C559, "0.00"),""), "")</f>
        <v/>
      </c>
      <c r="D553" t="str">
        <f>IFERROR(IF(ISNUMBER('Revenues &amp; Outlays in GDP'!H559),TEXT('Revenues &amp; Outlays in GDP'!H559, "0.00"),""), "")</f>
        <v/>
      </c>
      <c r="E553" t="str">
        <f>IFERROR(IF(ISNUMBER('Revenues &amp; Outlays in GDP'!D559),TEXT('Revenues &amp; Outlays in GDP'!D559, "0.00"),""), "")</f>
        <v/>
      </c>
      <c r="F553" t="str">
        <f>IFERROR(IF(ISNUMBER('Revenues &amp; Outlays in GDP'!B559), 'Revenues &amp; Outlays in GDP'!J559, ""), "")</f>
        <v/>
      </c>
    </row>
    <row r="554" spans="1:6">
      <c r="A554" t="str">
        <f>TEXT(IF('Revenues &amp; Outlays in GDP'!B560&lt;&gt;0,'Revenues &amp; Outlays in GDP'!B560, ""), "mm/dd/yyyy")</f>
        <v/>
      </c>
      <c r="B554" t="str">
        <f>IFERROR(IF(ISNUMBER('Revenues &amp; Outlays in GDP'!G560),TEXT('Revenues &amp; Outlays in GDP'!G560, "0.00"),""), "")</f>
        <v/>
      </c>
      <c r="C554" t="str">
        <f>IFERROR(IF(ISNUMBER('Revenues &amp; Outlays in GDP'!C560),TEXT('Revenues &amp; Outlays in GDP'!C560, "0.00"),""), "")</f>
        <v/>
      </c>
      <c r="D554" t="str">
        <f>IFERROR(IF(ISNUMBER('Revenues &amp; Outlays in GDP'!H560),TEXT('Revenues &amp; Outlays in GDP'!H560, "0.00"),""), "")</f>
        <v/>
      </c>
      <c r="E554" t="str">
        <f>IFERROR(IF(ISNUMBER('Revenues &amp; Outlays in GDP'!D560),TEXT('Revenues &amp; Outlays in GDP'!D560, "0.00"),""), "")</f>
        <v/>
      </c>
      <c r="F554" t="str">
        <f>IFERROR(IF(ISNUMBER('Revenues &amp; Outlays in GDP'!B560), 'Revenues &amp; Outlays in GDP'!J560, ""), "")</f>
        <v/>
      </c>
    </row>
    <row r="555" spans="1:6">
      <c r="A555" t="str">
        <f>TEXT(IF('Revenues &amp; Outlays in GDP'!B561&lt;&gt;0,'Revenues &amp; Outlays in GDP'!B561, ""), "mm/dd/yyyy")</f>
        <v/>
      </c>
      <c r="B555" t="str">
        <f>IFERROR(IF(ISNUMBER('Revenues &amp; Outlays in GDP'!G561),TEXT('Revenues &amp; Outlays in GDP'!G561, "0.00"),""), "")</f>
        <v/>
      </c>
      <c r="C555" t="str">
        <f>IFERROR(IF(ISNUMBER('Revenues &amp; Outlays in GDP'!C561),TEXT('Revenues &amp; Outlays in GDP'!C561, "0.00"),""), "")</f>
        <v/>
      </c>
      <c r="D555" t="str">
        <f>IFERROR(IF(ISNUMBER('Revenues &amp; Outlays in GDP'!H561),TEXT('Revenues &amp; Outlays in GDP'!H561, "0.00"),""), "")</f>
        <v/>
      </c>
      <c r="E555" t="str">
        <f>IFERROR(IF(ISNUMBER('Revenues &amp; Outlays in GDP'!D561),TEXT('Revenues &amp; Outlays in GDP'!D561, "0.00"),""), "")</f>
        <v/>
      </c>
      <c r="F555" t="str">
        <f>IFERROR(IF(ISNUMBER('Revenues &amp; Outlays in GDP'!B561), 'Revenues &amp; Outlays in GDP'!J561, ""), "")</f>
        <v/>
      </c>
    </row>
    <row r="556" spans="1:6">
      <c r="A556" t="str">
        <f>TEXT(IF('Revenues &amp; Outlays in GDP'!B562&lt;&gt;0,'Revenues &amp; Outlays in GDP'!B562, ""), "mm/dd/yyyy")</f>
        <v/>
      </c>
      <c r="B556" t="str">
        <f>IFERROR(IF(ISNUMBER('Revenues &amp; Outlays in GDP'!G562),TEXT('Revenues &amp; Outlays in GDP'!G562, "0.00"),""), "")</f>
        <v/>
      </c>
      <c r="C556" t="str">
        <f>IFERROR(IF(ISNUMBER('Revenues &amp; Outlays in GDP'!C562),TEXT('Revenues &amp; Outlays in GDP'!C562, "0.00"),""), "")</f>
        <v/>
      </c>
      <c r="D556" t="str">
        <f>IFERROR(IF(ISNUMBER('Revenues &amp; Outlays in GDP'!H562),TEXT('Revenues &amp; Outlays in GDP'!H562, "0.00"),""), "")</f>
        <v/>
      </c>
      <c r="E556" t="str">
        <f>IFERROR(IF(ISNUMBER('Revenues &amp; Outlays in GDP'!D562),TEXT('Revenues &amp; Outlays in GDP'!D562, "0.00"),""), "")</f>
        <v/>
      </c>
      <c r="F556" t="str">
        <f>IFERROR(IF(ISNUMBER('Revenues &amp; Outlays in GDP'!B562), 'Revenues &amp; Outlays in GDP'!J562, ""), "")</f>
        <v/>
      </c>
    </row>
    <row r="557" spans="1:6">
      <c r="A557" t="str">
        <f>TEXT(IF('Revenues &amp; Outlays in GDP'!B563&lt;&gt;0,'Revenues &amp; Outlays in GDP'!B563, ""), "mm/dd/yyyy")</f>
        <v/>
      </c>
      <c r="B557" t="str">
        <f>IFERROR(IF(ISNUMBER('Revenues &amp; Outlays in GDP'!G563),TEXT('Revenues &amp; Outlays in GDP'!G563, "0.00"),""), "")</f>
        <v/>
      </c>
      <c r="C557" t="str">
        <f>IFERROR(IF(ISNUMBER('Revenues &amp; Outlays in GDP'!C563),TEXT('Revenues &amp; Outlays in GDP'!C563, "0.00"),""), "")</f>
        <v/>
      </c>
      <c r="D557" t="str">
        <f>IFERROR(IF(ISNUMBER('Revenues &amp; Outlays in GDP'!H563),TEXT('Revenues &amp; Outlays in GDP'!H563, "0.00"),""), "")</f>
        <v/>
      </c>
      <c r="E557" t="str">
        <f>IFERROR(IF(ISNUMBER('Revenues &amp; Outlays in GDP'!D563),TEXT('Revenues &amp; Outlays in GDP'!D563, "0.00"),""), "")</f>
        <v/>
      </c>
      <c r="F557" t="str">
        <f>IFERROR(IF(ISNUMBER('Revenues &amp; Outlays in GDP'!B563), 'Revenues &amp; Outlays in GDP'!J563, ""), "")</f>
        <v/>
      </c>
    </row>
    <row r="558" spans="1:6">
      <c r="A558" t="str">
        <f>TEXT(IF('Revenues &amp; Outlays in GDP'!B564&lt;&gt;0,'Revenues &amp; Outlays in GDP'!B564, ""), "mm/dd/yyyy")</f>
        <v/>
      </c>
      <c r="B558" t="str">
        <f>IFERROR(IF(ISNUMBER('Revenues &amp; Outlays in GDP'!G564),TEXT('Revenues &amp; Outlays in GDP'!G564, "0.00"),""), "")</f>
        <v/>
      </c>
      <c r="C558" t="str">
        <f>IFERROR(IF(ISNUMBER('Revenues &amp; Outlays in GDP'!C564),TEXT('Revenues &amp; Outlays in GDP'!C564, "0.00"),""), "")</f>
        <v/>
      </c>
      <c r="D558" t="str">
        <f>IFERROR(IF(ISNUMBER('Revenues &amp; Outlays in GDP'!H564),TEXT('Revenues &amp; Outlays in GDP'!H564, "0.00"),""), "")</f>
        <v/>
      </c>
      <c r="E558" t="str">
        <f>IFERROR(IF(ISNUMBER('Revenues &amp; Outlays in GDP'!D564),TEXT('Revenues &amp; Outlays in GDP'!D564, "0.00"),""), "")</f>
        <v/>
      </c>
      <c r="F558" t="str">
        <f>IFERROR(IF(ISNUMBER('Revenues &amp; Outlays in GDP'!B564), 'Revenues &amp; Outlays in GDP'!J564, ""), "")</f>
        <v/>
      </c>
    </row>
    <row r="559" spans="1:6">
      <c r="A559" t="str">
        <f>TEXT(IF('Revenues &amp; Outlays in GDP'!B565&lt;&gt;0,'Revenues &amp; Outlays in GDP'!B565, ""), "mm/dd/yyyy")</f>
        <v/>
      </c>
      <c r="B559" t="str">
        <f>IFERROR(IF(ISNUMBER('Revenues &amp; Outlays in GDP'!G565),TEXT('Revenues &amp; Outlays in GDP'!G565, "0.00"),""), "")</f>
        <v/>
      </c>
      <c r="C559" t="str">
        <f>IFERROR(IF(ISNUMBER('Revenues &amp; Outlays in GDP'!C565),TEXT('Revenues &amp; Outlays in GDP'!C565, "0.00"),""), "")</f>
        <v/>
      </c>
      <c r="D559" t="str">
        <f>IFERROR(IF(ISNUMBER('Revenues &amp; Outlays in GDP'!H565),TEXT('Revenues &amp; Outlays in GDP'!H565, "0.00"),""), "")</f>
        <v/>
      </c>
      <c r="E559" t="str">
        <f>IFERROR(IF(ISNUMBER('Revenues &amp; Outlays in GDP'!D565),TEXT('Revenues &amp; Outlays in GDP'!D565, "0.00"),""), "")</f>
        <v/>
      </c>
      <c r="F559" t="str">
        <f>IFERROR(IF(ISNUMBER('Revenues &amp; Outlays in GDP'!B565), 'Revenues &amp; Outlays in GDP'!J565, ""), "")</f>
        <v/>
      </c>
    </row>
    <row r="560" spans="1:6">
      <c r="A560" t="str">
        <f>TEXT(IF('Revenues &amp; Outlays in GDP'!B566&lt;&gt;0,'Revenues &amp; Outlays in GDP'!B566, ""), "mm/dd/yyyy")</f>
        <v/>
      </c>
      <c r="B560" t="str">
        <f>IFERROR(IF(ISNUMBER('Revenues &amp; Outlays in GDP'!G566),TEXT('Revenues &amp; Outlays in GDP'!G566, "0.00"),""), "")</f>
        <v/>
      </c>
      <c r="C560" t="str">
        <f>IFERROR(IF(ISNUMBER('Revenues &amp; Outlays in GDP'!C566),TEXT('Revenues &amp; Outlays in GDP'!C566, "0.00"),""), "")</f>
        <v/>
      </c>
      <c r="D560" t="str">
        <f>IFERROR(IF(ISNUMBER('Revenues &amp; Outlays in GDP'!H566),TEXT('Revenues &amp; Outlays in GDP'!H566, "0.00"),""), "")</f>
        <v/>
      </c>
      <c r="E560" t="str">
        <f>IFERROR(IF(ISNUMBER('Revenues &amp; Outlays in GDP'!D566),TEXT('Revenues &amp; Outlays in GDP'!D566, "0.00"),""), "")</f>
        <v/>
      </c>
      <c r="F560" t="str">
        <f>IFERROR(IF(ISNUMBER('Revenues &amp; Outlays in GDP'!B566), 'Revenues &amp; Outlays in GDP'!J566, ""), "")</f>
        <v/>
      </c>
    </row>
    <row r="561" spans="1:6">
      <c r="A561" t="str">
        <f>TEXT(IF('Revenues &amp; Outlays in GDP'!B567&lt;&gt;0,'Revenues &amp; Outlays in GDP'!B567, ""), "mm/dd/yyyy")</f>
        <v/>
      </c>
      <c r="B561" t="str">
        <f>IFERROR(IF(ISNUMBER('Revenues &amp; Outlays in GDP'!G567),TEXT('Revenues &amp; Outlays in GDP'!G567, "0.00"),""), "")</f>
        <v/>
      </c>
      <c r="C561" t="str">
        <f>IFERROR(IF(ISNUMBER('Revenues &amp; Outlays in GDP'!C567),TEXT('Revenues &amp; Outlays in GDP'!C567, "0.00"),""), "")</f>
        <v/>
      </c>
      <c r="D561" t="str">
        <f>IFERROR(IF(ISNUMBER('Revenues &amp; Outlays in GDP'!H567),TEXT('Revenues &amp; Outlays in GDP'!H567, "0.00"),""), "")</f>
        <v/>
      </c>
      <c r="E561" t="str">
        <f>IFERROR(IF(ISNUMBER('Revenues &amp; Outlays in GDP'!D567),TEXT('Revenues &amp; Outlays in GDP'!D567, "0.00"),""), "")</f>
        <v/>
      </c>
      <c r="F561" t="str">
        <f>IFERROR(IF(ISNUMBER('Revenues &amp; Outlays in GDP'!B567), 'Revenues &amp; Outlays in GDP'!J567, ""), "")</f>
        <v/>
      </c>
    </row>
    <row r="562" spans="1:6">
      <c r="A562" t="str">
        <f>TEXT(IF('Revenues &amp; Outlays in GDP'!B568&lt;&gt;0,'Revenues &amp; Outlays in GDP'!B568, ""), "mm/dd/yyyy")</f>
        <v/>
      </c>
      <c r="B562" t="str">
        <f>IFERROR(IF(ISNUMBER('Revenues &amp; Outlays in GDP'!G568),TEXT('Revenues &amp; Outlays in GDP'!G568, "0.00"),""), "")</f>
        <v/>
      </c>
      <c r="C562" t="str">
        <f>IFERROR(IF(ISNUMBER('Revenues &amp; Outlays in GDP'!C568),TEXT('Revenues &amp; Outlays in GDP'!C568, "0.00"),""), "")</f>
        <v/>
      </c>
      <c r="D562" t="str">
        <f>IFERROR(IF(ISNUMBER('Revenues &amp; Outlays in GDP'!H568),TEXT('Revenues &amp; Outlays in GDP'!H568, "0.00"),""), "")</f>
        <v/>
      </c>
      <c r="E562" t="str">
        <f>IFERROR(IF(ISNUMBER('Revenues &amp; Outlays in GDP'!D568),TEXT('Revenues &amp; Outlays in GDP'!D568, "0.00"),""), "")</f>
        <v/>
      </c>
      <c r="F562" t="str">
        <f>IFERROR(IF(ISNUMBER('Revenues &amp; Outlays in GDP'!B568), 'Revenues &amp; Outlays in GDP'!J568, ""), "")</f>
        <v/>
      </c>
    </row>
    <row r="563" spans="1:6">
      <c r="A563" t="str">
        <f>TEXT(IF('Revenues &amp; Outlays in GDP'!B569&lt;&gt;0,'Revenues &amp; Outlays in GDP'!B569, ""), "mm/dd/yyyy")</f>
        <v/>
      </c>
      <c r="B563" t="str">
        <f>IFERROR(IF(ISNUMBER('Revenues &amp; Outlays in GDP'!G569),TEXT('Revenues &amp; Outlays in GDP'!G569, "0.00"),""), "")</f>
        <v/>
      </c>
      <c r="C563" t="str">
        <f>IFERROR(IF(ISNUMBER('Revenues &amp; Outlays in GDP'!C569),TEXT('Revenues &amp; Outlays in GDP'!C569, "0.00"),""), "")</f>
        <v/>
      </c>
      <c r="D563" t="str">
        <f>IFERROR(IF(ISNUMBER('Revenues &amp; Outlays in GDP'!H569),TEXT('Revenues &amp; Outlays in GDP'!H569, "0.00"),""), "")</f>
        <v/>
      </c>
      <c r="E563" t="str">
        <f>IFERROR(IF(ISNUMBER('Revenues &amp; Outlays in GDP'!D569),TEXT('Revenues &amp; Outlays in GDP'!D569, "0.00"),""), "")</f>
        <v/>
      </c>
      <c r="F563" t="str">
        <f>IFERROR(IF(ISNUMBER('Revenues &amp; Outlays in GDP'!B569), 'Revenues &amp; Outlays in GDP'!J569, ""), "")</f>
        <v/>
      </c>
    </row>
    <row r="564" spans="1:6">
      <c r="A564" t="str">
        <f>TEXT(IF('Revenues &amp; Outlays in GDP'!B570&lt;&gt;0,'Revenues &amp; Outlays in GDP'!B570, ""), "mm/dd/yyyy")</f>
        <v/>
      </c>
      <c r="B564" t="str">
        <f>IFERROR(IF(ISNUMBER('Revenues &amp; Outlays in GDP'!G570),TEXT('Revenues &amp; Outlays in GDP'!G570, "0.00"),""), "")</f>
        <v/>
      </c>
      <c r="C564" t="str">
        <f>IFERROR(IF(ISNUMBER('Revenues &amp; Outlays in GDP'!C570),TEXT('Revenues &amp; Outlays in GDP'!C570, "0.00"),""), "")</f>
        <v/>
      </c>
      <c r="D564" t="str">
        <f>IFERROR(IF(ISNUMBER('Revenues &amp; Outlays in GDP'!H570),TEXT('Revenues &amp; Outlays in GDP'!H570, "0.00"),""), "")</f>
        <v/>
      </c>
      <c r="E564" t="str">
        <f>IFERROR(IF(ISNUMBER('Revenues &amp; Outlays in GDP'!D570),TEXT('Revenues &amp; Outlays in GDP'!D570, "0.00"),""), "")</f>
        <v/>
      </c>
      <c r="F564" t="str">
        <f>IFERROR(IF(ISNUMBER('Revenues &amp; Outlays in GDP'!B570), 'Revenues &amp; Outlays in GDP'!J570, ""), "")</f>
        <v/>
      </c>
    </row>
    <row r="565" spans="1:6">
      <c r="A565" t="str">
        <f>TEXT(IF('Revenues &amp; Outlays in GDP'!B571&lt;&gt;0,'Revenues &amp; Outlays in GDP'!B571, ""), "mm/dd/yyyy")</f>
        <v/>
      </c>
      <c r="B565" t="str">
        <f>IFERROR(IF(ISNUMBER('Revenues &amp; Outlays in GDP'!G571),TEXT('Revenues &amp; Outlays in GDP'!G571, "0.00"),""), "")</f>
        <v/>
      </c>
      <c r="C565" t="str">
        <f>IFERROR(IF(ISNUMBER('Revenues &amp; Outlays in GDP'!C571),TEXT('Revenues &amp; Outlays in GDP'!C571, "0.00"),""), "")</f>
        <v/>
      </c>
      <c r="D565" t="str">
        <f>IFERROR(IF(ISNUMBER('Revenues &amp; Outlays in GDP'!H571),TEXT('Revenues &amp; Outlays in GDP'!H571, "0.00"),""), "")</f>
        <v/>
      </c>
      <c r="E565" t="str">
        <f>IFERROR(IF(ISNUMBER('Revenues &amp; Outlays in GDP'!D571),TEXT('Revenues &amp; Outlays in GDP'!D571, "0.00"),""), "")</f>
        <v/>
      </c>
      <c r="F565" t="str">
        <f>IFERROR(IF(ISNUMBER('Revenues &amp; Outlays in GDP'!B571), 'Revenues &amp; Outlays in GDP'!J571, ""), "")</f>
        <v/>
      </c>
    </row>
    <row r="566" spans="1:6">
      <c r="A566" t="str">
        <f>TEXT(IF('Revenues &amp; Outlays in GDP'!B572&lt;&gt;0,'Revenues &amp; Outlays in GDP'!B572, ""), "mm/dd/yyyy")</f>
        <v/>
      </c>
      <c r="B566" t="str">
        <f>IFERROR(IF(ISNUMBER('Revenues &amp; Outlays in GDP'!G572),TEXT('Revenues &amp; Outlays in GDP'!G572, "0.00"),""), "")</f>
        <v/>
      </c>
      <c r="C566" t="str">
        <f>IFERROR(IF(ISNUMBER('Revenues &amp; Outlays in GDP'!C572),TEXT('Revenues &amp; Outlays in GDP'!C572, "0.00"),""), "")</f>
        <v/>
      </c>
      <c r="D566" t="str">
        <f>IFERROR(IF(ISNUMBER('Revenues &amp; Outlays in GDP'!H572),TEXT('Revenues &amp; Outlays in GDP'!H572, "0.00"),""), "")</f>
        <v/>
      </c>
      <c r="E566" t="str">
        <f>IFERROR(IF(ISNUMBER('Revenues &amp; Outlays in GDP'!D572),TEXT('Revenues &amp; Outlays in GDP'!D572, "0.00"),""), "")</f>
        <v/>
      </c>
      <c r="F566" t="str">
        <f>IFERROR(IF(ISNUMBER('Revenues &amp; Outlays in GDP'!B572), 'Revenues &amp; Outlays in GDP'!J572, ""), "")</f>
        <v/>
      </c>
    </row>
    <row r="567" spans="1:6">
      <c r="A567" t="str">
        <f>TEXT(IF('Revenues &amp; Outlays in GDP'!B573&lt;&gt;0,'Revenues &amp; Outlays in GDP'!B573, ""), "mm/dd/yyyy")</f>
        <v/>
      </c>
      <c r="B567" t="str">
        <f>IFERROR(IF(ISNUMBER('Revenues &amp; Outlays in GDP'!G573),TEXT('Revenues &amp; Outlays in GDP'!G573, "0.00"),""), "")</f>
        <v/>
      </c>
      <c r="C567" t="str">
        <f>IFERROR(IF(ISNUMBER('Revenues &amp; Outlays in GDP'!C573),TEXT('Revenues &amp; Outlays in GDP'!C573, "0.00"),""), "")</f>
        <v/>
      </c>
      <c r="D567" t="str">
        <f>IFERROR(IF(ISNUMBER('Revenues &amp; Outlays in GDP'!H573),TEXT('Revenues &amp; Outlays in GDP'!H573, "0.00"),""), "")</f>
        <v/>
      </c>
      <c r="E567" t="str">
        <f>IFERROR(IF(ISNUMBER('Revenues &amp; Outlays in GDP'!D573),TEXT('Revenues &amp; Outlays in GDP'!D573, "0.00"),""), "")</f>
        <v/>
      </c>
      <c r="F567" t="str">
        <f>IFERROR(IF(ISNUMBER('Revenues &amp; Outlays in GDP'!B573), 'Revenues &amp; Outlays in GDP'!J573, ""), "")</f>
        <v/>
      </c>
    </row>
    <row r="568" spans="1:6">
      <c r="A568" t="str">
        <f>TEXT(IF('Revenues &amp; Outlays in GDP'!B574&lt;&gt;0,'Revenues &amp; Outlays in GDP'!B574, ""), "mm/dd/yyyy")</f>
        <v/>
      </c>
      <c r="B568" t="str">
        <f>IFERROR(IF(ISNUMBER('Revenues &amp; Outlays in GDP'!G574),TEXT('Revenues &amp; Outlays in GDP'!G574, "0.00"),""), "")</f>
        <v/>
      </c>
      <c r="C568" t="str">
        <f>IFERROR(IF(ISNUMBER('Revenues &amp; Outlays in GDP'!C574),TEXT('Revenues &amp; Outlays in GDP'!C574, "0.00"),""), "")</f>
        <v/>
      </c>
      <c r="D568" t="str">
        <f>IFERROR(IF(ISNUMBER('Revenues &amp; Outlays in GDP'!H574),TEXT('Revenues &amp; Outlays in GDP'!H574, "0.00"),""), "")</f>
        <v/>
      </c>
      <c r="E568" t="str">
        <f>IFERROR(IF(ISNUMBER('Revenues &amp; Outlays in GDP'!D574),TEXT('Revenues &amp; Outlays in GDP'!D574, "0.00"),""), "")</f>
        <v/>
      </c>
      <c r="F568" t="str">
        <f>IFERROR(IF(ISNUMBER('Revenues &amp; Outlays in GDP'!B574), 'Revenues &amp; Outlays in GDP'!J574, ""), "")</f>
        <v/>
      </c>
    </row>
    <row r="569" spans="1:6">
      <c r="A569" t="str">
        <f>TEXT(IF('Revenues &amp; Outlays in GDP'!B575&lt;&gt;0,'Revenues &amp; Outlays in GDP'!B575, ""), "mm/dd/yyyy")</f>
        <v/>
      </c>
      <c r="B569" t="str">
        <f>IFERROR(IF(ISNUMBER('Revenues &amp; Outlays in GDP'!G575),TEXT('Revenues &amp; Outlays in GDP'!G575, "0.00"),""), "")</f>
        <v/>
      </c>
      <c r="C569" t="str">
        <f>IFERROR(IF(ISNUMBER('Revenues &amp; Outlays in GDP'!C575),TEXT('Revenues &amp; Outlays in GDP'!C575, "0.00"),""), "")</f>
        <v/>
      </c>
      <c r="D569" t="str">
        <f>IFERROR(IF(ISNUMBER('Revenues &amp; Outlays in GDP'!H575),TEXT('Revenues &amp; Outlays in GDP'!H575, "0.00"),""), "")</f>
        <v/>
      </c>
      <c r="E569" t="str">
        <f>IFERROR(IF(ISNUMBER('Revenues &amp; Outlays in GDP'!D575),TEXT('Revenues &amp; Outlays in GDP'!D575, "0.00"),""), "")</f>
        <v/>
      </c>
      <c r="F569" t="str">
        <f>IFERROR(IF(ISNUMBER('Revenues &amp; Outlays in GDP'!B575), 'Revenues &amp; Outlays in GDP'!J575, ""), "")</f>
        <v/>
      </c>
    </row>
    <row r="570" spans="1:6">
      <c r="A570" t="str">
        <f>TEXT(IF('Revenues &amp; Outlays in GDP'!B576&lt;&gt;0,'Revenues &amp; Outlays in GDP'!B576, ""), "mm/dd/yyyy")</f>
        <v/>
      </c>
      <c r="B570" t="str">
        <f>IFERROR(IF(ISNUMBER('Revenues &amp; Outlays in GDP'!G576),TEXT('Revenues &amp; Outlays in GDP'!G576, "0.00"),""), "")</f>
        <v/>
      </c>
      <c r="C570" t="str">
        <f>IFERROR(IF(ISNUMBER('Revenues &amp; Outlays in GDP'!C576),TEXT('Revenues &amp; Outlays in GDP'!C576, "0.00"),""), "")</f>
        <v/>
      </c>
      <c r="D570" t="str">
        <f>IFERROR(IF(ISNUMBER('Revenues &amp; Outlays in GDP'!H576),TEXT('Revenues &amp; Outlays in GDP'!H576, "0.00"),""), "")</f>
        <v/>
      </c>
      <c r="E570" t="str">
        <f>IFERROR(IF(ISNUMBER('Revenues &amp; Outlays in GDP'!D576),TEXT('Revenues &amp; Outlays in GDP'!D576, "0.00"),""), "")</f>
        <v/>
      </c>
      <c r="F570" t="str">
        <f>IFERROR(IF(ISNUMBER('Revenues &amp; Outlays in GDP'!B576), 'Revenues &amp; Outlays in GDP'!J576, ""), "")</f>
        <v/>
      </c>
    </row>
    <row r="571" spans="1:6">
      <c r="A571" t="str">
        <f>TEXT(IF('Revenues &amp; Outlays in GDP'!B577&lt;&gt;0,'Revenues &amp; Outlays in GDP'!B577, ""), "mm/dd/yyyy")</f>
        <v/>
      </c>
      <c r="B571" t="str">
        <f>IFERROR(IF(ISNUMBER('Revenues &amp; Outlays in GDP'!G577),TEXT('Revenues &amp; Outlays in GDP'!G577, "0.00"),""), "")</f>
        <v/>
      </c>
      <c r="C571" t="str">
        <f>IFERROR(IF(ISNUMBER('Revenues &amp; Outlays in GDP'!C577),TEXT('Revenues &amp; Outlays in GDP'!C577, "0.00"),""), "")</f>
        <v/>
      </c>
      <c r="D571" t="str">
        <f>IFERROR(IF(ISNUMBER('Revenues &amp; Outlays in GDP'!H577),TEXT('Revenues &amp; Outlays in GDP'!H577, "0.00"),""), "")</f>
        <v/>
      </c>
      <c r="E571" t="str">
        <f>IFERROR(IF(ISNUMBER('Revenues &amp; Outlays in GDP'!D577),TEXT('Revenues &amp; Outlays in GDP'!D577, "0.00"),""), "")</f>
        <v/>
      </c>
      <c r="F571" t="str">
        <f>IFERROR(IF(ISNUMBER('Revenues &amp; Outlays in GDP'!B577), 'Revenues &amp; Outlays in GDP'!J577, ""), "")</f>
        <v/>
      </c>
    </row>
    <row r="572" spans="1:6">
      <c r="A572" t="str">
        <f>TEXT(IF('Revenues &amp; Outlays in GDP'!B578&lt;&gt;0,'Revenues &amp; Outlays in GDP'!B578, ""), "mm/dd/yyyy")</f>
        <v/>
      </c>
      <c r="B572" t="str">
        <f>IFERROR(IF(ISNUMBER('Revenues &amp; Outlays in GDP'!G578),TEXT('Revenues &amp; Outlays in GDP'!G578, "0.00"),""), "")</f>
        <v/>
      </c>
      <c r="C572" t="str">
        <f>IFERROR(IF(ISNUMBER('Revenues &amp; Outlays in GDP'!C578),TEXT('Revenues &amp; Outlays in GDP'!C578, "0.00"),""), "")</f>
        <v/>
      </c>
      <c r="D572" t="str">
        <f>IFERROR(IF(ISNUMBER('Revenues &amp; Outlays in GDP'!H578),TEXT('Revenues &amp; Outlays in GDP'!H578, "0.00"),""), "")</f>
        <v/>
      </c>
      <c r="E572" t="str">
        <f>IFERROR(IF(ISNUMBER('Revenues &amp; Outlays in GDP'!D578),TEXT('Revenues &amp; Outlays in GDP'!D578, "0.00"),""), "")</f>
        <v/>
      </c>
      <c r="F572" t="str">
        <f>IFERROR(IF(ISNUMBER('Revenues &amp; Outlays in GDP'!B578), 'Revenues &amp; Outlays in GDP'!J578, ""), "")</f>
        <v/>
      </c>
    </row>
    <row r="573" spans="1:6">
      <c r="A573" t="str">
        <f>TEXT(IF('Revenues &amp; Outlays in GDP'!B579&lt;&gt;0,'Revenues &amp; Outlays in GDP'!B579, ""), "mm/dd/yyyy")</f>
        <v/>
      </c>
      <c r="B573" t="str">
        <f>IFERROR(IF(ISNUMBER('Revenues &amp; Outlays in GDP'!G579),TEXT('Revenues &amp; Outlays in GDP'!G579, "0.00"),""), "")</f>
        <v/>
      </c>
      <c r="C573" t="str">
        <f>IFERROR(IF(ISNUMBER('Revenues &amp; Outlays in GDP'!C579),TEXT('Revenues &amp; Outlays in GDP'!C579, "0.00"),""), "")</f>
        <v/>
      </c>
      <c r="D573" t="str">
        <f>IFERROR(IF(ISNUMBER('Revenues &amp; Outlays in GDP'!H579),TEXT('Revenues &amp; Outlays in GDP'!H579, "0.00"),""), "")</f>
        <v/>
      </c>
      <c r="E573" t="str">
        <f>IFERROR(IF(ISNUMBER('Revenues &amp; Outlays in GDP'!D579),TEXT('Revenues &amp; Outlays in GDP'!D579, "0.00"),""), "")</f>
        <v/>
      </c>
      <c r="F573" t="str">
        <f>IFERROR(IF(ISNUMBER('Revenues &amp; Outlays in GDP'!B579), 'Revenues &amp; Outlays in GDP'!J579, ""), "")</f>
        <v/>
      </c>
    </row>
    <row r="574" spans="1:6">
      <c r="A574" t="str">
        <f>TEXT(IF('Revenues &amp; Outlays in GDP'!B580&lt;&gt;0,'Revenues &amp; Outlays in GDP'!B580, ""), "mm/dd/yyyy")</f>
        <v/>
      </c>
      <c r="B574" t="str">
        <f>IFERROR(IF(ISNUMBER('Revenues &amp; Outlays in GDP'!G580),TEXT('Revenues &amp; Outlays in GDP'!G580, "0.00"),""), "")</f>
        <v/>
      </c>
      <c r="C574" t="str">
        <f>IFERROR(IF(ISNUMBER('Revenues &amp; Outlays in GDP'!C580),TEXT('Revenues &amp; Outlays in GDP'!C580, "0.00"),""), "")</f>
        <v/>
      </c>
      <c r="D574" t="str">
        <f>IFERROR(IF(ISNUMBER('Revenues &amp; Outlays in GDP'!H580),TEXT('Revenues &amp; Outlays in GDP'!H580, "0.00"),""), "")</f>
        <v/>
      </c>
      <c r="E574" t="str">
        <f>IFERROR(IF(ISNUMBER('Revenues &amp; Outlays in GDP'!D580),TEXT('Revenues &amp; Outlays in GDP'!D580, "0.00"),""), "")</f>
        <v/>
      </c>
      <c r="F574" t="str">
        <f>IFERROR(IF(ISNUMBER('Revenues &amp; Outlays in GDP'!B580), 'Revenues &amp; Outlays in GDP'!J580, ""), "")</f>
        <v/>
      </c>
    </row>
    <row r="575" spans="1:6">
      <c r="A575" t="str">
        <f>TEXT(IF('Revenues &amp; Outlays in GDP'!B581&lt;&gt;0,'Revenues &amp; Outlays in GDP'!B581, ""), "mm/dd/yyyy")</f>
        <v/>
      </c>
      <c r="B575" t="str">
        <f>IFERROR(IF(ISNUMBER('Revenues &amp; Outlays in GDP'!G581),TEXT('Revenues &amp; Outlays in GDP'!G581, "0.00"),""), "")</f>
        <v/>
      </c>
      <c r="C575" t="str">
        <f>IFERROR(IF(ISNUMBER('Revenues &amp; Outlays in GDP'!C581),TEXT('Revenues &amp; Outlays in GDP'!C581, "0.00"),""), "")</f>
        <v/>
      </c>
      <c r="D575" t="str">
        <f>IFERROR(IF(ISNUMBER('Revenues &amp; Outlays in GDP'!H581),TEXT('Revenues &amp; Outlays in GDP'!H581, "0.00"),""), "")</f>
        <v/>
      </c>
      <c r="E575" t="str">
        <f>IFERROR(IF(ISNUMBER('Revenues &amp; Outlays in GDP'!D581),TEXT('Revenues &amp; Outlays in GDP'!D581, "0.00"),""), "")</f>
        <v/>
      </c>
      <c r="F575" t="str">
        <f>IFERROR(IF(ISNUMBER('Revenues &amp; Outlays in GDP'!B581), 'Revenues &amp; Outlays in GDP'!J581, ""), "")</f>
        <v/>
      </c>
    </row>
    <row r="576" spans="1:6">
      <c r="A576" t="str">
        <f>TEXT(IF('Revenues &amp; Outlays in GDP'!B582&lt;&gt;0,'Revenues &amp; Outlays in GDP'!B582, ""), "mm/dd/yyyy")</f>
        <v/>
      </c>
      <c r="B576" t="str">
        <f>IFERROR(IF(ISNUMBER('Revenues &amp; Outlays in GDP'!G582),TEXT('Revenues &amp; Outlays in GDP'!G582, "0.00"),""), "")</f>
        <v/>
      </c>
      <c r="C576" t="str">
        <f>IFERROR(IF(ISNUMBER('Revenues &amp; Outlays in GDP'!C582),TEXT('Revenues &amp; Outlays in GDP'!C582, "0.00"),""), "")</f>
        <v/>
      </c>
      <c r="D576" t="str">
        <f>IFERROR(IF(ISNUMBER('Revenues &amp; Outlays in GDP'!H582),TEXT('Revenues &amp; Outlays in GDP'!H582, "0.00"),""), "")</f>
        <v/>
      </c>
      <c r="E576" t="str">
        <f>IFERROR(IF(ISNUMBER('Revenues &amp; Outlays in GDP'!D582),TEXT('Revenues &amp; Outlays in GDP'!D582, "0.00"),""), "")</f>
        <v/>
      </c>
      <c r="F576" t="str">
        <f>IFERROR(IF(ISNUMBER('Revenues &amp; Outlays in GDP'!B582), 'Revenues &amp; Outlays in GDP'!J582, ""), "")</f>
        <v/>
      </c>
    </row>
    <row r="577" spans="1:6">
      <c r="A577" t="str">
        <f>TEXT(IF('Revenues &amp; Outlays in GDP'!B583&lt;&gt;0,'Revenues &amp; Outlays in GDP'!B583, ""), "mm/dd/yyyy")</f>
        <v/>
      </c>
      <c r="B577" t="str">
        <f>IFERROR(IF(ISNUMBER('Revenues &amp; Outlays in GDP'!G583),TEXT('Revenues &amp; Outlays in GDP'!G583, "0.00"),""), "")</f>
        <v/>
      </c>
      <c r="C577" t="str">
        <f>IFERROR(IF(ISNUMBER('Revenues &amp; Outlays in GDP'!C583),TEXT('Revenues &amp; Outlays in GDP'!C583, "0.00"),""), "")</f>
        <v/>
      </c>
      <c r="D577" t="str">
        <f>IFERROR(IF(ISNUMBER('Revenues &amp; Outlays in GDP'!H583),TEXT('Revenues &amp; Outlays in GDP'!H583, "0.00"),""), "")</f>
        <v/>
      </c>
      <c r="E577" t="str">
        <f>IFERROR(IF(ISNUMBER('Revenues &amp; Outlays in GDP'!D583),TEXT('Revenues &amp; Outlays in GDP'!D583, "0.00"),""), "")</f>
        <v/>
      </c>
      <c r="F577" t="str">
        <f>IFERROR(IF(ISNUMBER('Revenues &amp; Outlays in GDP'!B583), 'Revenues &amp; Outlays in GDP'!J583, ""), "")</f>
        <v/>
      </c>
    </row>
    <row r="578" spans="1:6">
      <c r="A578" t="str">
        <f>TEXT(IF('Revenues &amp; Outlays in GDP'!B584&lt;&gt;0,'Revenues &amp; Outlays in GDP'!B584, ""), "mm/dd/yyyy")</f>
        <v/>
      </c>
      <c r="B578" t="str">
        <f>IFERROR(IF(ISNUMBER('Revenues &amp; Outlays in GDP'!G584),TEXT('Revenues &amp; Outlays in GDP'!G584, "0.00"),""), "")</f>
        <v/>
      </c>
      <c r="C578" t="str">
        <f>IFERROR(IF(ISNUMBER('Revenues &amp; Outlays in GDP'!C584),TEXT('Revenues &amp; Outlays in GDP'!C584, "0.00"),""), "")</f>
        <v/>
      </c>
      <c r="D578" t="str">
        <f>IFERROR(IF(ISNUMBER('Revenues &amp; Outlays in GDP'!H584),TEXT('Revenues &amp; Outlays in GDP'!H584, "0.00"),""), "")</f>
        <v/>
      </c>
      <c r="E578" t="str">
        <f>IFERROR(IF(ISNUMBER('Revenues &amp; Outlays in GDP'!D584),TEXT('Revenues &amp; Outlays in GDP'!D584, "0.00"),""), "")</f>
        <v/>
      </c>
      <c r="F578" t="str">
        <f>IFERROR(IF(ISNUMBER('Revenues &amp; Outlays in GDP'!B584), 'Revenues &amp; Outlays in GDP'!J584, ""), "")</f>
        <v/>
      </c>
    </row>
    <row r="579" spans="1:6">
      <c r="A579" t="str">
        <f>TEXT(IF('Revenues &amp; Outlays in GDP'!B585&lt;&gt;0,'Revenues &amp; Outlays in GDP'!B585, ""), "mm/dd/yyyy")</f>
        <v/>
      </c>
      <c r="B579" t="str">
        <f>IFERROR(IF(ISNUMBER('Revenues &amp; Outlays in GDP'!G585),TEXT('Revenues &amp; Outlays in GDP'!G585, "0.00"),""), "")</f>
        <v/>
      </c>
      <c r="C579" t="str">
        <f>IFERROR(IF(ISNUMBER('Revenues &amp; Outlays in GDP'!C585),TEXT('Revenues &amp; Outlays in GDP'!C585, "0.00"),""), "")</f>
        <v/>
      </c>
      <c r="D579" t="str">
        <f>IFERROR(IF(ISNUMBER('Revenues &amp; Outlays in GDP'!H585),TEXT('Revenues &amp; Outlays in GDP'!H585, "0.00"),""), "")</f>
        <v/>
      </c>
      <c r="E579" t="str">
        <f>IFERROR(IF(ISNUMBER('Revenues &amp; Outlays in GDP'!D585),TEXT('Revenues &amp; Outlays in GDP'!D585, "0.00"),""), "")</f>
        <v/>
      </c>
      <c r="F579" t="str">
        <f>IFERROR(IF(ISNUMBER('Revenues &amp; Outlays in GDP'!B585), 'Revenues &amp; Outlays in GDP'!J585, ""), "")</f>
        <v/>
      </c>
    </row>
    <row r="580" spans="1:6">
      <c r="A580" t="str">
        <f>TEXT(IF('Revenues &amp; Outlays in GDP'!B586&lt;&gt;0,'Revenues &amp; Outlays in GDP'!B586, ""), "mm/dd/yyyy")</f>
        <v/>
      </c>
      <c r="B580" t="str">
        <f>IFERROR(IF(ISNUMBER('Revenues &amp; Outlays in GDP'!G586),TEXT('Revenues &amp; Outlays in GDP'!G586, "0.00"),""), "")</f>
        <v/>
      </c>
      <c r="C580" t="str">
        <f>IFERROR(IF(ISNUMBER('Revenues &amp; Outlays in GDP'!C586),TEXT('Revenues &amp; Outlays in GDP'!C586, "0.00"),""), "")</f>
        <v/>
      </c>
      <c r="D580" t="str">
        <f>IFERROR(IF(ISNUMBER('Revenues &amp; Outlays in GDP'!H586),TEXT('Revenues &amp; Outlays in GDP'!H586, "0.00"),""), "")</f>
        <v/>
      </c>
      <c r="E580" t="str">
        <f>IFERROR(IF(ISNUMBER('Revenues &amp; Outlays in GDP'!D586),TEXT('Revenues &amp; Outlays in GDP'!D586, "0.00"),""), "")</f>
        <v/>
      </c>
      <c r="F580" t="str">
        <f>IFERROR(IF(ISNUMBER('Revenues &amp; Outlays in GDP'!B586), 'Revenues &amp; Outlays in GDP'!J586, ""), "")</f>
        <v/>
      </c>
    </row>
    <row r="581" spans="1:6">
      <c r="A581" t="str">
        <f>TEXT(IF('Revenues &amp; Outlays in GDP'!B587&lt;&gt;0,'Revenues &amp; Outlays in GDP'!B587, ""), "mm/dd/yyyy")</f>
        <v/>
      </c>
      <c r="B581" t="str">
        <f>IFERROR(IF(ISNUMBER('Revenues &amp; Outlays in GDP'!G587),TEXT('Revenues &amp; Outlays in GDP'!G587, "0.00"),""), "")</f>
        <v/>
      </c>
      <c r="C581" t="str">
        <f>IFERROR(IF(ISNUMBER('Revenues &amp; Outlays in GDP'!C587),TEXT('Revenues &amp; Outlays in GDP'!C587, "0.00"),""), "")</f>
        <v/>
      </c>
      <c r="D581" t="str">
        <f>IFERROR(IF(ISNUMBER('Revenues &amp; Outlays in GDP'!H587),TEXT('Revenues &amp; Outlays in GDP'!H587, "0.00"),""), "")</f>
        <v/>
      </c>
      <c r="E581" t="str">
        <f>IFERROR(IF(ISNUMBER('Revenues &amp; Outlays in GDP'!D587),TEXT('Revenues &amp; Outlays in GDP'!D587, "0.00"),""), "")</f>
        <v/>
      </c>
      <c r="F581" t="str">
        <f>IFERROR(IF(ISNUMBER('Revenues &amp; Outlays in GDP'!B587), 'Revenues &amp; Outlays in GDP'!J587, ""), "")</f>
        <v/>
      </c>
    </row>
    <row r="582" spans="1:6">
      <c r="A582" t="str">
        <f>TEXT(IF('Revenues &amp; Outlays in GDP'!B588&lt;&gt;0,'Revenues &amp; Outlays in GDP'!B588, ""), "mm/dd/yyyy")</f>
        <v/>
      </c>
      <c r="B582" t="str">
        <f>IFERROR(IF(ISNUMBER('Revenues &amp; Outlays in GDP'!G588),TEXT('Revenues &amp; Outlays in GDP'!G588, "0.00"),""), "")</f>
        <v/>
      </c>
      <c r="C582" t="str">
        <f>IFERROR(IF(ISNUMBER('Revenues &amp; Outlays in GDP'!C588),TEXT('Revenues &amp; Outlays in GDP'!C588, "0.00"),""), "")</f>
        <v/>
      </c>
      <c r="D582" t="str">
        <f>IFERROR(IF(ISNUMBER('Revenues &amp; Outlays in GDP'!H588),TEXT('Revenues &amp; Outlays in GDP'!H588, "0.00"),""), "")</f>
        <v/>
      </c>
      <c r="E582" t="str">
        <f>IFERROR(IF(ISNUMBER('Revenues &amp; Outlays in GDP'!D588),TEXT('Revenues &amp; Outlays in GDP'!D588, "0.00"),""), "")</f>
        <v/>
      </c>
      <c r="F582" t="str">
        <f>IFERROR(IF(ISNUMBER('Revenues &amp; Outlays in GDP'!B588), 'Revenues &amp; Outlays in GDP'!J588, ""), "")</f>
        <v/>
      </c>
    </row>
    <row r="583" spans="1:6">
      <c r="A583" t="str">
        <f>TEXT(IF('Revenues &amp; Outlays in GDP'!B589&lt;&gt;0,'Revenues &amp; Outlays in GDP'!B589, ""), "mm/dd/yyyy")</f>
        <v/>
      </c>
      <c r="B583" t="str">
        <f>IFERROR(IF(ISNUMBER('Revenues &amp; Outlays in GDP'!G589),TEXT('Revenues &amp; Outlays in GDP'!G589, "0.00"),""), "")</f>
        <v/>
      </c>
      <c r="C583" t="str">
        <f>IFERROR(IF(ISNUMBER('Revenues &amp; Outlays in GDP'!C589),TEXT('Revenues &amp; Outlays in GDP'!C589, "0.00"),""), "")</f>
        <v/>
      </c>
      <c r="D583" t="str">
        <f>IFERROR(IF(ISNUMBER('Revenues &amp; Outlays in GDP'!H589),TEXT('Revenues &amp; Outlays in GDP'!H589, "0.00"),""), "")</f>
        <v/>
      </c>
      <c r="E583" t="str">
        <f>IFERROR(IF(ISNUMBER('Revenues &amp; Outlays in GDP'!D589),TEXT('Revenues &amp; Outlays in GDP'!D589, "0.00"),""), "")</f>
        <v/>
      </c>
      <c r="F583" t="str">
        <f>IFERROR(IF(ISNUMBER('Revenues &amp; Outlays in GDP'!B589), 'Revenues &amp; Outlays in GDP'!J589, ""), "")</f>
        <v/>
      </c>
    </row>
    <row r="584" spans="1:6">
      <c r="A584" t="str">
        <f>TEXT(IF('Revenues &amp; Outlays in GDP'!B590&lt;&gt;0,'Revenues &amp; Outlays in GDP'!B590, ""), "mm/dd/yyyy")</f>
        <v/>
      </c>
      <c r="B584" t="str">
        <f>IFERROR(IF(ISNUMBER('Revenues &amp; Outlays in GDP'!G590),TEXT('Revenues &amp; Outlays in GDP'!G590, "0.00"),""), "")</f>
        <v/>
      </c>
      <c r="C584" t="str">
        <f>IFERROR(IF(ISNUMBER('Revenues &amp; Outlays in GDP'!C590),TEXT('Revenues &amp; Outlays in GDP'!C590, "0.00"),""), "")</f>
        <v/>
      </c>
      <c r="D584" t="str">
        <f>IFERROR(IF(ISNUMBER('Revenues &amp; Outlays in GDP'!H590),TEXT('Revenues &amp; Outlays in GDP'!H590, "0.00"),""), "")</f>
        <v/>
      </c>
      <c r="E584" t="str">
        <f>IFERROR(IF(ISNUMBER('Revenues &amp; Outlays in GDP'!D590),TEXT('Revenues &amp; Outlays in GDP'!D590, "0.00"),""), "")</f>
        <v/>
      </c>
      <c r="F584" t="str">
        <f>IFERROR(IF(ISNUMBER('Revenues &amp; Outlays in GDP'!B590), 'Revenues &amp; Outlays in GDP'!J590, ""), "")</f>
        <v/>
      </c>
    </row>
    <row r="585" spans="1:6">
      <c r="A585" t="str">
        <f>TEXT(IF('Revenues &amp; Outlays in GDP'!B591&lt;&gt;0,'Revenues &amp; Outlays in GDP'!B591, ""), "mm/dd/yyyy")</f>
        <v/>
      </c>
      <c r="B585" t="str">
        <f>IFERROR(IF(ISNUMBER('Revenues &amp; Outlays in GDP'!G591),TEXT('Revenues &amp; Outlays in GDP'!G591, "0.00"),""), "")</f>
        <v/>
      </c>
      <c r="C585" t="str">
        <f>IFERROR(IF(ISNUMBER('Revenues &amp; Outlays in GDP'!C591),TEXT('Revenues &amp; Outlays in GDP'!C591, "0.00"),""), "")</f>
        <v/>
      </c>
      <c r="D585" t="str">
        <f>IFERROR(IF(ISNUMBER('Revenues &amp; Outlays in GDP'!H591),TEXT('Revenues &amp; Outlays in GDP'!H591, "0.00"),""), "")</f>
        <v/>
      </c>
      <c r="E585" t="str">
        <f>IFERROR(IF(ISNUMBER('Revenues &amp; Outlays in GDP'!D591),TEXT('Revenues &amp; Outlays in GDP'!D591, "0.00"),""), "")</f>
        <v/>
      </c>
      <c r="F585" t="str">
        <f>IFERROR(IF(ISNUMBER('Revenues &amp; Outlays in GDP'!B591), 'Revenues &amp; Outlays in GDP'!J591, ""), "")</f>
        <v/>
      </c>
    </row>
    <row r="586" spans="1:6">
      <c r="A586" t="str">
        <f>TEXT(IF('Revenues &amp; Outlays in GDP'!B592&lt;&gt;0,'Revenues &amp; Outlays in GDP'!B592, ""), "mm/dd/yyyy")</f>
        <v/>
      </c>
      <c r="B586" t="str">
        <f>IFERROR(IF(ISNUMBER('Revenues &amp; Outlays in GDP'!G592),TEXT('Revenues &amp; Outlays in GDP'!G592, "0.00"),""), "")</f>
        <v/>
      </c>
      <c r="C586" t="str">
        <f>IFERROR(IF(ISNUMBER('Revenues &amp; Outlays in GDP'!C592),TEXT('Revenues &amp; Outlays in GDP'!C592, "0.00"),""), "")</f>
        <v/>
      </c>
      <c r="D586" t="str">
        <f>IFERROR(IF(ISNUMBER('Revenues &amp; Outlays in GDP'!H592),TEXT('Revenues &amp; Outlays in GDP'!H592, "0.00"),""), "")</f>
        <v/>
      </c>
      <c r="E586" t="str">
        <f>IFERROR(IF(ISNUMBER('Revenues &amp; Outlays in GDP'!D592),TEXT('Revenues &amp; Outlays in GDP'!D592, "0.00"),""), "")</f>
        <v/>
      </c>
      <c r="F586" t="str">
        <f>IFERROR(IF(ISNUMBER('Revenues &amp; Outlays in GDP'!B592), 'Revenues &amp; Outlays in GDP'!J592, ""), "")</f>
        <v/>
      </c>
    </row>
    <row r="587" spans="1:6">
      <c r="A587" t="str">
        <f>TEXT(IF('Revenues &amp; Outlays in GDP'!B593&lt;&gt;0,'Revenues &amp; Outlays in GDP'!B593, ""), "mm/dd/yyyy")</f>
        <v/>
      </c>
      <c r="B587" t="str">
        <f>IFERROR(IF(ISNUMBER('Revenues &amp; Outlays in GDP'!G593),TEXT('Revenues &amp; Outlays in GDP'!G593, "0.00"),""), "")</f>
        <v/>
      </c>
      <c r="C587" t="str">
        <f>IFERROR(IF(ISNUMBER('Revenues &amp; Outlays in GDP'!C593),TEXT('Revenues &amp; Outlays in GDP'!C593, "0.00"),""), "")</f>
        <v/>
      </c>
      <c r="D587" t="str">
        <f>IFERROR(IF(ISNUMBER('Revenues &amp; Outlays in GDP'!H593),TEXT('Revenues &amp; Outlays in GDP'!H593, "0.00"),""), "")</f>
        <v/>
      </c>
      <c r="E587" t="str">
        <f>IFERROR(IF(ISNUMBER('Revenues &amp; Outlays in GDP'!D593),TEXT('Revenues &amp; Outlays in GDP'!D593, "0.00"),""), "")</f>
        <v/>
      </c>
      <c r="F587" t="str">
        <f>IFERROR(IF(ISNUMBER('Revenues &amp; Outlays in GDP'!B593), 'Revenues &amp; Outlays in GDP'!J593, ""), "")</f>
        <v/>
      </c>
    </row>
    <row r="588" spans="1:6">
      <c r="A588" t="str">
        <f>TEXT(IF('Revenues &amp; Outlays in GDP'!B594&lt;&gt;0,'Revenues &amp; Outlays in GDP'!B594, ""), "mm/dd/yyyy")</f>
        <v/>
      </c>
      <c r="B588" t="str">
        <f>IFERROR(IF(ISNUMBER('Revenues &amp; Outlays in GDP'!G594),TEXT('Revenues &amp; Outlays in GDP'!G594, "0.00"),""), "")</f>
        <v/>
      </c>
      <c r="C588" t="str">
        <f>IFERROR(IF(ISNUMBER('Revenues &amp; Outlays in GDP'!C594),TEXT('Revenues &amp; Outlays in GDP'!C594, "0.00"),""), "")</f>
        <v/>
      </c>
      <c r="D588" t="str">
        <f>IFERROR(IF(ISNUMBER('Revenues &amp; Outlays in GDP'!H594),TEXT('Revenues &amp; Outlays in GDP'!H594, "0.00"),""), "")</f>
        <v/>
      </c>
      <c r="E588" t="str">
        <f>IFERROR(IF(ISNUMBER('Revenues &amp; Outlays in GDP'!D594),TEXT('Revenues &amp; Outlays in GDP'!D594, "0.00"),""), "")</f>
        <v/>
      </c>
      <c r="F588" t="str">
        <f>IFERROR(IF(ISNUMBER('Revenues &amp; Outlays in GDP'!B594), 'Revenues &amp; Outlays in GDP'!J594, ""), "")</f>
        <v/>
      </c>
    </row>
    <row r="589" spans="1:6">
      <c r="A589" t="str">
        <f>TEXT(IF('Revenues &amp; Outlays in GDP'!B595&lt;&gt;0,'Revenues &amp; Outlays in GDP'!B595, ""), "mm/dd/yyyy")</f>
        <v/>
      </c>
      <c r="B589" t="str">
        <f>IFERROR(IF(ISNUMBER('Revenues &amp; Outlays in GDP'!G595),TEXT('Revenues &amp; Outlays in GDP'!G595, "0.00"),""), "")</f>
        <v/>
      </c>
      <c r="C589" t="str">
        <f>IFERROR(IF(ISNUMBER('Revenues &amp; Outlays in GDP'!C595),TEXT('Revenues &amp; Outlays in GDP'!C595, "0.00"),""), "")</f>
        <v/>
      </c>
      <c r="D589" t="str">
        <f>IFERROR(IF(ISNUMBER('Revenues &amp; Outlays in GDP'!H595),TEXT('Revenues &amp; Outlays in GDP'!H595, "0.00"),""), "")</f>
        <v/>
      </c>
      <c r="E589" t="str">
        <f>IFERROR(IF(ISNUMBER('Revenues &amp; Outlays in GDP'!D595),TEXT('Revenues &amp; Outlays in GDP'!D595, "0.00"),""), "")</f>
        <v/>
      </c>
      <c r="F589" t="str">
        <f>IFERROR(IF(ISNUMBER('Revenues &amp; Outlays in GDP'!B595), 'Revenues &amp; Outlays in GDP'!J595, ""), "")</f>
        <v/>
      </c>
    </row>
    <row r="590" spans="1:6">
      <c r="A590" t="str">
        <f>TEXT(IF('Revenues &amp; Outlays in GDP'!B596&lt;&gt;0,'Revenues &amp; Outlays in GDP'!B596, ""), "mm/dd/yyyy")</f>
        <v/>
      </c>
      <c r="B590" t="str">
        <f>IFERROR(IF(ISNUMBER('Revenues &amp; Outlays in GDP'!G596),TEXT('Revenues &amp; Outlays in GDP'!G596, "0.00"),""), "")</f>
        <v/>
      </c>
      <c r="C590" t="str">
        <f>IFERROR(IF(ISNUMBER('Revenues &amp; Outlays in GDP'!C596),TEXT('Revenues &amp; Outlays in GDP'!C596, "0.00"),""), "")</f>
        <v/>
      </c>
      <c r="D590" t="str">
        <f>IFERROR(IF(ISNUMBER('Revenues &amp; Outlays in GDP'!H596),TEXT('Revenues &amp; Outlays in GDP'!H596, "0.00"),""), "")</f>
        <v/>
      </c>
      <c r="E590" t="str">
        <f>IFERROR(IF(ISNUMBER('Revenues &amp; Outlays in GDP'!D596),TEXT('Revenues &amp; Outlays in GDP'!D596, "0.00"),""), "")</f>
        <v/>
      </c>
      <c r="F590" t="str">
        <f>IFERROR(IF(ISNUMBER('Revenues &amp; Outlays in GDP'!B596), 'Revenues &amp; Outlays in GDP'!J596, ""), "")</f>
        <v/>
      </c>
    </row>
    <row r="591" spans="1:6">
      <c r="A591" t="str">
        <f>TEXT(IF('Revenues &amp; Outlays in GDP'!B597&lt;&gt;0,'Revenues &amp; Outlays in GDP'!B597, ""), "mm/dd/yyyy")</f>
        <v/>
      </c>
      <c r="B591" t="str">
        <f>IFERROR(IF(ISNUMBER('Revenues &amp; Outlays in GDP'!G597),TEXT('Revenues &amp; Outlays in GDP'!G597, "0.00"),""), "")</f>
        <v/>
      </c>
      <c r="C591" t="str">
        <f>IFERROR(IF(ISNUMBER('Revenues &amp; Outlays in GDP'!C597),TEXT('Revenues &amp; Outlays in GDP'!C597, "0.00"),""), "")</f>
        <v/>
      </c>
      <c r="D591" t="str">
        <f>IFERROR(IF(ISNUMBER('Revenues &amp; Outlays in GDP'!H597),TEXT('Revenues &amp; Outlays in GDP'!H597, "0.00"),""), "")</f>
        <v/>
      </c>
      <c r="E591" t="str">
        <f>IFERROR(IF(ISNUMBER('Revenues &amp; Outlays in GDP'!D597),TEXT('Revenues &amp; Outlays in GDP'!D597, "0.00"),""), "")</f>
        <v/>
      </c>
      <c r="F591" t="str">
        <f>IFERROR(IF(ISNUMBER('Revenues &amp; Outlays in GDP'!B597), 'Revenues &amp; Outlays in GDP'!J597, ""), "")</f>
        <v/>
      </c>
    </row>
    <row r="592" spans="1:6">
      <c r="A592" t="str">
        <f>TEXT(IF('Revenues &amp; Outlays in GDP'!B598&lt;&gt;0,'Revenues &amp; Outlays in GDP'!B598, ""), "mm/dd/yyyy")</f>
        <v/>
      </c>
      <c r="B592" t="str">
        <f>IFERROR(IF(ISNUMBER('Revenues &amp; Outlays in GDP'!G598),TEXT('Revenues &amp; Outlays in GDP'!G598, "0.00"),""), "")</f>
        <v/>
      </c>
      <c r="C592" t="str">
        <f>IFERROR(IF(ISNUMBER('Revenues &amp; Outlays in GDP'!C598),TEXT('Revenues &amp; Outlays in GDP'!C598, "0.00"),""), "")</f>
        <v/>
      </c>
      <c r="D592" t="str">
        <f>IFERROR(IF(ISNUMBER('Revenues &amp; Outlays in GDP'!H598),TEXT('Revenues &amp; Outlays in GDP'!H598, "0.00"),""), "")</f>
        <v/>
      </c>
      <c r="E592" t="str">
        <f>IFERROR(IF(ISNUMBER('Revenues &amp; Outlays in GDP'!D598),TEXT('Revenues &amp; Outlays in GDP'!D598, "0.00"),""), "")</f>
        <v/>
      </c>
      <c r="F592" t="str">
        <f>IFERROR(IF(ISNUMBER('Revenues &amp; Outlays in GDP'!B598), 'Revenues &amp; Outlays in GDP'!J598, ""), "")</f>
        <v/>
      </c>
    </row>
    <row r="593" spans="1:6">
      <c r="A593" t="str">
        <f>TEXT(IF('Revenues &amp; Outlays in GDP'!B599&lt;&gt;0,'Revenues &amp; Outlays in GDP'!B599, ""), "mm/dd/yyyy")</f>
        <v/>
      </c>
      <c r="B593" t="str">
        <f>IFERROR(IF(ISNUMBER('Revenues &amp; Outlays in GDP'!G599),TEXT('Revenues &amp; Outlays in GDP'!G599, "0.00"),""), "")</f>
        <v/>
      </c>
      <c r="C593" t="str">
        <f>IFERROR(IF(ISNUMBER('Revenues &amp; Outlays in GDP'!C599),TEXT('Revenues &amp; Outlays in GDP'!C599, "0.00"),""), "")</f>
        <v/>
      </c>
      <c r="D593" t="str">
        <f>IFERROR(IF(ISNUMBER('Revenues &amp; Outlays in GDP'!H599),TEXT('Revenues &amp; Outlays in GDP'!H599, "0.00"),""), "")</f>
        <v/>
      </c>
      <c r="E593" t="str">
        <f>IFERROR(IF(ISNUMBER('Revenues &amp; Outlays in GDP'!D599),TEXT('Revenues &amp; Outlays in GDP'!D599, "0.00"),""), "")</f>
        <v/>
      </c>
      <c r="F593" t="str">
        <f>IFERROR(IF(ISNUMBER('Revenues &amp; Outlays in GDP'!B599), 'Revenues &amp; Outlays in GDP'!J599, ""), "")</f>
        <v/>
      </c>
    </row>
    <row r="594" spans="1:6">
      <c r="A594" t="str">
        <f>TEXT(IF('Revenues &amp; Outlays in GDP'!B600&lt;&gt;0,'Revenues &amp; Outlays in GDP'!B600, ""), "mm/dd/yyyy")</f>
        <v/>
      </c>
      <c r="B594" t="str">
        <f>IFERROR(IF(ISNUMBER('Revenues &amp; Outlays in GDP'!G600),TEXT('Revenues &amp; Outlays in GDP'!G600, "0.00"),""), "")</f>
        <v/>
      </c>
      <c r="C594" t="str">
        <f>IFERROR(IF(ISNUMBER('Revenues &amp; Outlays in GDP'!C600),TEXT('Revenues &amp; Outlays in GDP'!C600, "0.00"),""), "")</f>
        <v/>
      </c>
      <c r="D594" t="str">
        <f>IFERROR(IF(ISNUMBER('Revenues &amp; Outlays in GDP'!H600),TEXT('Revenues &amp; Outlays in GDP'!H600, "0.00"),""), "")</f>
        <v/>
      </c>
      <c r="E594" t="str">
        <f>IFERROR(IF(ISNUMBER('Revenues &amp; Outlays in GDP'!D600),TEXT('Revenues &amp; Outlays in GDP'!D600, "0.00"),""), "")</f>
        <v/>
      </c>
      <c r="F594" t="str">
        <f>IFERROR(IF(ISNUMBER('Revenues &amp; Outlays in GDP'!B600), 'Revenues &amp; Outlays in GDP'!J600, ""), "")</f>
        <v/>
      </c>
    </row>
    <row r="595" spans="1:6">
      <c r="A595" t="str">
        <f>TEXT(IF('Revenues &amp; Outlays in GDP'!B601&lt;&gt;0,'Revenues &amp; Outlays in GDP'!B601, ""), "mm/dd/yyyy")</f>
        <v/>
      </c>
      <c r="B595" t="str">
        <f>IFERROR(IF(ISNUMBER('Revenues &amp; Outlays in GDP'!G601),TEXT('Revenues &amp; Outlays in GDP'!G601, "0.00"),""), "")</f>
        <v/>
      </c>
      <c r="C595" t="str">
        <f>IFERROR(IF(ISNUMBER('Revenues &amp; Outlays in GDP'!C601),TEXT('Revenues &amp; Outlays in GDP'!C601, "0.00"),""), "")</f>
        <v/>
      </c>
      <c r="D595" t="str">
        <f>IFERROR(IF(ISNUMBER('Revenues &amp; Outlays in GDP'!H601),TEXT('Revenues &amp; Outlays in GDP'!H601, "0.00"),""), "")</f>
        <v/>
      </c>
      <c r="E595" t="str">
        <f>IFERROR(IF(ISNUMBER('Revenues &amp; Outlays in GDP'!D601),TEXT('Revenues &amp; Outlays in GDP'!D601, "0.00"),""), "")</f>
        <v/>
      </c>
      <c r="F595" t="str">
        <f>IFERROR(IF(ISNUMBER('Revenues &amp; Outlays in GDP'!B601), 'Revenues &amp; Outlays in GDP'!J601, ""), "")</f>
        <v/>
      </c>
    </row>
    <row r="596" spans="1:6">
      <c r="A596" t="str">
        <f>TEXT(IF('Revenues &amp; Outlays in GDP'!B602&lt;&gt;0,'Revenues &amp; Outlays in GDP'!B602, ""), "mm/dd/yyyy")</f>
        <v/>
      </c>
      <c r="B596" t="str">
        <f>IFERROR(IF(ISNUMBER('Revenues &amp; Outlays in GDP'!G602),TEXT('Revenues &amp; Outlays in GDP'!G602, "0.00"),""), "")</f>
        <v/>
      </c>
      <c r="C596" t="str">
        <f>IFERROR(IF(ISNUMBER('Revenues &amp; Outlays in GDP'!C602),TEXT('Revenues &amp; Outlays in GDP'!C602, "0.00"),""), "")</f>
        <v/>
      </c>
      <c r="D596" t="str">
        <f>IFERROR(IF(ISNUMBER('Revenues &amp; Outlays in GDP'!H602),TEXT('Revenues &amp; Outlays in GDP'!H602, "0.00"),""), "")</f>
        <v/>
      </c>
      <c r="E596" t="str">
        <f>IFERROR(IF(ISNUMBER('Revenues &amp; Outlays in GDP'!D602),TEXT('Revenues &amp; Outlays in GDP'!D602, "0.00"),""), "")</f>
        <v/>
      </c>
      <c r="F596" t="str">
        <f>IFERROR(IF(ISNUMBER('Revenues &amp; Outlays in GDP'!B602), 'Revenues &amp; Outlays in GDP'!J602, ""), "")</f>
        <v/>
      </c>
    </row>
    <row r="597" spans="1:6">
      <c r="A597" t="str">
        <f>TEXT(IF('Revenues &amp; Outlays in GDP'!B603&lt;&gt;0,'Revenues &amp; Outlays in GDP'!B603, ""), "mm/dd/yyyy")</f>
        <v/>
      </c>
      <c r="B597" t="str">
        <f>IFERROR(IF(ISNUMBER('Revenues &amp; Outlays in GDP'!G603),TEXT('Revenues &amp; Outlays in GDP'!G603, "0.00"),""), "")</f>
        <v/>
      </c>
      <c r="C597" t="str">
        <f>IFERROR(IF(ISNUMBER('Revenues &amp; Outlays in GDP'!C603),TEXT('Revenues &amp; Outlays in GDP'!C603, "0.00"),""), "")</f>
        <v/>
      </c>
      <c r="D597" t="str">
        <f>IFERROR(IF(ISNUMBER('Revenues &amp; Outlays in GDP'!H603),TEXT('Revenues &amp; Outlays in GDP'!H603, "0.00"),""), "")</f>
        <v/>
      </c>
      <c r="E597" t="str">
        <f>IFERROR(IF(ISNUMBER('Revenues &amp; Outlays in GDP'!D603),TEXT('Revenues &amp; Outlays in GDP'!D603, "0.00"),""), "")</f>
        <v/>
      </c>
      <c r="F597" t="str">
        <f>IFERROR(IF(ISNUMBER('Revenues &amp; Outlays in GDP'!B603), 'Revenues &amp; Outlays in GDP'!J603, ""), "")</f>
        <v/>
      </c>
    </row>
    <row r="598" spans="1:6">
      <c r="A598" t="str">
        <f>TEXT(IF('Revenues &amp; Outlays in GDP'!B604&lt;&gt;0,'Revenues &amp; Outlays in GDP'!B604, ""), "mm/dd/yyyy")</f>
        <v/>
      </c>
      <c r="B598" t="str">
        <f>IFERROR(IF(ISNUMBER('Revenues &amp; Outlays in GDP'!G604),TEXT('Revenues &amp; Outlays in GDP'!G604, "0.00"),""), "")</f>
        <v/>
      </c>
      <c r="C598" t="str">
        <f>IFERROR(IF(ISNUMBER('Revenues &amp; Outlays in GDP'!C604),TEXT('Revenues &amp; Outlays in GDP'!C604, "0.00"),""), "")</f>
        <v/>
      </c>
      <c r="D598" t="str">
        <f>IFERROR(IF(ISNUMBER('Revenues &amp; Outlays in GDP'!H604),TEXT('Revenues &amp; Outlays in GDP'!H604, "0.00"),""), "")</f>
        <v/>
      </c>
      <c r="E598" t="str">
        <f>IFERROR(IF(ISNUMBER('Revenues &amp; Outlays in GDP'!D604),TEXT('Revenues &amp; Outlays in GDP'!D604, "0.00"),""), "")</f>
        <v/>
      </c>
      <c r="F598" t="str">
        <f>IFERROR(IF(ISNUMBER('Revenues &amp; Outlays in GDP'!B604), 'Revenues &amp; Outlays in GDP'!J604, ""), "")</f>
        <v/>
      </c>
    </row>
    <row r="599" spans="1:6">
      <c r="A599" t="str">
        <f>TEXT(IF('Revenues &amp; Outlays in GDP'!B605&lt;&gt;0,'Revenues &amp; Outlays in GDP'!B605, ""), "mm/dd/yyyy")</f>
        <v/>
      </c>
      <c r="B599" t="str">
        <f>IFERROR(IF(ISNUMBER('Revenues &amp; Outlays in GDP'!G605),TEXT('Revenues &amp; Outlays in GDP'!G605, "0.00"),""), "")</f>
        <v/>
      </c>
      <c r="C599" t="str">
        <f>IFERROR(IF(ISNUMBER('Revenues &amp; Outlays in GDP'!C605),TEXT('Revenues &amp; Outlays in GDP'!C605, "0.00"),""), "")</f>
        <v/>
      </c>
      <c r="D599" t="str">
        <f>IFERROR(IF(ISNUMBER('Revenues &amp; Outlays in GDP'!H605),TEXT('Revenues &amp; Outlays in GDP'!H605, "0.00"),""), "")</f>
        <v/>
      </c>
      <c r="E599" t="str">
        <f>IFERROR(IF(ISNUMBER('Revenues &amp; Outlays in GDP'!D605),TEXT('Revenues &amp; Outlays in GDP'!D605, "0.00"),""), "")</f>
        <v/>
      </c>
      <c r="F599" t="str">
        <f>IFERROR(IF(ISNUMBER('Revenues &amp; Outlays in GDP'!B605), 'Revenues &amp; Outlays in GDP'!J605, ""), "")</f>
        <v/>
      </c>
    </row>
    <row r="600" spans="1:6">
      <c r="A600" t="str">
        <f>TEXT(IF('Revenues &amp; Outlays in GDP'!B606&lt;&gt;0,'Revenues &amp; Outlays in GDP'!B606, ""), "mm/dd/yyyy")</f>
        <v/>
      </c>
      <c r="B600" t="str">
        <f>IFERROR(IF(ISNUMBER('Revenues &amp; Outlays in GDP'!G606),TEXT('Revenues &amp; Outlays in GDP'!G606, "0.00"),""), "")</f>
        <v/>
      </c>
      <c r="C600" t="str">
        <f>IFERROR(IF(ISNUMBER('Revenues &amp; Outlays in GDP'!C606),TEXT('Revenues &amp; Outlays in GDP'!C606, "0.00"),""), "")</f>
        <v/>
      </c>
      <c r="D600" t="str">
        <f>IFERROR(IF(ISNUMBER('Revenues &amp; Outlays in GDP'!H606),TEXT('Revenues &amp; Outlays in GDP'!H606, "0.00"),""), "")</f>
        <v/>
      </c>
      <c r="E600" t="str">
        <f>IFERROR(IF(ISNUMBER('Revenues &amp; Outlays in GDP'!D606),TEXT('Revenues &amp; Outlays in GDP'!D606, "0.00"),""), "")</f>
        <v/>
      </c>
      <c r="F600" t="str">
        <f>IFERROR(IF(ISNUMBER('Revenues &amp; Outlays in GDP'!B606), 'Revenues &amp; Outlays in GDP'!J606, ""), "")</f>
        <v/>
      </c>
    </row>
    <row r="601" spans="1:6">
      <c r="A601" t="str">
        <f>TEXT(IF('Revenues &amp; Outlays in GDP'!B607&lt;&gt;0,'Revenues &amp; Outlays in GDP'!B607, ""), "mm/dd/yyyy")</f>
        <v/>
      </c>
      <c r="B601" t="str">
        <f>IFERROR(IF(ISNUMBER('Revenues &amp; Outlays in GDP'!G607),TEXT('Revenues &amp; Outlays in GDP'!G607, "0.00"),""), "")</f>
        <v/>
      </c>
      <c r="C601" t="str">
        <f>IFERROR(IF(ISNUMBER('Revenues &amp; Outlays in GDP'!C607),TEXT('Revenues &amp; Outlays in GDP'!C607, "0.00"),""), "")</f>
        <v/>
      </c>
      <c r="D601" t="str">
        <f>IFERROR(IF(ISNUMBER('Revenues &amp; Outlays in GDP'!H607),TEXT('Revenues &amp; Outlays in GDP'!H607, "0.00"),""), "")</f>
        <v/>
      </c>
      <c r="E601" t="str">
        <f>IFERROR(IF(ISNUMBER('Revenues &amp; Outlays in GDP'!D607),TEXT('Revenues &amp; Outlays in GDP'!D607, "0.00"),""), "")</f>
        <v/>
      </c>
      <c r="F601" t="str">
        <f>IFERROR(IF(ISNUMBER('Revenues &amp; Outlays in GDP'!B607), 'Revenues &amp; Outlays in GDP'!J607, ""), "")</f>
        <v/>
      </c>
    </row>
    <row r="602" spans="1:6">
      <c r="A602" t="str">
        <f>TEXT(IF('Revenues &amp; Outlays in GDP'!B608&lt;&gt;0,'Revenues &amp; Outlays in GDP'!B608, ""), "mm/dd/yyyy")</f>
        <v/>
      </c>
      <c r="B602" t="str">
        <f>IFERROR(IF(ISNUMBER('Revenues &amp; Outlays in GDP'!G608),TEXT('Revenues &amp; Outlays in GDP'!G608, "0.00"),""), "")</f>
        <v/>
      </c>
      <c r="C602" t="str">
        <f>IFERROR(IF(ISNUMBER('Revenues &amp; Outlays in GDP'!C608),TEXT('Revenues &amp; Outlays in GDP'!C608, "0.00"),""), "")</f>
        <v/>
      </c>
      <c r="D602" t="str">
        <f>IFERROR(IF(ISNUMBER('Revenues &amp; Outlays in GDP'!H608),TEXT('Revenues &amp; Outlays in GDP'!H608, "0.00"),""), "")</f>
        <v/>
      </c>
      <c r="E602" t="str">
        <f>IFERROR(IF(ISNUMBER('Revenues &amp; Outlays in GDP'!D608),TEXT('Revenues &amp; Outlays in GDP'!D608, "0.00"),""), "")</f>
        <v/>
      </c>
      <c r="F602" t="str">
        <f>IFERROR(IF(ISNUMBER('Revenues &amp; Outlays in GDP'!B608), 'Revenues &amp; Outlays in GDP'!J608, ""), "")</f>
        <v/>
      </c>
    </row>
    <row r="603" spans="1:6">
      <c r="A603" t="str">
        <f>TEXT(IF('Revenues &amp; Outlays in GDP'!B609&lt;&gt;0,'Revenues &amp; Outlays in GDP'!B609, ""), "mm/dd/yyyy")</f>
        <v/>
      </c>
      <c r="B603" t="str">
        <f>IFERROR(IF(ISNUMBER('Revenues &amp; Outlays in GDP'!G609),TEXT('Revenues &amp; Outlays in GDP'!G609, "0.00"),""), "")</f>
        <v/>
      </c>
      <c r="C603" t="str">
        <f>IFERROR(IF(ISNUMBER('Revenues &amp; Outlays in GDP'!C609),TEXT('Revenues &amp; Outlays in GDP'!C609, "0.00"),""), "")</f>
        <v/>
      </c>
      <c r="D603" t="str">
        <f>IFERROR(IF(ISNUMBER('Revenues &amp; Outlays in GDP'!H609),TEXT('Revenues &amp; Outlays in GDP'!H609, "0.00"),""), "")</f>
        <v/>
      </c>
      <c r="E603" t="str">
        <f>IFERROR(IF(ISNUMBER('Revenues &amp; Outlays in GDP'!D609),TEXT('Revenues &amp; Outlays in GDP'!D609, "0.00"),""), "")</f>
        <v/>
      </c>
      <c r="F603" t="str">
        <f>IFERROR(IF(ISNUMBER('Revenues &amp; Outlays in GDP'!B609), 'Revenues &amp; Outlays in GDP'!J609, ""), "")</f>
        <v/>
      </c>
    </row>
    <row r="604" spans="1:6">
      <c r="A604" t="str">
        <f>TEXT(IF('Revenues &amp; Outlays in GDP'!B610&lt;&gt;0,'Revenues &amp; Outlays in GDP'!B610, ""), "mm/dd/yyyy")</f>
        <v/>
      </c>
      <c r="B604" t="str">
        <f>IFERROR(IF(ISNUMBER('Revenues &amp; Outlays in GDP'!G610),TEXT('Revenues &amp; Outlays in GDP'!G610, "0.00"),""), "")</f>
        <v/>
      </c>
      <c r="C604" t="str">
        <f>IFERROR(IF(ISNUMBER('Revenues &amp; Outlays in GDP'!C610),TEXT('Revenues &amp; Outlays in GDP'!C610, "0.00"),""), "")</f>
        <v/>
      </c>
      <c r="D604" t="str">
        <f>IFERROR(IF(ISNUMBER('Revenues &amp; Outlays in GDP'!H610),TEXT('Revenues &amp; Outlays in GDP'!H610, "0.00"),""), "")</f>
        <v/>
      </c>
      <c r="E604" t="str">
        <f>IFERROR(IF(ISNUMBER('Revenues &amp; Outlays in GDP'!D610),TEXT('Revenues &amp; Outlays in GDP'!D610, "0.00"),""), "")</f>
        <v/>
      </c>
      <c r="F604" t="str">
        <f>IFERROR(IF(ISNUMBER('Revenues &amp; Outlays in GDP'!B610), 'Revenues &amp; Outlays in GDP'!J610, ""), "")</f>
        <v/>
      </c>
    </row>
    <row r="605" spans="1:6">
      <c r="A605" t="str">
        <f>TEXT(IF('Revenues &amp; Outlays in GDP'!B611&lt;&gt;0,'Revenues &amp; Outlays in GDP'!B611, ""), "mm/dd/yyyy")</f>
        <v/>
      </c>
      <c r="B605" t="str">
        <f>IFERROR(IF(ISNUMBER('Revenues &amp; Outlays in GDP'!G611),TEXT('Revenues &amp; Outlays in GDP'!G611, "0.00"),""), "")</f>
        <v/>
      </c>
      <c r="C605" t="str">
        <f>IFERROR(IF(ISNUMBER('Revenues &amp; Outlays in GDP'!C611),TEXT('Revenues &amp; Outlays in GDP'!C611, "0.00"),""), "")</f>
        <v/>
      </c>
      <c r="D605" t="str">
        <f>IFERROR(IF(ISNUMBER('Revenues &amp; Outlays in GDP'!H611),TEXT('Revenues &amp; Outlays in GDP'!H611, "0.00"),""), "")</f>
        <v/>
      </c>
      <c r="E605" t="str">
        <f>IFERROR(IF(ISNUMBER('Revenues &amp; Outlays in GDP'!D611),TEXT('Revenues &amp; Outlays in GDP'!D611, "0.00"),""), "")</f>
        <v/>
      </c>
      <c r="F605" t="str">
        <f>IFERROR(IF(ISNUMBER('Revenues &amp; Outlays in GDP'!B611), 'Revenues &amp; Outlays in GDP'!J611, ""), "")</f>
        <v/>
      </c>
    </row>
    <row r="606" spans="1:6">
      <c r="A606" t="str">
        <f>TEXT(IF('Revenues &amp; Outlays in GDP'!B612&lt;&gt;0,'Revenues &amp; Outlays in GDP'!B612, ""), "mm/dd/yyyy")</f>
        <v/>
      </c>
      <c r="B606" t="str">
        <f>IFERROR(IF(ISNUMBER('Revenues &amp; Outlays in GDP'!G612),TEXT('Revenues &amp; Outlays in GDP'!G612, "0.00"),""), "")</f>
        <v/>
      </c>
      <c r="C606" t="str">
        <f>IFERROR(IF(ISNUMBER('Revenues &amp; Outlays in GDP'!C612),TEXT('Revenues &amp; Outlays in GDP'!C612, "0.00"),""), "")</f>
        <v/>
      </c>
      <c r="D606" t="str">
        <f>IFERROR(IF(ISNUMBER('Revenues &amp; Outlays in GDP'!H612),TEXT('Revenues &amp; Outlays in GDP'!H612, "0.00"),""), "")</f>
        <v/>
      </c>
      <c r="E606" t="str">
        <f>IFERROR(IF(ISNUMBER('Revenues &amp; Outlays in GDP'!D612),TEXT('Revenues &amp; Outlays in GDP'!D612, "0.00"),""), "")</f>
        <v/>
      </c>
      <c r="F606" t="str">
        <f>IFERROR(IF(ISNUMBER('Revenues &amp; Outlays in GDP'!B612), 'Revenues &amp; Outlays in GDP'!J612, ""), "")</f>
        <v/>
      </c>
    </row>
    <row r="607" spans="1:6">
      <c r="A607" t="str">
        <f>TEXT(IF('Revenues &amp; Outlays in GDP'!B613&lt;&gt;0,'Revenues &amp; Outlays in GDP'!B613, ""), "mm/dd/yyyy")</f>
        <v/>
      </c>
      <c r="B607" t="str">
        <f>IFERROR(IF(ISNUMBER('Revenues &amp; Outlays in GDP'!G613),TEXT('Revenues &amp; Outlays in GDP'!G613, "0.00"),""), "")</f>
        <v/>
      </c>
      <c r="C607" t="str">
        <f>IFERROR(IF(ISNUMBER('Revenues &amp; Outlays in GDP'!C613),TEXT('Revenues &amp; Outlays in GDP'!C613, "0.00"),""), "")</f>
        <v/>
      </c>
      <c r="D607" t="str">
        <f>IFERROR(IF(ISNUMBER('Revenues &amp; Outlays in GDP'!H613),TEXT('Revenues &amp; Outlays in GDP'!H613, "0.00"),""), "")</f>
        <v/>
      </c>
      <c r="E607" t="str">
        <f>IFERROR(IF(ISNUMBER('Revenues &amp; Outlays in GDP'!D613),TEXT('Revenues &amp; Outlays in GDP'!D613, "0.00"),""), "")</f>
        <v/>
      </c>
      <c r="F607" t="str">
        <f>IFERROR(IF(ISNUMBER('Revenues &amp; Outlays in GDP'!B613), 'Revenues &amp; Outlays in GDP'!J613, ""), "")</f>
        <v/>
      </c>
    </row>
    <row r="608" spans="1:6">
      <c r="A608" t="str">
        <f>TEXT(IF('Revenues &amp; Outlays in GDP'!B614&lt;&gt;0,'Revenues &amp; Outlays in GDP'!B614, ""), "mm/dd/yyyy")</f>
        <v/>
      </c>
      <c r="B608" t="str">
        <f>IFERROR(IF(ISNUMBER('Revenues &amp; Outlays in GDP'!G614),TEXT('Revenues &amp; Outlays in GDP'!G614, "0.00"),""), "")</f>
        <v/>
      </c>
      <c r="C608" t="str">
        <f>IFERROR(IF(ISNUMBER('Revenues &amp; Outlays in GDP'!C614),TEXT('Revenues &amp; Outlays in GDP'!C614, "0.00"),""), "")</f>
        <v/>
      </c>
      <c r="D608" t="str">
        <f>IFERROR(IF(ISNUMBER('Revenues &amp; Outlays in GDP'!H614),TEXT('Revenues &amp; Outlays in GDP'!H614, "0.00"),""), "")</f>
        <v/>
      </c>
      <c r="E608" t="str">
        <f>IFERROR(IF(ISNUMBER('Revenues &amp; Outlays in GDP'!D614),TEXT('Revenues &amp; Outlays in GDP'!D614, "0.00"),""), "")</f>
        <v/>
      </c>
      <c r="F608" t="str">
        <f>IFERROR(IF(ISNUMBER('Revenues &amp; Outlays in GDP'!B614), 'Revenues &amp; Outlays in GDP'!J614, ""), "")</f>
        <v/>
      </c>
    </row>
    <row r="609" spans="1:6">
      <c r="A609" t="str">
        <f>TEXT(IF('Revenues &amp; Outlays in GDP'!B615&lt;&gt;0,'Revenues &amp; Outlays in GDP'!B615, ""), "mm/dd/yyyy")</f>
        <v/>
      </c>
      <c r="B609" t="str">
        <f>IFERROR(IF(ISNUMBER('Revenues &amp; Outlays in GDP'!G615),TEXT('Revenues &amp; Outlays in GDP'!G615, "0.00"),""), "")</f>
        <v/>
      </c>
      <c r="C609" t="str">
        <f>IFERROR(IF(ISNUMBER('Revenues &amp; Outlays in GDP'!C615),TEXT('Revenues &amp; Outlays in GDP'!C615, "0.00"),""), "")</f>
        <v/>
      </c>
      <c r="D609" t="str">
        <f>IFERROR(IF(ISNUMBER('Revenues &amp; Outlays in GDP'!H615),TEXT('Revenues &amp; Outlays in GDP'!H615, "0.00"),""), "")</f>
        <v/>
      </c>
      <c r="E609" t="str">
        <f>IFERROR(IF(ISNUMBER('Revenues &amp; Outlays in GDP'!D615),TEXT('Revenues &amp; Outlays in GDP'!D615, "0.00"),""), "")</f>
        <v/>
      </c>
      <c r="F609" t="str">
        <f>IFERROR(IF(ISNUMBER('Revenues &amp; Outlays in GDP'!B615), 'Revenues &amp; Outlays in GDP'!J615, ""), "")</f>
        <v/>
      </c>
    </row>
    <row r="610" spans="1:6">
      <c r="A610" t="str">
        <f>TEXT(IF('Revenues &amp; Outlays in GDP'!B616&lt;&gt;0,'Revenues &amp; Outlays in GDP'!B616, ""), "mm/dd/yyyy")</f>
        <v/>
      </c>
      <c r="B610" t="str">
        <f>IFERROR(IF(ISNUMBER('Revenues &amp; Outlays in GDP'!G616),TEXT('Revenues &amp; Outlays in GDP'!G616, "0.00"),""), "")</f>
        <v/>
      </c>
      <c r="C610" t="str">
        <f>IFERROR(IF(ISNUMBER('Revenues &amp; Outlays in GDP'!C616),TEXT('Revenues &amp; Outlays in GDP'!C616, "0.00"),""), "")</f>
        <v/>
      </c>
      <c r="D610" t="str">
        <f>IFERROR(IF(ISNUMBER('Revenues &amp; Outlays in GDP'!H616),TEXT('Revenues &amp; Outlays in GDP'!H616, "0.00"),""), "")</f>
        <v/>
      </c>
      <c r="E610" t="str">
        <f>IFERROR(IF(ISNUMBER('Revenues &amp; Outlays in GDP'!D616),TEXT('Revenues &amp; Outlays in GDP'!D616, "0.00"),""), "")</f>
        <v/>
      </c>
      <c r="F610" t="str">
        <f>IFERROR(IF(ISNUMBER('Revenues &amp; Outlays in GDP'!B616), 'Revenues &amp; Outlays in GDP'!J616, ""), "")</f>
        <v/>
      </c>
    </row>
    <row r="611" spans="1:6">
      <c r="A611" t="str">
        <f>TEXT(IF('Revenues &amp; Outlays in GDP'!B617&lt;&gt;0,'Revenues &amp; Outlays in GDP'!B617, ""), "mm/dd/yyyy")</f>
        <v/>
      </c>
      <c r="B611" t="str">
        <f>IFERROR(IF(ISNUMBER('Revenues &amp; Outlays in GDP'!G617),TEXT('Revenues &amp; Outlays in GDP'!G617, "0.00"),""), "")</f>
        <v/>
      </c>
      <c r="C611" t="str">
        <f>IFERROR(IF(ISNUMBER('Revenues &amp; Outlays in GDP'!C617),TEXT('Revenues &amp; Outlays in GDP'!C617, "0.00"),""), "")</f>
        <v/>
      </c>
      <c r="D611" t="str">
        <f>IFERROR(IF(ISNUMBER('Revenues &amp; Outlays in GDP'!H617),TEXT('Revenues &amp; Outlays in GDP'!H617, "0.00"),""), "")</f>
        <v/>
      </c>
      <c r="E611" t="str">
        <f>IFERROR(IF(ISNUMBER('Revenues &amp; Outlays in GDP'!D617),TEXT('Revenues &amp; Outlays in GDP'!D617, "0.00"),""), "")</f>
        <v/>
      </c>
      <c r="F611" t="str">
        <f>IFERROR(IF(ISNUMBER('Revenues &amp; Outlays in GDP'!B617), 'Revenues &amp; Outlays in GDP'!J617, ""), "")</f>
        <v/>
      </c>
    </row>
    <row r="612" spans="1:6">
      <c r="A612" t="str">
        <f>TEXT(IF('Revenues &amp; Outlays in GDP'!B618&lt;&gt;0,'Revenues &amp; Outlays in GDP'!B618, ""), "mm/dd/yyyy")</f>
        <v/>
      </c>
      <c r="B612" t="str">
        <f>IFERROR(IF(ISNUMBER('Revenues &amp; Outlays in GDP'!G618),TEXT('Revenues &amp; Outlays in GDP'!G618, "0.00"),""), "")</f>
        <v/>
      </c>
      <c r="C612" t="str">
        <f>IFERROR(IF(ISNUMBER('Revenues &amp; Outlays in GDP'!C618),TEXT('Revenues &amp; Outlays in GDP'!C618, "0.00"),""), "")</f>
        <v/>
      </c>
      <c r="D612" t="str">
        <f>IFERROR(IF(ISNUMBER('Revenues &amp; Outlays in GDP'!H618),TEXT('Revenues &amp; Outlays in GDP'!H618, "0.00"),""), "")</f>
        <v/>
      </c>
      <c r="E612" t="str">
        <f>IFERROR(IF(ISNUMBER('Revenues &amp; Outlays in GDP'!D618),TEXT('Revenues &amp; Outlays in GDP'!D618, "0.00"),""), "")</f>
        <v/>
      </c>
      <c r="F612" t="str">
        <f>IFERROR(IF(ISNUMBER('Revenues &amp; Outlays in GDP'!B618), 'Revenues &amp; Outlays in GDP'!J618, ""), "")</f>
        <v/>
      </c>
    </row>
    <row r="613" spans="1:6">
      <c r="A613" t="str">
        <f>TEXT(IF('Revenues &amp; Outlays in GDP'!B619&lt;&gt;0,'Revenues &amp; Outlays in GDP'!B619, ""), "mm/dd/yyyy")</f>
        <v/>
      </c>
      <c r="B613" t="str">
        <f>IFERROR(IF(ISNUMBER('Revenues &amp; Outlays in GDP'!G619),TEXT('Revenues &amp; Outlays in GDP'!G619, "0.00"),""), "")</f>
        <v/>
      </c>
      <c r="C613" t="str">
        <f>IFERROR(IF(ISNUMBER('Revenues &amp; Outlays in GDP'!C619),TEXT('Revenues &amp; Outlays in GDP'!C619, "0.00"),""), "")</f>
        <v/>
      </c>
      <c r="D613" t="str">
        <f>IFERROR(IF(ISNUMBER('Revenues &amp; Outlays in GDP'!H619),TEXT('Revenues &amp; Outlays in GDP'!H619, "0.00"),""), "")</f>
        <v/>
      </c>
      <c r="E613" t="str">
        <f>IFERROR(IF(ISNUMBER('Revenues &amp; Outlays in GDP'!D619),TEXT('Revenues &amp; Outlays in GDP'!D619, "0.00"),""), "")</f>
        <v/>
      </c>
      <c r="F613" t="str">
        <f>IFERROR(IF(ISNUMBER('Revenues &amp; Outlays in GDP'!B619), 'Revenues &amp; Outlays in GDP'!J619, ""), "")</f>
        <v/>
      </c>
    </row>
    <row r="614" spans="1:6">
      <c r="A614" t="str">
        <f>TEXT(IF('Revenues &amp; Outlays in GDP'!B620&lt;&gt;0,'Revenues &amp; Outlays in GDP'!B620, ""), "mm/dd/yyyy")</f>
        <v/>
      </c>
      <c r="B614" t="str">
        <f>IFERROR(IF(ISNUMBER('Revenues &amp; Outlays in GDP'!G620),TEXT('Revenues &amp; Outlays in GDP'!G620, "0.00"),""), "")</f>
        <v/>
      </c>
      <c r="C614" t="str">
        <f>IFERROR(IF(ISNUMBER('Revenues &amp; Outlays in GDP'!C620),TEXT('Revenues &amp; Outlays in GDP'!C620, "0.00"),""), "")</f>
        <v/>
      </c>
      <c r="D614" t="str">
        <f>IFERROR(IF(ISNUMBER('Revenues &amp; Outlays in GDP'!H620),TEXT('Revenues &amp; Outlays in GDP'!H620, "0.00"),""), "")</f>
        <v/>
      </c>
      <c r="E614" t="str">
        <f>IFERROR(IF(ISNUMBER('Revenues &amp; Outlays in GDP'!D620),TEXT('Revenues &amp; Outlays in GDP'!D620, "0.00"),""), "")</f>
        <v/>
      </c>
      <c r="F614" t="str">
        <f>IFERROR(IF(ISNUMBER('Revenues &amp; Outlays in GDP'!B620), 'Revenues &amp; Outlays in GDP'!J620, ""), "")</f>
        <v/>
      </c>
    </row>
    <row r="615" spans="1:6">
      <c r="A615" t="str">
        <f>TEXT(IF('Revenues &amp; Outlays in GDP'!B621&lt;&gt;0,'Revenues &amp; Outlays in GDP'!B621, ""), "mm/dd/yyyy")</f>
        <v/>
      </c>
      <c r="B615" t="str">
        <f>IFERROR(IF(ISNUMBER('Revenues &amp; Outlays in GDP'!G621),TEXT('Revenues &amp; Outlays in GDP'!G621, "0.00"),""), "")</f>
        <v/>
      </c>
      <c r="C615" t="str">
        <f>IFERROR(IF(ISNUMBER('Revenues &amp; Outlays in GDP'!C621),TEXT('Revenues &amp; Outlays in GDP'!C621, "0.00"),""), "")</f>
        <v/>
      </c>
      <c r="D615" t="str">
        <f>IFERROR(IF(ISNUMBER('Revenues &amp; Outlays in GDP'!H621),TEXT('Revenues &amp; Outlays in GDP'!H621, "0.00"),""), "")</f>
        <v/>
      </c>
      <c r="E615" t="str">
        <f>IFERROR(IF(ISNUMBER('Revenues &amp; Outlays in GDP'!D621),TEXT('Revenues &amp; Outlays in GDP'!D621, "0.00"),""), "")</f>
        <v/>
      </c>
      <c r="F615" t="str">
        <f>IFERROR(IF(ISNUMBER('Revenues &amp; Outlays in GDP'!B621), 'Revenues &amp; Outlays in GDP'!J621, ""), "")</f>
        <v/>
      </c>
    </row>
    <row r="616" spans="1:6">
      <c r="A616" t="str">
        <f>TEXT(IF('Revenues &amp; Outlays in GDP'!B622&lt;&gt;0,'Revenues &amp; Outlays in GDP'!B622, ""), "mm/dd/yyyy")</f>
        <v/>
      </c>
      <c r="B616" t="str">
        <f>IFERROR(IF(ISNUMBER('Revenues &amp; Outlays in GDP'!G622),TEXT('Revenues &amp; Outlays in GDP'!G622, "0.00"),""), "")</f>
        <v/>
      </c>
      <c r="C616" t="str">
        <f>IFERROR(IF(ISNUMBER('Revenues &amp; Outlays in GDP'!C622),TEXT('Revenues &amp; Outlays in GDP'!C622, "0.00"),""), "")</f>
        <v/>
      </c>
      <c r="D616" t="str">
        <f>IFERROR(IF(ISNUMBER('Revenues &amp; Outlays in GDP'!H622),TEXT('Revenues &amp; Outlays in GDP'!H622, "0.00"),""), "")</f>
        <v/>
      </c>
      <c r="E616" t="str">
        <f>IFERROR(IF(ISNUMBER('Revenues &amp; Outlays in GDP'!D622),TEXT('Revenues &amp; Outlays in GDP'!D622, "0.00"),""), "")</f>
        <v/>
      </c>
      <c r="F616" t="str">
        <f>IFERROR(IF(ISNUMBER('Revenues &amp; Outlays in GDP'!B622), 'Revenues &amp; Outlays in GDP'!J622, ""), "")</f>
        <v/>
      </c>
    </row>
    <row r="617" spans="1:6">
      <c r="A617" t="str">
        <f>TEXT(IF('Revenues &amp; Outlays in GDP'!B623&lt;&gt;0,'Revenues &amp; Outlays in GDP'!B623, ""), "mm/dd/yyyy")</f>
        <v/>
      </c>
      <c r="B617" t="str">
        <f>IFERROR(IF(ISNUMBER('Revenues &amp; Outlays in GDP'!G623),TEXT('Revenues &amp; Outlays in GDP'!G623, "0.00"),""), "")</f>
        <v/>
      </c>
      <c r="C617" t="str">
        <f>IFERROR(IF(ISNUMBER('Revenues &amp; Outlays in GDP'!C623),TEXT('Revenues &amp; Outlays in GDP'!C623, "0.00"),""), "")</f>
        <v/>
      </c>
      <c r="D617" t="str">
        <f>IFERROR(IF(ISNUMBER('Revenues &amp; Outlays in GDP'!H623),TEXT('Revenues &amp; Outlays in GDP'!H623, "0.00"),""), "")</f>
        <v/>
      </c>
      <c r="E617" t="str">
        <f>IFERROR(IF(ISNUMBER('Revenues &amp; Outlays in GDP'!D623),TEXT('Revenues &amp; Outlays in GDP'!D623, "0.00"),""), "")</f>
        <v/>
      </c>
      <c r="F617" t="str">
        <f>IFERROR(IF(ISNUMBER('Revenues &amp; Outlays in GDP'!B623), 'Revenues &amp; Outlays in GDP'!J623, ""), "")</f>
        <v/>
      </c>
    </row>
    <row r="618" spans="1:6">
      <c r="A618" t="str">
        <f>TEXT(IF('Revenues &amp; Outlays in GDP'!B624&lt;&gt;0,'Revenues &amp; Outlays in GDP'!B624, ""), "mm/dd/yyyy")</f>
        <v/>
      </c>
      <c r="B618" t="str">
        <f>IFERROR(IF(ISNUMBER('Revenues &amp; Outlays in GDP'!G624),TEXT('Revenues &amp; Outlays in GDP'!G624, "0.00"),""), "")</f>
        <v/>
      </c>
      <c r="C618" t="str">
        <f>IFERROR(IF(ISNUMBER('Revenues &amp; Outlays in GDP'!C624),TEXT('Revenues &amp; Outlays in GDP'!C624, "0.00"),""), "")</f>
        <v/>
      </c>
      <c r="D618" t="str">
        <f>IFERROR(IF(ISNUMBER('Revenues &amp; Outlays in GDP'!H624),TEXT('Revenues &amp; Outlays in GDP'!H624, "0.00"),""), "")</f>
        <v/>
      </c>
      <c r="E618" t="str">
        <f>IFERROR(IF(ISNUMBER('Revenues &amp; Outlays in GDP'!D624),TEXT('Revenues &amp; Outlays in GDP'!D624, "0.00"),""), "")</f>
        <v/>
      </c>
      <c r="F618" t="str">
        <f>IFERROR(IF(ISNUMBER('Revenues &amp; Outlays in GDP'!B624), 'Revenues &amp; Outlays in GDP'!J624, ""), "")</f>
        <v/>
      </c>
    </row>
    <row r="619" spans="1:6">
      <c r="A619" t="str">
        <f>TEXT(IF('Revenues &amp; Outlays in GDP'!B625&lt;&gt;0,'Revenues &amp; Outlays in GDP'!B625, ""), "mm/dd/yyyy")</f>
        <v/>
      </c>
      <c r="B619" t="str">
        <f>IFERROR(IF(ISNUMBER('Revenues &amp; Outlays in GDP'!G625),TEXT('Revenues &amp; Outlays in GDP'!G625, "0.00"),""), "")</f>
        <v/>
      </c>
      <c r="C619" t="str">
        <f>IFERROR(IF(ISNUMBER('Revenues &amp; Outlays in GDP'!C625),TEXT('Revenues &amp; Outlays in GDP'!C625, "0.00"),""), "")</f>
        <v/>
      </c>
      <c r="D619" t="str">
        <f>IFERROR(IF(ISNUMBER('Revenues &amp; Outlays in GDP'!H625),TEXT('Revenues &amp; Outlays in GDP'!H625, "0.00"),""), "")</f>
        <v/>
      </c>
      <c r="E619" t="str">
        <f>IFERROR(IF(ISNUMBER('Revenues &amp; Outlays in GDP'!D625),TEXT('Revenues &amp; Outlays in GDP'!D625, "0.00"),""), "")</f>
        <v/>
      </c>
      <c r="F619" t="str">
        <f>IFERROR(IF(ISNUMBER('Revenues &amp; Outlays in GDP'!B625), 'Revenues &amp; Outlays in GDP'!J625, ""), "")</f>
        <v/>
      </c>
    </row>
    <row r="620" spans="1:6">
      <c r="A620" t="str">
        <f>TEXT(IF('Revenues &amp; Outlays in GDP'!B626&lt;&gt;0,'Revenues &amp; Outlays in GDP'!B626, ""), "mm/dd/yyyy")</f>
        <v/>
      </c>
      <c r="B620" t="str">
        <f>IFERROR(IF(ISNUMBER('Revenues &amp; Outlays in GDP'!G626),TEXT('Revenues &amp; Outlays in GDP'!G626, "0.00"),""), "")</f>
        <v/>
      </c>
      <c r="C620" t="str">
        <f>IFERROR(IF(ISNUMBER('Revenues &amp; Outlays in GDP'!C626),TEXT('Revenues &amp; Outlays in GDP'!C626, "0.00"),""), "")</f>
        <v/>
      </c>
      <c r="D620" t="str">
        <f>IFERROR(IF(ISNUMBER('Revenues &amp; Outlays in GDP'!H626),TEXT('Revenues &amp; Outlays in GDP'!H626, "0.00"),""), "")</f>
        <v/>
      </c>
      <c r="E620" t="str">
        <f>IFERROR(IF(ISNUMBER('Revenues &amp; Outlays in GDP'!D626),TEXT('Revenues &amp; Outlays in GDP'!D626, "0.00"),""), "")</f>
        <v/>
      </c>
      <c r="F620" t="str">
        <f>IFERROR(IF(ISNUMBER('Revenues &amp; Outlays in GDP'!B626), 'Revenues &amp; Outlays in GDP'!J626, ""), "")</f>
        <v/>
      </c>
    </row>
    <row r="621" spans="1:6">
      <c r="A621" t="str">
        <f>TEXT(IF('Revenues &amp; Outlays in GDP'!B627&lt;&gt;0,'Revenues &amp; Outlays in GDP'!B627, ""), "mm/dd/yyyy")</f>
        <v/>
      </c>
      <c r="B621" t="str">
        <f>IFERROR(IF(ISNUMBER('Revenues &amp; Outlays in GDP'!G627),TEXT('Revenues &amp; Outlays in GDP'!G627, "0.00"),""), "")</f>
        <v/>
      </c>
      <c r="C621" t="str">
        <f>IFERROR(IF(ISNUMBER('Revenues &amp; Outlays in GDP'!C627),TEXT('Revenues &amp; Outlays in GDP'!C627, "0.00"),""), "")</f>
        <v/>
      </c>
      <c r="D621" t="str">
        <f>IFERROR(IF(ISNUMBER('Revenues &amp; Outlays in GDP'!H627),TEXT('Revenues &amp; Outlays in GDP'!H627, "0.00"),""), "")</f>
        <v/>
      </c>
      <c r="E621" t="str">
        <f>IFERROR(IF(ISNUMBER('Revenues &amp; Outlays in GDP'!D627),TEXT('Revenues &amp; Outlays in GDP'!D627, "0.00"),""), "")</f>
        <v/>
      </c>
      <c r="F621" t="str">
        <f>IFERROR(IF(ISNUMBER('Revenues &amp; Outlays in GDP'!B627), 'Revenues &amp; Outlays in GDP'!J627, ""), "")</f>
        <v/>
      </c>
    </row>
    <row r="622" spans="1:6">
      <c r="A622" t="str">
        <f>TEXT(IF('Revenues &amp; Outlays in GDP'!B628&lt;&gt;0,'Revenues &amp; Outlays in GDP'!B628, ""), "mm/dd/yyyy")</f>
        <v/>
      </c>
      <c r="B622" t="str">
        <f>IFERROR(IF(ISNUMBER('Revenues &amp; Outlays in GDP'!G628),TEXT('Revenues &amp; Outlays in GDP'!G628, "0.00"),""), "")</f>
        <v/>
      </c>
      <c r="C622" t="str">
        <f>IFERROR(IF(ISNUMBER('Revenues &amp; Outlays in GDP'!C628),TEXT('Revenues &amp; Outlays in GDP'!C628, "0.00"),""), "")</f>
        <v/>
      </c>
      <c r="D622" t="str">
        <f>IFERROR(IF(ISNUMBER('Revenues &amp; Outlays in GDP'!H628),TEXT('Revenues &amp; Outlays in GDP'!H628, "0.00"),""), "")</f>
        <v/>
      </c>
      <c r="E622" t="str">
        <f>IFERROR(IF(ISNUMBER('Revenues &amp; Outlays in GDP'!D628),TEXT('Revenues &amp; Outlays in GDP'!D628, "0.00"),""), "")</f>
        <v/>
      </c>
      <c r="F622" t="str">
        <f>IFERROR(IF(ISNUMBER('Revenues &amp; Outlays in GDP'!B628), 'Revenues &amp; Outlays in GDP'!J628, ""), "")</f>
        <v/>
      </c>
    </row>
    <row r="623" spans="1:6">
      <c r="A623" t="str">
        <f>TEXT(IF('Revenues &amp; Outlays in GDP'!B629&lt;&gt;0,'Revenues &amp; Outlays in GDP'!B629, ""), "mm/dd/yyyy")</f>
        <v/>
      </c>
      <c r="B623" t="str">
        <f>IFERROR(IF(ISNUMBER('Revenues &amp; Outlays in GDP'!G629),TEXT('Revenues &amp; Outlays in GDP'!G629, "0.00"),""), "")</f>
        <v/>
      </c>
      <c r="C623" t="str">
        <f>IFERROR(IF(ISNUMBER('Revenues &amp; Outlays in GDP'!C629),TEXT('Revenues &amp; Outlays in GDP'!C629, "0.00"),""), "")</f>
        <v/>
      </c>
      <c r="D623" t="str">
        <f>IFERROR(IF(ISNUMBER('Revenues &amp; Outlays in GDP'!H629),TEXT('Revenues &amp; Outlays in GDP'!H629, "0.00"),""), "")</f>
        <v/>
      </c>
      <c r="E623" t="str">
        <f>IFERROR(IF(ISNUMBER('Revenues &amp; Outlays in GDP'!D629),TEXT('Revenues &amp; Outlays in GDP'!D629, "0.00"),""), "")</f>
        <v/>
      </c>
      <c r="F623" t="str">
        <f>IFERROR(IF(ISNUMBER('Revenues &amp; Outlays in GDP'!B629), 'Revenues &amp; Outlays in GDP'!J629, ""), "")</f>
        <v/>
      </c>
    </row>
    <row r="624" spans="1:6">
      <c r="A624" t="str">
        <f>TEXT(IF('Revenues &amp; Outlays in GDP'!B630&lt;&gt;0,'Revenues &amp; Outlays in GDP'!B630, ""), "mm/dd/yyyy")</f>
        <v/>
      </c>
      <c r="B624" t="str">
        <f>IFERROR(IF(ISNUMBER('Revenues &amp; Outlays in GDP'!G630),TEXT('Revenues &amp; Outlays in GDP'!G630, "0.00"),""), "")</f>
        <v/>
      </c>
      <c r="C624" t="str">
        <f>IFERROR(IF(ISNUMBER('Revenues &amp; Outlays in GDP'!C630),TEXT('Revenues &amp; Outlays in GDP'!C630, "0.00"),""), "")</f>
        <v/>
      </c>
      <c r="D624" t="str">
        <f>IFERROR(IF(ISNUMBER('Revenues &amp; Outlays in GDP'!H630),TEXT('Revenues &amp; Outlays in GDP'!H630, "0.00"),""), "")</f>
        <v/>
      </c>
      <c r="E624" t="str">
        <f>IFERROR(IF(ISNUMBER('Revenues &amp; Outlays in GDP'!D630),TEXT('Revenues &amp; Outlays in GDP'!D630, "0.00"),""), "")</f>
        <v/>
      </c>
      <c r="F624" t="str">
        <f>IFERROR(IF(ISNUMBER('Revenues &amp; Outlays in GDP'!B630), 'Revenues &amp; Outlays in GDP'!J630, ""), "")</f>
        <v/>
      </c>
    </row>
    <row r="625" spans="1:6">
      <c r="A625" t="str">
        <f>TEXT(IF('Revenues &amp; Outlays in GDP'!B631&lt;&gt;0,'Revenues &amp; Outlays in GDP'!B631, ""), "mm/dd/yyyy")</f>
        <v/>
      </c>
      <c r="B625" t="str">
        <f>IFERROR(IF(ISNUMBER('Revenues &amp; Outlays in GDP'!G631),TEXT('Revenues &amp; Outlays in GDP'!G631, "0.00"),""), "")</f>
        <v/>
      </c>
      <c r="C625" t="str">
        <f>IFERROR(IF(ISNUMBER('Revenues &amp; Outlays in GDP'!C631),TEXT('Revenues &amp; Outlays in GDP'!C631, "0.00"),""), "")</f>
        <v/>
      </c>
      <c r="D625" t="str">
        <f>IFERROR(IF(ISNUMBER('Revenues &amp; Outlays in GDP'!H631),TEXT('Revenues &amp; Outlays in GDP'!H631, "0.00"),""), "")</f>
        <v/>
      </c>
      <c r="E625" t="str">
        <f>IFERROR(IF(ISNUMBER('Revenues &amp; Outlays in GDP'!D631),TEXT('Revenues &amp; Outlays in GDP'!D631, "0.00"),""), "")</f>
        <v/>
      </c>
      <c r="F625" t="str">
        <f>IFERROR(IF(ISNUMBER('Revenues &amp; Outlays in GDP'!B631), 'Revenues &amp; Outlays in GDP'!J631, ""), "")</f>
        <v/>
      </c>
    </row>
    <row r="626" spans="1:6">
      <c r="A626" t="str">
        <f>TEXT(IF('Revenues &amp; Outlays in GDP'!B632&lt;&gt;0,'Revenues &amp; Outlays in GDP'!B632, ""), "mm/dd/yyyy")</f>
        <v/>
      </c>
      <c r="B626" t="str">
        <f>IFERROR(IF(ISNUMBER('Revenues &amp; Outlays in GDP'!G632),TEXT('Revenues &amp; Outlays in GDP'!G632, "0.00"),""), "")</f>
        <v/>
      </c>
      <c r="C626" t="str">
        <f>IFERROR(IF(ISNUMBER('Revenues &amp; Outlays in GDP'!C632),TEXT('Revenues &amp; Outlays in GDP'!C632, "0.00"),""), "")</f>
        <v/>
      </c>
      <c r="D626" t="str">
        <f>IFERROR(IF(ISNUMBER('Revenues &amp; Outlays in GDP'!H632),TEXT('Revenues &amp; Outlays in GDP'!H632, "0.00"),""), "")</f>
        <v/>
      </c>
      <c r="E626" t="str">
        <f>IFERROR(IF(ISNUMBER('Revenues &amp; Outlays in GDP'!D632),TEXT('Revenues &amp; Outlays in GDP'!D632, "0.00"),""), "")</f>
        <v/>
      </c>
      <c r="F626" t="str">
        <f>IFERROR(IF(ISNUMBER('Revenues &amp; Outlays in GDP'!B632), 'Revenues &amp; Outlays in GDP'!J632, ""), "")</f>
        <v/>
      </c>
    </row>
    <row r="627" spans="1:6">
      <c r="A627" t="str">
        <f>TEXT(IF('Revenues &amp; Outlays in GDP'!B633&lt;&gt;0,'Revenues &amp; Outlays in GDP'!B633, ""), "mm/dd/yyyy")</f>
        <v/>
      </c>
      <c r="B627" t="str">
        <f>IFERROR(IF(ISNUMBER('Revenues &amp; Outlays in GDP'!G633),TEXT('Revenues &amp; Outlays in GDP'!G633, "0.00"),""), "")</f>
        <v/>
      </c>
      <c r="C627" t="str">
        <f>IFERROR(IF(ISNUMBER('Revenues &amp; Outlays in GDP'!C633),TEXT('Revenues &amp; Outlays in GDP'!C633, "0.00"),""), "")</f>
        <v/>
      </c>
      <c r="D627" t="str">
        <f>IFERROR(IF(ISNUMBER('Revenues &amp; Outlays in GDP'!H633),TEXT('Revenues &amp; Outlays in GDP'!H633, "0.00"),""), "")</f>
        <v/>
      </c>
      <c r="E627" t="str">
        <f>IFERROR(IF(ISNUMBER('Revenues &amp; Outlays in GDP'!D633),TEXT('Revenues &amp; Outlays in GDP'!D633, "0.00"),""), "")</f>
        <v/>
      </c>
      <c r="F627" t="str">
        <f>IFERROR(IF(ISNUMBER('Revenues &amp; Outlays in GDP'!B633), 'Revenues &amp; Outlays in GDP'!J633, ""), "")</f>
        <v/>
      </c>
    </row>
    <row r="628" spans="1:6">
      <c r="A628" t="str">
        <f>TEXT(IF('Revenues &amp; Outlays in GDP'!B634&lt;&gt;0,'Revenues &amp; Outlays in GDP'!B634, ""), "mm/dd/yyyy")</f>
        <v/>
      </c>
      <c r="B628" t="str">
        <f>IFERROR(IF(ISNUMBER('Revenues &amp; Outlays in GDP'!G634),TEXT('Revenues &amp; Outlays in GDP'!G634, "0.00"),""), "")</f>
        <v/>
      </c>
      <c r="C628" t="str">
        <f>IFERROR(IF(ISNUMBER('Revenues &amp; Outlays in GDP'!C634),TEXT('Revenues &amp; Outlays in GDP'!C634, "0.00"),""), "")</f>
        <v/>
      </c>
      <c r="D628" t="str">
        <f>IFERROR(IF(ISNUMBER('Revenues &amp; Outlays in GDP'!H634),TEXT('Revenues &amp; Outlays in GDP'!H634, "0.00"),""), "")</f>
        <v/>
      </c>
      <c r="E628" t="str">
        <f>IFERROR(IF(ISNUMBER('Revenues &amp; Outlays in GDP'!D634),TEXT('Revenues &amp; Outlays in GDP'!D634, "0.00"),""), "")</f>
        <v/>
      </c>
      <c r="F628" t="str">
        <f>IFERROR(IF(ISNUMBER('Revenues &amp; Outlays in GDP'!B634), 'Revenues &amp; Outlays in GDP'!J634, ""), "")</f>
        <v/>
      </c>
    </row>
    <row r="629" spans="1:6">
      <c r="A629" t="str">
        <f>TEXT(IF('Revenues &amp; Outlays in GDP'!B635&lt;&gt;0,'Revenues &amp; Outlays in GDP'!B635, ""), "mm/dd/yyyy")</f>
        <v/>
      </c>
      <c r="B629" t="str">
        <f>IFERROR(IF(ISNUMBER('Revenues &amp; Outlays in GDP'!G635),TEXT('Revenues &amp; Outlays in GDP'!G635, "0.00"),""), "")</f>
        <v/>
      </c>
      <c r="C629" t="str">
        <f>IFERROR(IF(ISNUMBER('Revenues &amp; Outlays in GDP'!C635),TEXT('Revenues &amp; Outlays in GDP'!C635, "0.00"),""), "")</f>
        <v/>
      </c>
      <c r="D629" t="str">
        <f>IFERROR(IF(ISNUMBER('Revenues &amp; Outlays in GDP'!H635),TEXT('Revenues &amp; Outlays in GDP'!H635, "0.00"),""), "")</f>
        <v/>
      </c>
      <c r="E629" t="str">
        <f>IFERROR(IF(ISNUMBER('Revenues &amp; Outlays in GDP'!D635),TEXT('Revenues &amp; Outlays in GDP'!D635, "0.00"),""), "")</f>
        <v/>
      </c>
      <c r="F629" t="str">
        <f>IFERROR(IF(ISNUMBER('Revenues &amp; Outlays in GDP'!B635), 'Revenues &amp; Outlays in GDP'!J635, ""), "")</f>
        <v/>
      </c>
    </row>
    <row r="630" spans="1:6">
      <c r="A630" t="str">
        <f>TEXT(IF('Revenues &amp; Outlays in GDP'!B636&lt;&gt;0,'Revenues &amp; Outlays in GDP'!B636, ""), "mm/dd/yyyy")</f>
        <v/>
      </c>
      <c r="B630" t="str">
        <f>IFERROR(IF(ISNUMBER('Revenues &amp; Outlays in GDP'!G636),TEXT('Revenues &amp; Outlays in GDP'!G636, "0.00"),""), "")</f>
        <v/>
      </c>
      <c r="C630" t="str">
        <f>IFERROR(IF(ISNUMBER('Revenues &amp; Outlays in GDP'!C636),TEXT('Revenues &amp; Outlays in GDP'!C636, "0.00"),""), "")</f>
        <v/>
      </c>
      <c r="D630" t="str">
        <f>IFERROR(IF(ISNUMBER('Revenues &amp; Outlays in GDP'!H636),TEXT('Revenues &amp; Outlays in GDP'!H636, "0.00"),""), "")</f>
        <v/>
      </c>
      <c r="E630" t="str">
        <f>IFERROR(IF(ISNUMBER('Revenues &amp; Outlays in GDP'!D636),TEXT('Revenues &amp; Outlays in GDP'!D636, "0.00"),""), "")</f>
        <v/>
      </c>
      <c r="F630" t="str">
        <f>IFERROR(IF(ISNUMBER('Revenues &amp; Outlays in GDP'!B636), 'Revenues &amp; Outlays in GDP'!J636, ""), "")</f>
        <v/>
      </c>
    </row>
    <row r="631" spans="1:6">
      <c r="A631" t="str">
        <f>TEXT(IF('Revenues &amp; Outlays in GDP'!B637&lt;&gt;0,'Revenues &amp; Outlays in GDP'!B637, ""), "mm/dd/yyyy")</f>
        <v/>
      </c>
      <c r="B631" t="str">
        <f>IFERROR(IF(ISNUMBER('Revenues &amp; Outlays in GDP'!G637),TEXT('Revenues &amp; Outlays in GDP'!G637, "0.00"),""), "")</f>
        <v/>
      </c>
      <c r="C631" t="str">
        <f>IFERROR(IF(ISNUMBER('Revenues &amp; Outlays in GDP'!C637),TEXT('Revenues &amp; Outlays in GDP'!C637, "0.00"),""), "")</f>
        <v/>
      </c>
      <c r="D631" t="str">
        <f>IFERROR(IF(ISNUMBER('Revenues &amp; Outlays in GDP'!H637),TEXT('Revenues &amp; Outlays in GDP'!H637, "0.00"),""), "")</f>
        <v/>
      </c>
      <c r="E631" t="str">
        <f>IFERROR(IF(ISNUMBER('Revenues &amp; Outlays in GDP'!D637),TEXT('Revenues &amp; Outlays in GDP'!D637, "0.00"),""), "")</f>
        <v/>
      </c>
      <c r="F631" t="str">
        <f>IFERROR(IF(ISNUMBER('Revenues &amp; Outlays in GDP'!B637), 'Revenues &amp; Outlays in GDP'!J637, ""), "")</f>
        <v/>
      </c>
    </row>
    <row r="632" spans="1:6">
      <c r="A632" t="str">
        <f>TEXT(IF('Revenues &amp; Outlays in GDP'!B638&lt;&gt;0,'Revenues &amp; Outlays in GDP'!B638, ""), "mm/dd/yyyy")</f>
        <v/>
      </c>
      <c r="B632" t="str">
        <f>IFERROR(IF(ISNUMBER('Revenues &amp; Outlays in GDP'!G638),TEXT('Revenues &amp; Outlays in GDP'!G638, "0.00"),""), "")</f>
        <v/>
      </c>
      <c r="C632" t="str">
        <f>IFERROR(IF(ISNUMBER('Revenues &amp; Outlays in GDP'!C638),TEXT('Revenues &amp; Outlays in GDP'!C638, "0.00"),""), "")</f>
        <v/>
      </c>
      <c r="D632" t="str">
        <f>IFERROR(IF(ISNUMBER('Revenues &amp; Outlays in GDP'!H638),TEXT('Revenues &amp; Outlays in GDP'!H638, "0.00"),""), "")</f>
        <v/>
      </c>
      <c r="E632" t="str">
        <f>IFERROR(IF(ISNUMBER('Revenues &amp; Outlays in GDP'!D638),TEXT('Revenues &amp; Outlays in GDP'!D638, "0.00"),""), "")</f>
        <v/>
      </c>
      <c r="F632" t="str">
        <f>IFERROR(IF(ISNUMBER('Revenues &amp; Outlays in GDP'!B638), 'Revenues &amp; Outlays in GDP'!J638, ""), "")</f>
        <v/>
      </c>
    </row>
    <row r="633" spans="1:6">
      <c r="A633" t="str">
        <f>TEXT(IF('Revenues &amp; Outlays in GDP'!B639&lt;&gt;0,'Revenues &amp; Outlays in GDP'!B639, ""), "mm/dd/yyyy")</f>
        <v/>
      </c>
      <c r="B633" t="str">
        <f>IFERROR(IF(ISNUMBER('Revenues &amp; Outlays in GDP'!G639),TEXT('Revenues &amp; Outlays in GDP'!G639, "0.00"),""), "")</f>
        <v/>
      </c>
      <c r="C633" t="str">
        <f>IFERROR(IF(ISNUMBER('Revenues &amp; Outlays in GDP'!C639),TEXT('Revenues &amp; Outlays in GDP'!C639, "0.00"),""), "")</f>
        <v/>
      </c>
      <c r="D633" t="str">
        <f>IFERROR(IF(ISNUMBER('Revenues &amp; Outlays in GDP'!H639),TEXT('Revenues &amp; Outlays in GDP'!H639, "0.00"),""), "")</f>
        <v/>
      </c>
      <c r="E633" t="str">
        <f>IFERROR(IF(ISNUMBER('Revenues &amp; Outlays in GDP'!D639),TEXT('Revenues &amp; Outlays in GDP'!D639, "0.00"),""), "")</f>
        <v/>
      </c>
      <c r="F633" t="str">
        <f>IFERROR(IF(ISNUMBER('Revenues &amp; Outlays in GDP'!B639), 'Revenues &amp; Outlays in GDP'!J639, ""), "")</f>
        <v/>
      </c>
    </row>
    <row r="634" spans="1:6">
      <c r="A634" t="str">
        <f>TEXT(IF('Revenues &amp; Outlays in GDP'!B640&lt;&gt;0,'Revenues &amp; Outlays in GDP'!B640, ""), "mm/dd/yyyy")</f>
        <v/>
      </c>
      <c r="B634" t="str">
        <f>IFERROR(IF(ISNUMBER('Revenues &amp; Outlays in GDP'!G640),TEXT('Revenues &amp; Outlays in GDP'!G640, "0.00"),""), "")</f>
        <v/>
      </c>
      <c r="C634" t="str">
        <f>IFERROR(IF(ISNUMBER('Revenues &amp; Outlays in GDP'!C640),TEXT('Revenues &amp; Outlays in GDP'!C640, "0.00"),""), "")</f>
        <v/>
      </c>
      <c r="D634" t="str">
        <f>IFERROR(IF(ISNUMBER('Revenues &amp; Outlays in GDP'!H640),TEXT('Revenues &amp; Outlays in GDP'!H640, "0.00"),""), "")</f>
        <v/>
      </c>
      <c r="E634" t="str">
        <f>IFERROR(IF(ISNUMBER('Revenues &amp; Outlays in GDP'!D640),TEXT('Revenues &amp; Outlays in GDP'!D640, "0.00"),""), "")</f>
        <v/>
      </c>
      <c r="F634" t="str">
        <f>IFERROR(IF(ISNUMBER('Revenues &amp; Outlays in GDP'!B640), 'Revenues &amp; Outlays in GDP'!J640, ""), "")</f>
        <v/>
      </c>
    </row>
    <row r="635" spans="1:6">
      <c r="A635" t="str">
        <f>TEXT(IF('Revenues &amp; Outlays in GDP'!B641&lt;&gt;0,'Revenues &amp; Outlays in GDP'!B641, ""), "mm/dd/yyyy")</f>
        <v/>
      </c>
      <c r="B635" t="str">
        <f>IFERROR(IF(ISNUMBER('Revenues &amp; Outlays in GDP'!G641),TEXT('Revenues &amp; Outlays in GDP'!G641, "0.00"),""), "")</f>
        <v/>
      </c>
      <c r="C635" t="str">
        <f>IFERROR(IF(ISNUMBER('Revenues &amp; Outlays in GDP'!C641),TEXT('Revenues &amp; Outlays in GDP'!C641, "0.00"),""), "")</f>
        <v/>
      </c>
      <c r="D635" t="str">
        <f>IFERROR(IF(ISNUMBER('Revenues &amp; Outlays in GDP'!H641),TEXT('Revenues &amp; Outlays in GDP'!H641, "0.00"),""), "")</f>
        <v/>
      </c>
      <c r="E635" t="str">
        <f>IFERROR(IF(ISNUMBER('Revenues &amp; Outlays in GDP'!D641),TEXT('Revenues &amp; Outlays in GDP'!D641, "0.00"),""), "")</f>
        <v/>
      </c>
      <c r="F635" t="str">
        <f>IFERROR(IF(ISNUMBER('Revenues &amp; Outlays in GDP'!B641), 'Revenues &amp; Outlays in GDP'!J641, ""), "")</f>
        <v/>
      </c>
    </row>
    <row r="636" spans="1:6">
      <c r="A636" t="str">
        <f>TEXT(IF('Revenues &amp; Outlays in GDP'!B642&lt;&gt;0,'Revenues &amp; Outlays in GDP'!B642, ""), "mm/dd/yyyy")</f>
        <v/>
      </c>
      <c r="B636" t="str">
        <f>IFERROR(IF(ISNUMBER('Revenues &amp; Outlays in GDP'!G642),TEXT('Revenues &amp; Outlays in GDP'!G642, "0.00"),""), "")</f>
        <v/>
      </c>
      <c r="C636" t="str">
        <f>IFERROR(IF(ISNUMBER('Revenues &amp; Outlays in GDP'!C642),TEXT('Revenues &amp; Outlays in GDP'!C642, "0.00"),""), "")</f>
        <v/>
      </c>
      <c r="D636" t="str">
        <f>IFERROR(IF(ISNUMBER('Revenues &amp; Outlays in GDP'!H642),TEXT('Revenues &amp; Outlays in GDP'!H642, "0.00"),""), "")</f>
        <v/>
      </c>
      <c r="E636" t="str">
        <f>IFERROR(IF(ISNUMBER('Revenues &amp; Outlays in GDP'!D642),TEXT('Revenues &amp; Outlays in GDP'!D642, "0.00"),""), "")</f>
        <v/>
      </c>
      <c r="F636" t="str">
        <f>IFERROR(IF(ISNUMBER('Revenues &amp; Outlays in GDP'!B642), 'Revenues &amp; Outlays in GDP'!J642, ""), "")</f>
        <v/>
      </c>
    </row>
    <row r="637" spans="1:6">
      <c r="A637" t="str">
        <f>TEXT(IF('Revenues &amp; Outlays in GDP'!B643&lt;&gt;0,'Revenues &amp; Outlays in GDP'!B643, ""), "mm/dd/yyyy")</f>
        <v/>
      </c>
      <c r="B637" t="str">
        <f>IFERROR(IF(ISNUMBER('Revenues &amp; Outlays in GDP'!G643),TEXT('Revenues &amp; Outlays in GDP'!G643, "0.00"),""), "")</f>
        <v/>
      </c>
      <c r="C637" t="str">
        <f>IFERROR(IF(ISNUMBER('Revenues &amp; Outlays in GDP'!C643),TEXT('Revenues &amp; Outlays in GDP'!C643, "0.00"),""), "")</f>
        <v/>
      </c>
      <c r="D637" t="str">
        <f>IFERROR(IF(ISNUMBER('Revenues &amp; Outlays in GDP'!H643),TEXT('Revenues &amp; Outlays in GDP'!H643, "0.00"),""), "")</f>
        <v/>
      </c>
      <c r="E637" t="str">
        <f>IFERROR(IF(ISNUMBER('Revenues &amp; Outlays in GDP'!D643),TEXT('Revenues &amp; Outlays in GDP'!D643, "0.00"),""), "")</f>
        <v/>
      </c>
      <c r="F637" t="str">
        <f>IFERROR(IF(ISNUMBER('Revenues &amp; Outlays in GDP'!B643), 'Revenues &amp; Outlays in GDP'!J643, ""), "")</f>
        <v/>
      </c>
    </row>
    <row r="638" spans="1:6">
      <c r="A638" t="str">
        <f>TEXT(IF('Revenues &amp; Outlays in GDP'!B644&lt;&gt;0,'Revenues &amp; Outlays in GDP'!B644, ""), "mm/dd/yyyy")</f>
        <v/>
      </c>
      <c r="B638" t="str">
        <f>IFERROR(IF(ISNUMBER('Revenues &amp; Outlays in GDP'!G644),TEXT('Revenues &amp; Outlays in GDP'!G644, "0.00"),""), "")</f>
        <v/>
      </c>
      <c r="C638" t="str">
        <f>IFERROR(IF(ISNUMBER('Revenues &amp; Outlays in GDP'!C644),TEXT('Revenues &amp; Outlays in GDP'!C644, "0.00"),""), "")</f>
        <v/>
      </c>
      <c r="D638" t="str">
        <f>IFERROR(IF(ISNUMBER('Revenues &amp; Outlays in GDP'!H644),TEXT('Revenues &amp; Outlays in GDP'!H644, "0.00"),""), "")</f>
        <v/>
      </c>
      <c r="E638" t="str">
        <f>IFERROR(IF(ISNUMBER('Revenues &amp; Outlays in GDP'!D644),TEXT('Revenues &amp; Outlays in GDP'!D644, "0.00"),""), "")</f>
        <v/>
      </c>
      <c r="F638" t="str">
        <f>IFERROR(IF(ISNUMBER('Revenues &amp; Outlays in GDP'!B644), 'Revenues &amp; Outlays in GDP'!J644, ""), "")</f>
        <v/>
      </c>
    </row>
    <row r="639" spans="1:6">
      <c r="A639" t="str">
        <f>TEXT(IF('Revenues &amp; Outlays in GDP'!B645&lt;&gt;0,'Revenues &amp; Outlays in GDP'!B645, ""), "mm/dd/yyyy")</f>
        <v/>
      </c>
      <c r="B639" t="str">
        <f>IFERROR(IF(ISNUMBER('Revenues &amp; Outlays in GDP'!G645),TEXT('Revenues &amp; Outlays in GDP'!G645, "0.00"),""), "")</f>
        <v/>
      </c>
      <c r="C639" t="str">
        <f>IFERROR(IF(ISNUMBER('Revenues &amp; Outlays in GDP'!C645),TEXT('Revenues &amp; Outlays in GDP'!C645, "0.00"),""), "")</f>
        <v/>
      </c>
      <c r="D639" t="str">
        <f>IFERROR(IF(ISNUMBER('Revenues &amp; Outlays in GDP'!H645),TEXT('Revenues &amp; Outlays in GDP'!H645, "0.00"),""), "")</f>
        <v/>
      </c>
      <c r="E639" t="str">
        <f>IFERROR(IF(ISNUMBER('Revenues &amp; Outlays in GDP'!D645),TEXT('Revenues &amp; Outlays in GDP'!D645, "0.00"),""), "")</f>
        <v/>
      </c>
      <c r="F639" t="str">
        <f>IFERROR(IF(ISNUMBER('Revenues &amp; Outlays in GDP'!B645), 'Revenues &amp; Outlays in GDP'!J645, ""), "")</f>
        <v/>
      </c>
    </row>
    <row r="640" spans="1:6">
      <c r="A640" t="str">
        <f>TEXT(IF('Revenues &amp; Outlays in GDP'!B646&lt;&gt;0,'Revenues &amp; Outlays in GDP'!B646, ""), "mm/dd/yyyy")</f>
        <v/>
      </c>
      <c r="B640" t="str">
        <f>IFERROR(IF(ISNUMBER('Revenues &amp; Outlays in GDP'!G646),TEXT('Revenues &amp; Outlays in GDP'!G646, "0.00"),""), "")</f>
        <v/>
      </c>
      <c r="C640" t="str">
        <f>IFERROR(IF(ISNUMBER('Revenues &amp; Outlays in GDP'!C646),TEXT('Revenues &amp; Outlays in GDP'!C646, "0.00"),""), "")</f>
        <v/>
      </c>
      <c r="D640" t="str">
        <f>IFERROR(IF(ISNUMBER('Revenues &amp; Outlays in GDP'!H646),TEXT('Revenues &amp; Outlays in GDP'!H646, "0.00"),""), "")</f>
        <v/>
      </c>
      <c r="E640" t="str">
        <f>IFERROR(IF(ISNUMBER('Revenues &amp; Outlays in GDP'!D646),TEXT('Revenues &amp; Outlays in GDP'!D646, "0.00"),""), "")</f>
        <v/>
      </c>
      <c r="F640" t="str">
        <f>IFERROR(IF(ISNUMBER('Revenues &amp; Outlays in GDP'!B646), 'Revenues &amp; Outlays in GDP'!J646, ""), "")</f>
        <v/>
      </c>
    </row>
    <row r="641" spans="1:6">
      <c r="A641" t="str">
        <f>TEXT(IF('Revenues &amp; Outlays in GDP'!B647&lt;&gt;0,'Revenues &amp; Outlays in GDP'!B647, ""), "mm/dd/yyyy")</f>
        <v/>
      </c>
      <c r="B641" t="str">
        <f>IFERROR(IF(ISNUMBER('Revenues &amp; Outlays in GDP'!G647),TEXT('Revenues &amp; Outlays in GDP'!G647, "0.00"),""), "")</f>
        <v/>
      </c>
      <c r="C641" t="str">
        <f>IFERROR(IF(ISNUMBER('Revenues &amp; Outlays in GDP'!C647),TEXT('Revenues &amp; Outlays in GDP'!C647, "0.00"),""), "")</f>
        <v/>
      </c>
      <c r="D641" t="str">
        <f>IFERROR(IF(ISNUMBER('Revenues &amp; Outlays in GDP'!H647),TEXT('Revenues &amp; Outlays in GDP'!H647, "0.00"),""), "")</f>
        <v/>
      </c>
      <c r="E641" t="str">
        <f>IFERROR(IF(ISNUMBER('Revenues &amp; Outlays in GDP'!D647),TEXT('Revenues &amp; Outlays in GDP'!D647, "0.00"),""), "")</f>
        <v/>
      </c>
      <c r="F641" t="str">
        <f>IFERROR(IF(ISNUMBER('Revenues &amp; Outlays in GDP'!B647), 'Revenues &amp; Outlays in GDP'!J647, ""), "")</f>
        <v/>
      </c>
    </row>
    <row r="642" spans="1:6">
      <c r="A642" t="str">
        <f>TEXT(IF('Revenues &amp; Outlays in GDP'!B648&lt;&gt;0,'Revenues &amp; Outlays in GDP'!B648, ""), "mm/dd/yyyy")</f>
        <v/>
      </c>
      <c r="B642" t="str">
        <f>IFERROR(IF(ISNUMBER('Revenues &amp; Outlays in GDP'!G648),TEXT('Revenues &amp; Outlays in GDP'!G648, "0.00"),""), "")</f>
        <v/>
      </c>
      <c r="C642" t="str">
        <f>IFERROR(IF(ISNUMBER('Revenues &amp; Outlays in GDP'!C648),TEXT('Revenues &amp; Outlays in GDP'!C648, "0.00"),""), "")</f>
        <v/>
      </c>
      <c r="D642" t="str">
        <f>IFERROR(IF(ISNUMBER('Revenues &amp; Outlays in GDP'!H648),TEXT('Revenues &amp; Outlays in GDP'!H648, "0.00"),""), "")</f>
        <v/>
      </c>
      <c r="E642" t="str">
        <f>IFERROR(IF(ISNUMBER('Revenues &amp; Outlays in GDP'!D648),TEXT('Revenues &amp; Outlays in GDP'!D648, "0.00"),""), "")</f>
        <v/>
      </c>
      <c r="F642" t="str">
        <f>IFERROR(IF(ISNUMBER('Revenues &amp; Outlays in GDP'!B648), 'Revenues &amp; Outlays in GDP'!J648, ""), "")</f>
        <v/>
      </c>
    </row>
    <row r="643" spans="1:6">
      <c r="A643" t="str">
        <f>TEXT(IF('Revenues &amp; Outlays in GDP'!B649&lt;&gt;0,'Revenues &amp; Outlays in GDP'!B649, ""), "mm/dd/yyyy")</f>
        <v/>
      </c>
      <c r="B643" t="str">
        <f>IFERROR(IF(ISNUMBER('Revenues &amp; Outlays in GDP'!G649),TEXT('Revenues &amp; Outlays in GDP'!G649, "0.00"),""), "")</f>
        <v/>
      </c>
      <c r="C643" t="str">
        <f>IFERROR(IF(ISNUMBER('Revenues &amp; Outlays in GDP'!C649),TEXT('Revenues &amp; Outlays in GDP'!C649, "0.00"),""), "")</f>
        <v/>
      </c>
      <c r="D643" t="str">
        <f>IFERROR(IF(ISNUMBER('Revenues &amp; Outlays in GDP'!H649),TEXT('Revenues &amp; Outlays in GDP'!H649, "0.00"),""), "")</f>
        <v/>
      </c>
      <c r="E643" t="str">
        <f>IFERROR(IF(ISNUMBER('Revenues &amp; Outlays in GDP'!D649),TEXT('Revenues &amp; Outlays in GDP'!D649, "0.00"),""), "")</f>
        <v/>
      </c>
      <c r="F643" t="str">
        <f>IFERROR(IF(ISNUMBER('Revenues &amp; Outlays in GDP'!B649), 'Revenues &amp; Outlays in GDP'!J649, ""), "")</f>
        <v/>
      </c>
    </row>
    <row r="644" spans="1:6">
      <c r="A644" t="str">
        <f>TEXT(IF('Revenues &amp; Outlays in GDP'!B650&lt;&gt;0,'Revenues &amp; Outlays in GDP'!B650, ""), "mm/dd/yyyy")</f>
        <v/>
      </c>
      <c r="B644" t="str">
        <f>IFERROR(IF(ISNUMBER('Revenues &amp; Outlays in GDP'!G650),TEXT('Revenues &amp; Outlays in GDP'!G650, "0.00"),""), "")</f>
        <v/>
      </c>
      <c r="C644" t="str">
        <f>IFERROR(IF(ISNUMBER('Revenues &amp; Outlays in GDP'!C650),TEXT('Revenues &amp; Outlays in GDP'!C650, "0.00"),""), "")</f>
        <v/>
      </c>
      <c r="D644" t="str">
        <f>IFERROR(IF(ISNUMBER('Revenues &amp; Outlays in GDP'!H650),TEXT('Revenues &amp; Outlays in GDP'!H650, "0.00"),""), "")</f>
        <v/>
      </c>
      <c r="E644" t="str">
        <f>IFERROR(IF(ISNUMBER('Revenues &amp; Outlays in GDP'!D650),TEXT('Revenues &amp; Outlays in GDP'!D650, "0.00"),""), "")</f>
        <v/>
      </c>
      <c r="F644" t="str">
        <f>IFERROR(IF(ISNUMBER('Revenues &amp; Outlays in GDP'!B650), 'Revenues &amp; Outlays in GDP'!J650, ""), "")</f>
        <v/>
      </c>
    </row>
    <row r="645" spans="1:6">
      <c r="A645" t="str">
        <f>TEXT(IF('Revenues &amp; Outlays in GDP'!B651&lt;&gt;0,'Revenues &amp; Outlays in GDP'!B651, ""), "mm/dd/yyyy")</f>
        <v/>
      </c>
      <c r="B645" t="str">
        <f>IFERROR(IF(ISNUMBER('Revenues &amp; Outlays in GDP'!G651),TEXT('Revenues &amp; Outlays in GDP'!G651, "0.00"),""), "")</f>
        <v/>
      </c>
      <c r="C645" t="str">
        <f>IFERROR(IF(ISNUMBER('Revenues &amp; Outlays in GDP'!C651),TEXT('Revenues &amp; Outlays in GDP'!C651, "0.00"),""), "")</f>
        <v/>
      </c>
      <c r="D645" t="str">
        <f>IFERROR(IF(ISNUMBER('Revenues &amp; Outlays in GDP'!H651),TEXT('Revenues &amp; Outlays in GDP'!H651, "0.00"),""), "")</f>
        <v/>
      </c>
      <c r="E645" t="str">
        <f>IFERROR(IF(ISNUMBER('Revenues &amp; Outlays in GDP'!D651),TEXT('Revenues &amp; Outlays in GDP'!D651, "0.00"),""), "")</f>
        <v/>
      </c>
      <c r="F645" t="str">
        <f>IFERROR(IF(ISNUMBER('Revenues &amp; Outlays in GDP'!B651), 'Revenues &amp; Outlays in GDP'!J651, ""), "")</f>
        <v/>
      </c>
    </row>
    <row r="646" spans="1:6">
      <c r="A646" t="str">
        <f>TEXT(IF('Revenues &amp; Outlays in GDP'!B652&lt;&gt;0,'Revenues &amp; Outlays in GDP'!B652, ""), "mm/dd/yyyy")</f>
        <v/>
      </c>
      <c r="B646" t="str">
        <f>IFERROR(IF(ISNUMBER('Revenues &amp; Outlays in GDP'!G652),TEXT('Revenues &amp; Outlays in GDP'!G652, "0.00"),""), "")</f>
        <v/>
      </c>
      <c r="C646" t="str">
        <f>IFERROR(IF(ISNUMBER('Revenues &amp; Outlays in GDP'!C652),TEXT('Revenues &amp; Outlays in GDP'!C652, "0.00"),""), "")</f>
        <v/>
      </c>
      <c r="D646" t="str">
        <f>IFERROR(IF(ISNUMBER('Revenues &amp; Outlays in GDP'!H652),TEXT('Revenues &amp; Outlays in GDP'!H652, "0.00"),""), "")</f>
        <v/>
      </c>
      <c r="E646" t="str">
        <f>IFERROR(IF(ISNUMBER('Revenues &amp; Outlays in GDP'!D652),TEXT('Revenues &amp; Outlays in GDP'!D652, "0.00"),""), "")</f>
        <v/>
      </c>
      <c r="F646" t="str">
        <f>IFERROR(IF(ISNUMBER('Revenues &amp; Outlays in GDP'!B652), 'Revenues &amp; Outlays in GDP'!J652, ""), "")</f>
        <v/>
      </c>
    </row>
    <row r="647" spans="1:6">
      <c r="A647" t="str">
        <f>TEXT(IF('Revenues &amp; Outlays in GDP'!B653&lt;&gt;0,'Revenues &amp; Outlays in GDP'!B653, ""), "mm/dd/yyyy")</f>
        <v/>
      </c>
      <c r="B647" t="str">
        <f>IFERROR(IF(ISNUMBER('Revenues &amp; Outlays in GDP'!G653),TEXT('Revenues &amp; Outlays in GDP'!G653, "0.00"),""), "")</f>
        <v/>
      </c>
      <c r="C647" t="str">
        <f>IFERROR(IF(ISNUMBER('Revenues &amp; Outlays in GDP'!C653),TEXT('Revenues &amp; Outlays in GDP'!C653, "0.00"),""), "")</f>
        <v/>
      </c>
      <c r="D647" t="str">
        <f>IFERROR(IF(ISNUMBER('Revenues &amp; Outlays in GDP'!H653),TEXT('Revenues &amp; Outlays in GDP'!H653, "0.00"),""), "")</f>
        <v/>
      </c>
      <c r="E647" t="str">
        <f>IFERROR(IF(ISNUMBER('Revenues &amp; Outlays in GDP'!D653),TEXT('Revenues &amp; Outlays in GDP'!D653, "0.00"),""), "")</f>
        <v/>
      </c>
      <c r="F647" t="str">
        <f>IFERROR(IF(ISNUMBER('Revenues &amp; Outlays in GDP'!B653), 'Revenues &amp; Outlays in GDP'!J653, ""), "")</f>
        <v/>
      </c>
    </row>
    <row r="648" spans="1:6">
      <c r="A648" t="str">
        <f>TEXT(IF('Revenues &amp; Outlays in GDP'!B654&lt;&gt;0,'Revenues &amp; Outlays in GDP'!B654, ""), "mm/dd/yyyy")</f>
        <v/>
      </c>
      <c r="B648" t="str">
        <f>IFERROR(IF(ISNUMBER('Revenues &amp; Outlays in GDP'!G654),TEXT('Revenues &amp; Outlays in GDP'!G654, "0.00"),""), "")</f>
        <v/>
      </c>
      <c r="C648" t="str">
        <f>IFERROR(IF(ISNUMBER('Revenues &amp; Outlays in GDP'!C654),TEXT('Revenues &amp; Outlays in GDP'!C654, "0.00"),""), "")</f>
        <v/>
      </c>
      <c r="D648" t="str">
        <f>IFERROR(IF(ISNUMBER('Revenues &amp; Outlays in GDP'!H654),TEXT('Revenues &amp; Outlays in GDP'!H654, "0.00"),""), "")</f>
        <v/>
      </c>
      <c r="E648" t="str">
        <f>IFERROR(IF(ISNUMBER('Revenues &amp; Outlays in GDP'!D654),TEXT('Revenues &amp; Outlays in GDP'!D654, "0.00"),""), "")</f>
        <v/>
      </c>
      <c r="F648" t="str">
        <f>IFERROR(IF(ISNUMBER('Revenues &amp; Outlays in GDP'!B654), 'Revenues &amp; Outlays in GDP'!J654, ""), "")</f>
        <v/>
      </c>
    </row>
    <row r="649" spans="1:6">
      <c r="A649" t="str">
        <f>TEXT(IF('Revenues &amp; Outlays in GDP'!B655&lt;&gt;0,'Revenues &amp; Outlays in GDP'!B655, ""), "mm/dd/yyyy")</f>
        <v/>
      </c>
      <c r="B649" t="str">
        <f>IFERROR(IF(ISNUMBER('Revenues &amp; Outlays in GDP'!G655),TEXT('Revenues &amp; Outlays in GDP'!G655, "0.00"),""), "")</f>
        <v/>
      </c>
      <c r="C649" t="str">
        <f>IFERROR(IF(ISNUMBER('Revenues &amp; Outlays in GDP'!C655),TEXT('Revenues &amp; Outlays in GDP'!C655, "0.00"),""), "")</f>
        <v/>
      </c>
      <c r="D649" t="str">
        <f>IFERROR(IF(ISNUMBER('Revenues &amp; Outlays in GDP'!H655),TEXT('Revenues &amp; Outlays in GDP'!H655, "0.00"),""), "")</f>
        <v/>
      </c>
      <c r="E649" t="str">
        <f>IFERROR(IF(ISNUMBER('Revenues &amp; Outlays in GDP'!D655),TEXT('Revenues &amp; Outlays in GDP'!D655, "0.00"),""), "")</f>
        <v/>
      </c>
      <c r="F649" t="str">
        <f>IFERROR(IF(ISNUMBER('Revenues &amp; Outlays in GDP'!B655), 'Revenues &amp; Outlays in GDP'!J655, ""), "")</f>
        <v/>
      </c>
    </row>
    <row r="650" spans="1:6">
      <c r="A650" t="str">
        <f>TEXT(IF('Revenues &amp; Outlays in GDP'!B656&lt;&gt;0,'Revenues &amp; Outlays in GDP'!B656, ""), "mm/dd/yyyy")</f>
        <v/>
      </c>
      <c r="B650" t="str">
        <f>IFERROR(IF(ISNUMBER('Revenues &amp; Outlays in GDP'!G656),TEXT('Revenues &amp; Outlays in GDP'!G656, "0.00"),""), "")</f>
        <v/>
      </c>
      <c r="C650" t="str">
        <f>IFERROR(IF(ISNUMBER('Revenues &amp; Outlays in GDP'!C656),TEXT('Revenues &amp; Outlays in GDP'!C656, "0.00"),""), "")</f>
        <v/>
      </c>
      <c r="D650" t="str">
        <f>IFERROR(IF(ISNUMBER('Revenues &amp; Outlays in GDP'!H656),TEXT('Revenues &amp; Outlays in GDP'!H656, "0.00"),""), "")</f>
        <v/>
      </c>
      <c r="E650" t="str">
        <f>IFERROR(IF(ISNUMBER('Revenues &amp; Outlays in GDP'!D656),TEXT('Revenues &amp; Outlays in GDP'!D656, "0.00"),""), "")</f>
        <v/>
      </c>
      <c r="F650" t="str">
        <f>IFERROR(IF(ISNUMBER('Revenues &amp; Outlays in GDP'!B656), 'Revenues &amp; Outlays in GDP'!J656, ""), "")</f>
        <v/>
      </c>
    </row>
    <row r="651" spans="1:6">
      <c r="A651" t="str">
        <f>TEXT(IF('Revenues &amp; Outlays in GDP'!B657&lt;&gt;0,'Revenues &amp; Outlays in GDP'!B657, ""), "mm/dd/yyyy")</f>
        <v/>
      </c>
      <c r="B651" t="str">
        <f>IFERROR(IF(ISNUMBER('Revenues &amp; Outlays in GDP'!G657),TEXT('Revenues &amp; Outlays in GDP'!G657, "0.00"),""), "")</f>
        <v/>
      </c>
      <c r="C651" t="str">
        <f>IFERROR(IF(ISNUMBER('Revenues &amp; Outlays in GDP'!C657),TEXT('Revenues &amp; Outlays in GDP'!C657, "0.00"),""), "")</f>
        <v/>
      </c>
      <c r="D651" t="str">
        <f>IFERROR(IF(ISNUMBER('Revenues &amp; Outlays in GDP'!H657),TEXT('Revenues &amp; Outlays in GDP'!H657, "0.00"),""), "")</f>
        <v/>
      </c>
      <c r="E651" t="str">
        <f>IFERROR(IF(ISNUMBER('Revenues &amp; Outlays in GDP'!D657),TEXT('Revenues &amp; Outlays in GDP'!D657, "0.00"),""), "")</f>
        <v/>
      </c>
      <c r="F651" t="str">
        <f>IFERROR(IF(ISNUMBER('Revenues &amp; Outlays in GDP'!B657), 'Revenues &amp; Outlays in GDP'!J657, ""), "")</f>
        <v/>
      </c>
    </row>
    <row r="652" spans="1:6">
      <c r="A652" t="str">
        <f>TEXT(IF('Revenues &amp; Outlays in GDP'!B658&lt;&gt;0,'Revenues &amp; Outlays in GDP'!B658, ""), "mm/dd/yyyy")</f>
        <v/>
      </c>
      <c r="B652" t="str">
        <f>IFERROR(IF(ISNUMBER('Revenues &amp; Outlays in GDP'!G658),TEXT('Revenues &amp; Outlays in GDP'!G658, "0.00"),""), "")</f>
        <v/>
      </c>
      <c r="C652" t="str">
        <f>IFERROR(IF(ISNUMBER('Revenues &amp; Outlays in GDP'!C658),TEXT('Revenues &amp; Outlays in GDP'!C658, "0.00"),""), "")</f>
        <v/>
      </c>
      <c r="D652" t="str">
        <f>IFERROR(IF(ISNUMBER('Revenues &amp; Outlays in GDP'!H658),TEXT('Revenues &amp; Outlays in GDP'!H658, "0.00"),""), "")</f>
        <v/>
      </c>
      <c r="E652" t="str">
        <f>IFERROR(IF(ISNUMBER('Revenues &amp; Outlays in GDP'!D658),TEXT('Revenues &amp; Outlays in GDP'!D658, "0.00"),""), "")</f>
        <v/>
      </c>
      <c r="F652" t="str">
        <f>IFERROR(IF(ISNUMBER('Revenues &amp; Outlays in GDP'!B658), 'Revenues &amp; Outlays in GDP'!J658, ""), "")</f>
        <v/>
      </c>
    </row>
    <row r="653" spans="1:6">
      <c r="A653" t="str">
        <f>TEXT(IF('Revenues &amp; Outlays in GDP'!B659&lt;&gt;0,'Revenues &amp; Outlays in GDP'!B659, ""), "mm/dd/yyyy")</f>
        <v/>
      </c>
      <c r="B653" t="str">
        <f>IFERROR(IF(ISNUMBER('Revenues &amp; Outlays in GDP'!G659),TEXT('Revenues &amp; Outlays in GDP'!G659, "0.00"),""), "")</f>
        <v/>
      </c>
      <c r="C653" t="str">
        <f>IFERROR(IF(ISNUMBER('Revenues &amp; Outlays in GDP'!C659),TEXT('Revenues &amp; Outlays in GDP'!C659, "0.00"),""), "")</f>
        <v/>
      </c>
      <c r="D653" t="str">
        <f>IFERROR(IF(ISNUMBER('Revenues &amp; Outlays in GDP'!H659),TEXT('Revenues &amp; Outlays in GDP'!H659, "0.00"),""), "")</f>
        <v/>
      </c>
      <c r="E653" t="str">
        <f>IFERROR(IF(ISNUMBER('Revenues &amp; Outlays in GDP'!D659),TEXT('Revenues &amp; Outlays in GDP'!D659, "0.00"),""), "")</f>
        <v/>
      </c>
      <c r="F653" t="str">
        <f>IFERROR(IF(ISNUMBER('Revenues &amp; Outlays in GDP'!B659), 'Revenues &amp; Outlays in GDP'!J659, ""), "")</f>
        <v/>
      </c>
    </row>
    <row r="654" spans="1:6">
      <c r="A654" t="str">
        <f>TEXT(IF('Revenues &amp; Outlays in GDP'!B660&lt;&gt;0,'Revenues &amp; Outlays in GDP'!B660, ""), "mm/dd/yyyy")</f>
        <v/>
      </c>
      <c r="B654" t="str">
        <f>IFERROR(IF(ISNUMBER('Revenues &amp; Outlays in GDP'!G660),TEXT('Revenues &amp; Outlays in GDP'!G660, "0.00"),""), "")</f>
        <v/>
      </c>
      <c r="C654" t="str">
        <f>IFERROR(IF(ISNUMBER('Revenues &amp; Outlays in GDP'!C660),TEXT('Revenues &amp; Outlays in GDP'!C660, "0.00"),""), "")</f>
        <v/>
      </c>
      <c r="D654" t="str">
        <f>IFERROR(IF(ISNUMBER('Revenues &amp; Outlays in GDP'!H660),TEXT('Revenues &amp; Outlays in GDP'!H660, "0.00"),""), "")</f>
        <v/>
      </c>
      <c r="E654" t="str">
        <f>IFERROR(IF(ISNUMBER('Revenues &amp; Outlays in GDP'!D660),TEXT('Revenues &amp; Outlays in GDP'!D660, "0.00"),""), "")</f>
        <v/>
      </c>
      <c r="F654" t="str">
        <f>IFERROR(IF(ISNUMBER('Revenues &amp; Outlays in GDP'!B660), 'Revenues &amp; Outlays in GDP'!J660, ""), "")</f>
        <v/>
      </c>
    </row>
    <row r="655" spans="1:6">
      <c r="A655" t="str">
        <f>TEXT(IF('Revenues &amp; Outlays in GDP'!B661&lt;&gt;0,'Revenues &amp; Outlays in GDP'!B661, ""), "mm/dd/yyyy")</f>
        <v/>
      </c>
      <c r="B655" t="str">
        <f>IFERROR(IF(ISNUMBER('Revenues &amp; Outlays in GDP'!G661),TEXT('Revenues &amp; Outlays in GDP'!G661, "0.00"),""), "")</f>
        <v/>
      </c>
      <c r="C655" t="str">
        <f>IFERROR(IF(ISNUMBER('Revenues &amp; Outlays in GDP'!C661),TEXT('Revenues &amp; Outlays in GDP'!C661, "0.00"),""), "")</f>
        <v/>
      </c>
      <c r="D655" t="str">
        <f>IFERROR(IF(ISNUMBER('Revenues &amp; Outlays in GDP'!H661),TEXT('Revenues &amp; Outlays in GDP'!H661, "0.00"),""), "")</f>
        <v/>
      </c>
      <c r="E655" t="str">
        <f>IFERROR(IF(ISNUMBER('Revenues &amp; Outlays in GDP'!D661),TEXT('Revenues &amp; Outlays in GDP'!D661, "0.00"),""), "")</f>
        <v/>
      </c>
      <c r="F655" t="str">
        <f>IFERROR(IF(ISNUMBER('Revenues &amp; Outlays in GDP'!B661), 'Revenues &amp; Outlays in GDP'!J661, ""), "")</f>
        <v/>
      </c>
    </row>
    <row r="656" spans="1:6">
      <c r="A656" t="str">
        <f>TEXT(IF('Revenues &amp; Outlays in GDP'!B662&lt;&gt;0,'Revenues &amp; Outlays in GDP'!B662, ""), "mm/dd/yyyy")</f>
        <v/>
      </c>
      <c r="B656" t="str">
        <f>IFERROR(IF(ISNUMBER('Revenues &amp; Outlays in GDP'!G662),TEXT('Revenues &amp; Outlays in GDP'!G662, "0.00"),""), "")</f>
        <v/>
      </c>
      <c r="C656" t="str">
        <f>IFERROR(IF(ISNUMBER('Revenues &amp; Outlays in GDP'!C662),TEXT('Revenues &amp; Outlays in GDP'!C662, "0.00"),""), "")</f>
        <v/>
      </c>
      <c r="D656" t="str">
        <f>IFERROR(IF(ISNUMBER('Revenues &amp; Outlays in GDP'!H662),TEXT('Revenues &amp; Outlays in GDP'!H662, "0.00"),""), "")</f>
        <v/>
      </c>
      <c r="E656" t="str">
        <f>IFERROR(IF(ISNUMBER('Revenues &amp; Outlays in GDP'!D662),TEXT('Revenues &amp; Outlays in GDP'!D662, "0.00"),""), "")</f>
        <v/>
      </c>
      <c r="F656" t="str">
        <f>IFERROR(IF(ISNUMBER('Revenues &amp; Outlays in GDP'!B662), 'Revenues &amp; Outlays in GDP'!J662, ""), "")</f>
        <v/>
      </c>
    </row>
    <row r="657" spans="1:6">
      <c r="A657" t="str">
        <f>TEXT(IF('Revenues &amp; Outlays in GDP'!B663&lt;&gt;0,'Revenues &amp; Outlays in GDP'!B663, ""), "mm/dd/yyyy")</f>
        <v/>
      </c>
      <c r="B657" t="str">
        <f>IFERROR(IF(ISNUMBER('Revenues &amp; Outlays in GDP'!G663),TEXT('Revenues &amp; Outlays in GDP'!G663, "0.00"),""), "")</f>
        <v/>
      </c>
      <c r="C657" t="str">
        <f>IFERROR(IF(ISNUMBER('Revenues &amp; Outlays in GDP'!C663),TEXT('Revenues &amp; Outlays in GDP'!C663, "0.00"),""), "")</f>
        <v/>
      </c>
      <c r="D657" t="str">
        <f>IFERROR(IF(ISNUMBER('Revenues &amp; Outlays in GDP'!H663),TEXT('Revenues &amp; Outlays in GDP'!H663, "0.00"),""), "")</f>
        <v/>
      </c>
      <c r="E657" t="str">
        <f>IFERROR(IF(ISNUMBER('Revenues &amp; Outlays in GDP'!D663),TEXT('Revenues &amp; Outlays in GDP'!D663, "0.00"),""), "")</f>
        <v/>
      </c>
      <c r="F657" t="str">
        <f>IFERROR(IF(ISNUMBER('Revenues &amp; Outlays in GDP'!B663), 'Revenues &amp; Outlays in GDP'!J663, ""), "")</f>
        <v/>
      </c>
    </row>
    <row r="658" spans="1:6">
      <c r="A658" t="str">
        <f>TEXT(IF('Revenues &amp; Outlays in GDP'!B664&lt;&gt;0,'Revenues &amp; Outlays in GDP'!B664, ""), "mm/dd/yyyy")</f>
        <v/>
      </c>
      <c r="B658" t="str">
        <f>IFERROR(IF(ISNUMBER('Revenues &amp; Outlays in GDP'!G664),TEXT('Revenues &amp; Outlays in GDP'!G664, "0.00"),""), "")</f>
        <v/>
      </c>
      <c r="C658" t="str">
        <f>IFERROR(IF(ISNUMBER('Revenues &amp; Outlays in GDP'!C664),TEXT('Revenues &amp; Outlays in GDP'!C664, "0.00"),""), "")</f>
        <v/>
      </c>
      <c r="D658" t="str">
        <f>IFERROR(IF(ISNUMBER('Revenues &amp; Outlays in GDP'!H664),TEXT('Revenues &amp; Outlays in GDP'!H664, "0.00"),""), "")</f>
        <v/>
      </c>
      <c r="E658" t="str">
        <f>IFERROR(IF(ISNUMBER('Revenues &amp; Outlays in GDP'!D664),TEXT('Revenues &amp; Outlays in GDP'!D664, "0.00"),""), "")</f>
        <v/>
      </c>
      <c r="F658" t="str">
        <f>IFERROR(IF(ISNUMBER('Revenues &amp; Outlays in GDP'!B664), 'Revenues &amp; Outlays in GDP'!J664, ""), "")</f>
        <v/>
      </c>
    </row>
    <row r="659" spans="1:6">
      <c r="A659" t="str">
        <f>TEXT(IF('Revenues &amp; Outlays in GDP'!B665&lt;&gt;0,'Revenues &amp; Outlays in GDP'!B665, ""), "mm/dd/yyyy")</f>
        <v/>
      </c>
      <c r="B659" t="str">
        <f>IFERROR(IF(ISNUMBER('Revenues &amp; Outlays in GDP'!G665),TEXT('Revenues &amp; Outlays in GDP'!G665, "0.00"),""), "")</f>
        <v/>
      </c>
      <c r="C659" t="str">
        <f>IFERROR(IF(ISNUMBER('Revenues &amp; Outlays in GDP'!C665),TEXT('Revenues &amp; Outlays in GDP'!C665, "0.00"),""), "")</f>
        <v/>
      </c>
      <c r="D659" t="str">
        <f>IFERROR(IF(ISNUMBER('Revenues &amp; Outlays in GDP'!H665),TEXT('Revenues &amp; Outlays in GDP'!H665, "0.00"),""), "")</f>
        <v/>
      </c>
      <c r="E659" t="str">
        <f>IFERROR(IF(ISNUMBER('Revenues &amp; Outlays in GDP'!D665),TEXT('Revenues &amp; Outlays in GDP'!D665, "0.00"),""), "")</f>
        <v/>
      </c>
      <c r="F659" t="str">
        <f>IFERROR(IF(ISNUMBER('Revenues &amp; Outlays in GDP'!B665), 'Revenues &amp; Outlays in GDP'!J665, ""), "")</f>
        <v/>
      </c>
    </row>
    <row r="660" spans="1:6">
      <c r="A660" t="str">
        <f>TEXT(IF('Revenues &amp; Outlays in GDP'!B666&lt;&gt;0,'Revenues &amp; Outlays in GDP'!B666, ""), "mm/dd/yyyy")</f>
        <v/>
      </c>
      <c r="B660" t="str">
        <f>IFERROR(IF(ISNUMBER('Revenues &amp; Outlays in GDP'!G666),TEXT('Revenues &amp; Outlays in GDP'!G666, "0.00"),""), "")</f>
        <v/>
      </c>
      <c r="C660" t="str">
        <f>IFERROR(IF(ISNUMBER('Revenues &amp; Outlays in GDP'!C666),TEXT('Revenues &amp; Outlays in GDP'!C666, "0.00"),""), "")</f>
        <v/>
      </c>
      <c r="D660" t="str">
        <f>IFERROR(IF(ISNUMBER('Revenues &amp; Outlays in GDP'!H666),TEXT('Revenues &amp; Outlays in GDP'!H666, "0.00"),""), "")</f>
        <v/>
      </c>
      <c r="E660" t="str">
        <f>IFERROR(IF(ISNUMBER('Revenues &amp; Outlays in GDP'!D666),TEXT('Revenues &amp; Outlays in GDP'!D666, "0.00"),""), "")</f>
        <v/>
      </c>
      <c r="F660" t="str">
        <f>IFERROR(IF(ISNUMBER('Revenues &amp; Outlays in GDP'!B666), 'Revenues &amp; Outlays in GDP'!J666, ""), "")</f>
        <v/>
      </c>
    </row>
    <row r="661" spans="1:6">
      <c r="A661" t="str">
        <f>TEXT(IF('Revenues &amp; Outlays in GDP'!B667&lt;&gt;0,'Revenues &amp; Outlays in GDP'!B667, ""), "mm/dd/yyyy")</f>
        <v/>
      </c>
      <c r="B661" t="str">
        <f>IFERROR(IF(ISNUMBER('Revenues &amp; Outlays in GDP'!G667),TEXT('Revenues &amp; Outlays in GDP'!G667, "0.00"),""), "")</f>
        <v/>
      </c>
      <c r="C661" t="str">
        <f>IFERROR(IF(ISNUMBER('Revenues &amp; Outlays in GDP'!C667),TEXT('Revenues &amp; Outlays in GDP'!C667, "0.00"),""), "")</f>
        <v/>
      </c>
      <c r="D661" t="str">
        <f>IFERROR(IF(ISNUMBER('Revenues &amp; Outlays in GDP'!H667),TEXT('Revenues &amp; Outlays in GDP'!H667, "0.00"),""), "")</f>
        <v/>
      </c>
      <c r="E661" t="str">
        <f>IFERROR(IF(ISNUMBER('Revenues &amp; Outlays in GDP'!D667),TEXT('Revenues &amp; Outlays in GDP'!D667, "0.00"),""), "")</f>
        <v/>
      </c>
      <c r="F661" t="str">
        <f>IFERROR(IF(ISNUMBER('Revenues &amp; Outlays in GDP'!B667), 'Revenues &amp; Outlays in GDP'!J667, ""), "")</f>
        <v/>
      </c>
    </row>
    <row r="662" spans="1:6">
      <c r="A662" t="str">
        <f>TEXT(IF('Revenues &amp; Outlays in GDP'!B668&lt;&gt;0,'Revenues &amp; Outlays in GDP'!B668, ""), "mm/dd/yyyy")</f>
        <v/>
      </c>
      <c r="B662" t="str">
        <f>IFERROR(IF(ISNUMBER('Revenues &amp; Outlays in GDP'!G668),TEXT('Revenues &amp; Outlays in GDP'!G668, "0.00"),""), "")</f>
        <v/>
      </c>
      <c r="C662" t="str">
        <f>IFERROR(IF(ISNUMBER('Revenues &amp; Outlays in GDP'!C668),TEXT('Revenues &amp; Outlays in GDP'!C668, "0.00"),""), "")</f>
        <v/>
      </c>
      <c r="D662" t="str">
        <f>IFERROR(IF(ISNUMBER('Revenues &amp; Outlays in GDP'!H668),TEXT('Revenues &amp; Outlays in GDP'!H668, "0.00"),""), "")</f>
        <v/>
      </c>
      <c r="E662" t="str">
        <f>IFERROR(IF(ISNUMBER('Revenues &amp; Outlays in GDP'!D668),TEXT('Revenues &amp; Outlays in GDP'!D668, "0.00"),""), "")</f>
        <v/>
      </c>
      <c r="F662" t="str">
        <f>IFERROR(IF(ISNUMBER('Revenues &amp; Outlays in GDP'!B668), 'Revenues &amp; Outlays in GDP'!J668, ""), "")</f>
        <v/>
      </c>
    </row>
    <row r="663" spans="1:6">
      <c r="A663" t="str">
        <f>TEXT(IF('Revenues &amp; Outlays in GDP'!B669&lt;&gt;0,'Revenues &amp; Outlays in GDP'!B669, ""), "mm/dd/yyyy")</f>
        <v/>
      </c>
      <c r="B663" t="str">
        <f>IFERROR(IF(ISNUMBER('Revenues &amp; Outlays in GDP'!G669),TEXT('Revenues &amp; Outlays in GDP'!G669, "0.00"),""), "")</f>
        <v/>
      </c>
      <c r="C663" t="str">
        <f>IFERROR(IF(ISNUMBER('Revenues &amp; Outlays in GDP'!C669),TEXT('Revenues &amp; Outlays in GDP'!C669, "0.00"),""), "")</f>
        <v/>
      </c>
      <c r="D663" t="str">
        <f>IFERROR(IF(ISNUMBER('Revenues &amp; Outlays in GDP'!H669),TEXT('Revenues &amp; Outlays in GDP'!H669, "0.00"),""), "")</f>
        <v/>
      </c>
      <c r="E663" t="str">
        <f>IFERROR(IF(ISNUMBER('Revenues &amp; Outlays in GDP'!D669),TEXT('Revenues &amp; Outlays in GDP'!D669, "0.00"),""), "")</f>
        <v/>
      </c>
      <c r="F663" t="str">
        <f>IFERROR(IF(ISNUMBER('Revenues &amp; Outlays in GDP'!B669), 'Revenues &amp; Outlays in GDP'!J669, ""), "")</f>
        <v/>
      </c>
    </row>
    <row r="664" spans="1:6">
      <c r="A664" t="str">
        <f>TEXT(IF('Revenues &amp; Outlays in GDP'!B670&lt;&gt;0,'Revenues &amp; Outlays in GDP'!B670, ""), "mm/dd/yyyy")</f>
        <v/>
      </c>
      <c r="B664" t="str">
        <f>IFERROR(IF(ISNUMBER('Revenues &amp; Outlays in GDP'!G670),TEXT('Revenues &amp; Outlays in GDP'!G670, "0.00"),""), "")</f>
        <v/>
      </c>
      <c r="C664" t="str">
        <f>IFERROR(IF(ISNUMBER('Revenues &amp; Outlays in GDP'!C670),TEXT('Revenues &amp; Outlays in GDP'!C670, "0.00"),""), "")</f>
        <v/>
      </c>
      <c r="D664" t="str">
        <f>IFERROR(IF(ISNUMBER('Revenues &amp; Outlays in GDP'!H670),TEXT('Revenues &amp; Outlays in GDP'!H670, "0.00"),""), "")</f>
        <v/>
      </c>
      <c r="E664" t="str">
        <f>IFERROR(IF(ISNUMBER('Revenues &amp; Outlays in GDP'!D670),TEXT('Revenues &amp; Outlays in GDP'!D670, "0.00"),""), "")</f>
        <v/>
      </c>
      <c r="F664" t="str">
        <f>IFERROR(IF(ISNUMBER('Revenues &amp; Outlays in GDP'!B670), 'Revenues &amp; Outlays in GDP'!J670, ""), "")</f>
        <v/>
      </c>
    </row>
    <row r="665" spans="1:6">
      <c r="A665" t="str">
        <f>TEXT(IF('Revenues &amp; Outlays in GDP'!B671&lt;&gt;0,'Revenues &amp; Outlays in GDP'!B671, ""), "mm/dd/yyyy")</f>
        <v/>
      </c>
      <c r="B665" t="str">
        <f>IFERROR(IF(ISNUMBER('Revenues &amp; Outlays in GDP'!G671),TEXT('Revenues &amp; Outlays in GDP'!G671, "0.00"),""), "")</f>
        <v/>
      </c>
      <c r="C665" t="str">
        <f>IFERROR(IF(ISNUMBER('Revenues &amp; Outlays in GDP'!C671),TEXT('Revenues &amp; Outlays in GDP'!C671, "0.00"),""), "")</f>
        <v/>
      </c>
      <c r="D665" t="str">
        <f>IFERROR(IF(ISNUMBER('Revenues &amp; Outlays in GDP'!H671),TEXT('Revenues &amp; Outlays in GDP'!H671, "0.00"),""), "")</f>
        <v/>
      </c>
      <c r="E665" t="str">
        <f>IFERROR(IF(ISNUMBER('Revenues &amp; Outlays in GDP'!D671),TEXT('Revenues &amp; Outlays in GDP'!D671, "0.00"),""), "")</f>
        <v/>
      </c>
      <c r="F665" t="str">
        <f>IFERROR(IF(ISNUMBER('Revenues &amp; Outlays in GDP'!B671), 'Revenues &amp; Outlays in GDP'!J671, ""), "")</f>
        <v/>
      </c>
    </row>
    <row r="666" spans="1:6">
      <c r="A666" t="str">
        <f>TEXT(IF('Revenues &amp; Outlays in GDP'!B672&lt;&gt;0,'Revenues &amp; Outlays in GDP'!B672, ""), "mm/dd/yyyy")</f>
        <v/>
      </c>
      <c r="B666" t="str">
        <f>IFERROR(IF(ISNUMBER('Revenues &amp; Outlays in GDP'!G672),TEXT('Revenues &amp; Outlays in GDP'!G672, "0.00"),""), "")</f>
        <v/>
      </c>
      <c r="C666" t="str">
        <f>IFERROR(IF(ISNUMBER('Revenues &amp; Outlays in GDP'!C672),TEXT('Revenues &amp; Outlays in GDP'!C672, "0.00"),""), "")</f>
        <v/>
      </c>
      <c r="D666" t="str">
        <f>IFERROR(IF(ISNUMBER('Revenues &amp; Outlays in GDP'!H672),TEXT('Revenues &amp; Outlays in GDP'!H672, "0.00"),""), "")</f>
        <v/>
      </c>
      <c r="E666" t="str">
        <f>IFERROR(IF(ISNUMBER('Revenues &amp; Outlays in GDP'!D672),TEXT('Revenues &amp; Outlays in GDP'!D672, "0.00"),""), "")</f>
        <v/>
      </c>
      <c r="F666" t="str">
        <f>IFERROR(IF(ISNUMBER('Revenues &amp; Outlays in GDP'!B672), 'Revenues &amp; Outlays in GDP'!J672, ""), "")</f>
        <v/>
      </c>
    </row>
    <row r="667" spans="1:6">
      <c r="A667" t="str">
        <f>TEXT(IF('Revenues &amp; Outlays in GDP'!B673&lt;&gt;0,'Revenues &amp; Outlays in GDP'!B673, ""), "mm/dd/yyyy")</f>
        <v/>
      </c>
      <c r="B667" t="str">
        <f>IFERROR(IF(ISNUMBER('Revenues &amp; Outlays in GDP'!G673),TEXT('Revenues &amp; Outlays in GDP'!G673, "0.00"),""), "")</f>
        <v/>
      </c>
      <c r="C667" t="str">
        <f>IFERROR(IF(ISNUMBER('Revenues &amp; Outlays in GDP'!C673),TEXT('Revenues &amp; Outlays in GDP'!C673, "0.00"),""), "")</f>
        <v/>
      </c>
      <c r="D667" t="str">
        <f>IFERROR(IF(ISNUMBER('Revenues &amp; Outlays in GDP'!H673),TEXT('Revenues &amp; Outlays in GDP'!H673, "0.00"),""), "")</f>
        <v/>
      </c>
      <c r="E667" t="str">
        <f>IFERROR(IF(ISNUMBER('Revenues &amp; Outlays in GDP'!D673),TEXT('Revenues &amp; Outlays in GDP'!D673, "0.00"),""), "")</f>
        <v/>
      </c>
      <c r="F667" t="str">
        <f>IFERROR(IF(ISNUMBER('Revenues &amp; Outlays in GDP'!B673), 'Revenues &amp; Outlays in GDP'!J673, ""), "")</f>
        <v/>
      </c>
    </row>
    <row r="668" spans="1:6">
      <c r="A668" t="str">
        <f>TEXT(IF('Revenues &amp; Outlays in GDP'!B674&lt;&gt;0,'Revenues &amp; Outlays in GDP'!B674, ""), "mm/dd/yyyy")</f>
        <v/>
      </c>
      <c r="B668" t="str">
        <f>IFERROR(IF(ISNUMBER('Revenues &amp; Outlays in GDP'!G674),TEXT('Revenues &amp; Outlays in GDP'!G674, "0.00"),""), "")</f>
        <v/>
      </c>
      <c r="C668" t="str">
        <f>IFERROR(IF(ISNUMBER('Revenues &amp; Outlays in GDP'!C674),TEXT('Revenues &amp; Outlays in GDP'!C674, "0.00"),""), "")</f>
        <v/>
      </c>
      <c r="D668" t="str">
        <f>IFERROR(IF(ISNUMBER('Revenues &amp; Outlays in GDP'!H674),TEXT('Revenues &amp; Outlays in GDP'!H674, "0.00"),""), "")</f>
        <v/>
      </c>
      <c r="E668" t="str">
        <f>IFERROR(IF(ISNUMBER('Revenues &amp; Outlays in GDP'!D674),TEXT('Revenues &amp; Outlays in GDP'!D674, "0.00"),""), "")</f>
        <v/>
      </c>
      <c r="F668" t="str">
        <f>IFERROR(IF(ISNUMBER('Revenues &amp; Outlays in GDP'!B674), 'Revenues &amp; Outlays in GDP'!J674, ""), "")</f>
        <v/>
      </c>
    </row>
    <row r="669" spans="1:6">
      <c r="A669" t="str">
        <f>TEXT(IF('Revenues &amp; Outlays in GDP'!B675&lt;&gt;0,'Revenues &amp; Outlays in GDP'!B675, ""), "mm/dd/yyyy")</f>
        <v/>
      </c>
      <c r="B669" t="str">
        <f>IFERROR(IF(ISNUMBER('Revenues &amp; Outlays in GDP'!G675),TEXT('Revenues &amp; Outlays in GDP'!G675, "0.00"),""), "")</f>
        <v/>
      </c>
      <c r="C669" t="str">
        <f>IFERROR(IF(ISNUMBER('Revenues &amp; Outlays in GDP'!C675),TEXT('Revenues &amp; Outlays in GDP'!C675, "0.00"),""), "")</f>
        <v/>
      </c>
      <c r="D669" t="str">
        <f>IFERROR(IF(ISNUMBER('Revenues &amp; Outlays in GDP'!H675),TEXT('Revenues &amp; Outlays in GDP'!H675, "0.00"),""), "")</f>
        <v/>
      </c>
      <c r="E669" t="str">
        <f>IFERROR(IF(ISNUMBER('Revenues &amp; Outlays in GDP'!D675),TEXT('Revenues &amp; Outlays in GDP'!D675, "0.00"),""), "")</f>
        <v/>
      </c>
      <c r="F669" t="str">
        <f>IFERROR(IF(ISNUMBER('Revenues &amp; Outlays in GDP'!B675), 'Revenues &amp; Outlays in GDP'!J675, ""), "")</f>
        <v/>
      </c>
    </row>
    <row r="670" spans="1:6">
      <c r="A670" t="str">
        <f>TEXT(IF('Revenues &amp; Outlays in GDP'!B676&lt;&gt;0,'Revenues &amp; Outlays in GDP'!B676, ""), "mm/dd/yyyy")</f>
        <v/>
      </c>
      <c r="B670" t="str">
        <f>IFERROR(IF(ISNUMBER('Revenues &amp; Outlays in GDP'!G676),TEXT('Revenues &amp; Outlays in GDP'!G676, "0.00"),""), "")</f>
        <v/>
      </c>
      <c r="C670" t="str">
        <f>IFERROR(IF(ISNUMBER('Revenues &amp; Outlays in GDP'!C676),TEXT('Revenues &amp; Outlays in GDP'!C676, "0.00"),""), "")</f>
        <v/>
      </c>
      <c r="D670" t="str">
        <f>IFERROR(IF(ISNUMBER('Revenues &amp; Outlays in GDP'!H676),TEXT('Revenues &amp; Outlays in GDP'!H676, "0.00"),""), "")</f>
        <v/>
      </c>
      <c r="E670" t="str">
        <f>IFERROR(IF(ISNUMBER('Revenues &amp; Outlays in GDP'!D676),TEXT('Revenues &amp; Outlays in GDP'!D676, "0.00"),""), "")</f>
        <v/>
      </c>
      <c r="F670" t="str">
        <f>IFERROR(IF(ISNUMBER('Revenues &amp; Outlays in GDP'!B676), 'Revenues &amp; Outlays in GDP'!J676, ""), "")</f>
        <v/>
      </c>
    </row>
    <row r="671" spans="1:6">
      <c r="A671" t="str">
        <f>TEXT(IF('Revenues &amp; Outlays in GDP'!B677&lt;&gt;0,'Revenues &amp; Outlays in GDP'!B677, ""), "mm/dd/yyyy")</f>
        <v/>
      </c>
      <c r="B671" t="str">
        <f>IFERROR(IF(ISNUMBER('Revenues &amp; Outlays in GDP'!G677),TEXT('Revenues &amp; Outlays in GDP'!G677, "0.00"),""), "")</f>
        <v/>
      </c>
      <c r="C671" t="str">
        <f>IFERROR(IF(ISNUMBER('Revenues &amp; Outlays in GDP'!C677),TEXT('Revenues &amp; Outlays in GDP'!C677, "0.00"),""), "")</f>
        <v/>
      </c>
      <c r="D671" t="str">
        <f>IFERROR(IF(ISNUMBER('Revenues &amp; Outlays in GDP'!H677),TEXT('Revenues &amp; Outlays in GDP'!H677, "0.00"),""), "")</f>
        <v/>
      </c>
      <c r="E671" t="str">
        <f>IFERROR(IF(ISNUMBER('Revenues &amp; Outlays in GDP'!D677),TEXT('Revenues &amp; Outlays in GDP'!D677, "0.00"),""), "")</f>
        <v/>
      </c>
      <c r="F671" t="str">
        <f>IFERROR(IF(ISNUMBER('Revenues &amp; Outlays in GDP'!B677), 'Revenues &amp; Outlays in GDP'!J677, ""), "")</f>
        <v/>
      </c>
    </row>
    <row r="672" spans="1:6">
      <c r="A672" t="str">
        <f>TEXT(IF('Revenues &amp; Outlays in GDP'!B678&lt;&gt;0,'Revenues &amp; Outlays in GDP'!B678, ""), "mm/dd/yyyy")</f>
        <v/>
      </c>
      <c r="B672" t="str">
        <f>IFERROR(IF(ISNUMBER('Revenues &amp; Outlays in GDP'!G678),TEXT('Revenues &amp; Outlays in GDP'!G678, "0.00"),""), "")</f>
        <v/>
      </c>
      <c r="C672" t="str">
        <f>IFERROR(IF(ISNUMBER('Revenues &amp; Outlays in GDP'!C678),TEXT('Revenues &amp; Outlays in GDP'!C678, "0.00"),""), "")</f>
        <v/>
      </c>
      <c r="D672" t="str">
        <f>IFERROR(IF(ISNUMBER('Revenues &amp; Outlays in GDP'!H678),TEXT('Revenues &amp; Outlays in GDP'!H678, "0.00"),""), "")</f>
        <v/>
      </c>
      <c r="E672" t="str">
        <f>IFERROR(IF(ISNUMBER('Revenues &amp; Outlays in GDP'!D678),TEXT('Revenues &amp; Outlays in GDP'!D678, "0.00"),""), "")</f>
        <v/>
      </c>
      <c r="F672" t="str">
        <f>IFERROR(IF(ISNUMBER('Revenues &amp; Outlays in GDP'!B678), 'Revenues &amp; Outlays in GDP'!J678, ""), "")</f>
        <v/>
      </c>
    </row>
    <row r="673" spans="1:6">
      <c r="A673" t="str">
        <f>TEXT(IF('Revenues &amp; Outlays in GDP'!B679&lt;&gt;0,'Revenues &amp; Outlays in GDP'!B679, ""), "mm/dd/yyyy")</f>
        <v/>
      </c>
      <c r="B673" t="str">
        <f>IFERROR(IF(ISNUMBER('Revenues &amp; Outlays in GDP'!G679),TEXT('Revenues &amp; Outlays in GDP'!G679, "0.00"),""), "")</f>
        <v/>
      </c>
      <c r="C673" t="str">
        <f>IFERROR(IF(ISNUMBER('Revenues &amp; Outlays in GDP'!C679),TEXT('Revenues &amp; Outlays in GDP'!C679, "0.00"),""), "")</f>
        <v/>
      </c>
      <c r="D673" t="str">
        <f>IFERROR(IF(ISNUMBER('Revenues &amp; Outlays in GDP'!H679),TEXT('Revenues &amp; Outlays in GDP'!H679, "0.00"),""), "")</f>
        <v/>
      </c>
      <c r="E673" t="str">
        <f>IFERROR(IF(ISNUMBER('Revenues &amp; Outlays in GDP'!D679),TEXT('Revenues &amp; Outlays in GDP'!D679, "0.00"),""), "")</f>
        <v/>
      </c>
      <c r="F673" t="str">
        <f>IFERROR(IF(ISNUMBER('Revenues &amp; Outlays in GDP'!B679), 'Revenues &amp; Outlays in GDP'!J679, ""), "")</f>
        <v/>
      </c>
    </row>
    <row r="674" spans="1:6">
      <c r="A674" t="str">
        <f>TEXT(IF('Revenues &amp; Outlays in GDP'!B680&lt;&gt;0,'Revenues &amp; Outlays in GDP'!B680, ""), "mm/dd/yyyy")</f>
        <v/>
      </c>
      <c r="B674" t="str">
        <f>IFERROR(IF(ISNUMBER('Revenues &amp; Outlays in GDP'!G680),TEXT('Revenues &amp; Outlays in GDP'!G680, "0.00"),""), "")</f>
        <v/>
      </c>
      <c r="C674" t="str">
        <f>IFERROR(IF(ISNUMBER('Revenues &amp; Outlays in GDP'!C680),TEXT('Revenues &amp; Outlays in GDP'!C680, "0.00"),""), "")</f>
        <v/>
      </c>
      <c r="D674" t="str">
        <f>IFERROR(IF(ISNUMBER('Revenues &amp; Outlays in GDP'!H680),TEXT('Revenues &amp; Outlays in GDP'!H680, "0.00"),""), "")</f>
        <v/>
      </c>
      <c r="E674" t="str">
        <f>IFERROR(IF(ISNUMBER('Revenues &amp; Outlays in GDP'!D680),TEXT('Revenues &amp; Outlays in GDP'!D680, "0.00"),""), "")</f>
        <v/>
      </c>
      <c r="F674" t="str">
        <f>IFERROR(IF(ISNUMBER('Revenues &amp; Outlays in GDP'!B680), 'Revenues &amp; Outlays in GDP'!J680, ""), "")</f>
        <v/>
      </c>
    </row>
    <row r="675" spans="1:6">
      <c r="A675" t="str">
        <f>TEXT(IF('Revenues &amp; Outlays in GDP'!B681&lt;&gt;0,'Revenues &amp; Outlays in GDP'!B681, ""), "mm/dd/yyyy")</f>
        <v/>
      </c>
      <c r="B675" t="str">
        <f>IFERROR(IF(ISNUMBER('Revenues &amp; Outlays in GDP'!G681),TEXT('Revenues &amp; Outlays in GDP'!G681, "0.00"),""), "")</f>
        <v/>
      </c>
      <c r="C675" t="str">
        <f>IFERROR(IF(ISNUMBER('Revenues &amp; Outlays in GDP'!C681),TEXT('Revenues &amp; Outlays in GDP'!C681, "0.00"),""), "")</f>
        <v/>
      </c>
      <c r="D675" t="str">
        <f>IFERROR(IF(ISNUMBER('Revenues &amp; Outlays in GDP'!H681),TEXT('Revenues &amp; Outlays in GDP'!H681, "0.00"),""), "")</f>
        <v/>
      </c>
      <c r="E675" t="str">
        <f>IFERROR(IF(ISNUMBER('Revenues &amp; Outlays in GDP'!D681),TEXT('Revenues &amp; Outlays in GDP'!D681, "0.00"),""), "")</f>
        <v/>
      </c>
      <c r="F675" t="str">
        <f>IFERROR(IF(ISNUMBER('Revenues &amp; Outlays in GDP'!B681), 'Revenues &amp; Outlays in GDP'!J681, ""), "")</f>
        <v/>
      </c>
    </row>
    <row r="676" spans="1:6">
      <c r="A676" t="str">
        <f>TEXT(IF('Revenues &amp; Outlays in GDP'!B682&lt;&gt;0,'Revenues &amp; Outlays in GDP'!B682, ""), "mm/dd/yyyy")</f>
        <v/>
      </c>
      <c r="B676" t="str">
        <f>IFERROR(IF(ISNUMBER('Revenues &amp; Outlays in GDP'!G682),TEXT('Revenues &amp; Outlays in GDP'!G682, "0.00"),""), "")</f>
        <v/>
      </c>
      <c r="C676" t="str">
        <f>IFERROR(IF(ISNUMBER('Revenues &amp; Outlays in GDP'!C682),TEXT('Revenues &amp; Outlays in GDP'!C682, "0.00"),""), "")</f>
        <v/>
      </c>
      <c r="D676" t="str">
        <f>IFERROR(IF(ISNUMBER('Revenues &amp; Outlays in GDP'!H682),TEXT('Revenues &amp; Outlays in GDP'!H682, "0.00"),""), "")</f>
        <v/>
      </c>
      <c r="E676" t="str">
        <f>IFERROR(IF(ISNUMBER('Revenues &amp; Outlays in GDP'!D682),TEXT('Revenues &amp; Outlays in GDP'!D682, "0.00"),""), "")</f>
        <v/>
      </c>
      <c r="F676" t="str">
        <f>IFERROR(IF(ISNUMBER('Revenues &amp; Outlays in GDP'!B682), 'Revenues &amp; Outlays in GDP'!J682, ""), "")</f>
        <v/>
      </c>
    </row>
    <row r="677" spans="1:6">
      <c r="A677" t="str">
        <f>TEXT(IF('Revenues &amp; Outlays in GDP'!B683&lt;&gt;0,'Revenues &amp; Outlays in GDP'!B683, ""), "mm/dd/yyyy")</f>
        <v/>
      </c>
      <c r="B677" t="str">
        <f>IFERROR(IF(ISNUMBER('Revenues &amp; Outlays in GDP'!G683),TEXT('Revenues &amp; Outlays in GDP'!G683, "0.00"),""), "")</f>
        <v/>
      </c>
      <c r="C677" t="str">
        <f>IFERROR(IF(ISNUMBER('Revenues &amp; Outlays in GDP'!C683),TEXT('Revenues &amp; Outlays in GDP'!C683, "0.00"),""), "")</f>
        <v/>
      </c>
      <c r="D677" t="str">
        <f>IFERROR(IF(ISNUMBER('Revenues &amp; Outlays in GDP'!H683),TEXT('Revenues &amp; Outlays in GDP'!H683, "0.00"),""), "")</f>
        <v/>
      </c>
      <c r="E677" t="str">
        <f>IFERROR(IF(ISNUMBER('Revenues &amp; Outlays in GDP'!D683),TEXT('Revenues &amp; Outlays in GDP'!D683, "0.00"),""), "")</f>
        <v/>
      </c>
      <c r="F677" t="str">
        <f>IFERROR(IF(ISNUMBER('Revenues &amp; Outlays in GDP'!B683), 'Revenues &amp; Outlays in GDP'!J683, ""), "")</f>
        <v/>
      </c>
    </row>
    <row r="678" spans="1:6">
      <c r="A678" t="str">
        <f>TEXT(IF('Revenues &amp; Outlays in GDP'!B684&lt;&gt;0,'Revenues &amp; Outlays in GDP'!B684, ""), "mm/dd/yyyy")</f>
        <v/>
      </c>
      <c r="B678" t="str">
        <f>IFERROR(IF(ISNUMBER('Revenues &amp; Outlays in GDP'!G684),TEXT('Revenues &amp; Outlays in GDP'!G684, "0.00"),""), "")</f>
        <v/>
      </c>
      <c r="C678" t="str">
        <f>IFERROR(IF(ISNUMBER('Revenues &amp; Outlays in GDP'!C684),TEXT('Revenues &amp; Outlays in GDP'!C684, "0.00"),""), "")</f>
        <v/>
      </c>
      <c r="D678" t="str">
        <f>IFERROR(IF(ISNUMBER('Revenues &amp; Outlays in GDP'!H684),TEXT('Revenues &amp; Outlays in GDP'!H684, "0.00"),""), "")</f>
        <v/>
      </c>
      <c r="E678" t="str">
        <f>IFERROR(IF(ISNUMBER('Revenues &amp; Outlays in GDP'!D684),TEXT('Revenues &amp; Outlays in GDP'!D684, "0.00"),""), "")</f>
        <v/>
      </c>
      <c r="F678" t="str">
        <f>IFERROR(IF(ISNUMBER('Revenues &amp; Outlays in GDP'!B684), 'Revenues &amp; Outlays in GDP'!J684, ""), "")</f>
        <v/>
      </c>
    </row>
    <row r="679" spans="1:6">
      <c r="A679" t="str">
        <f>TEXT(IF('Revenues &amp; Outlays in GDP'!B685&lt;&gt;0,'Revenues &amp; Outlays in GDP'!B685, ""), "mm/dd/yyyy")</f>
        <v/>
      </c>
      <c r="B679" t="str">
        <f>IFERROR(IF(ISNUMBER('Revenues &amp; Outlays in GDP'!G685),TEXT('Revenues &amp; Outlays in GDP'!G685, "0.00"),""), "")</f>
        <v/>
      </c>
      <c r="C679" t="str">
        <f>IFERROR(IF(ISNUMBER('Revenues &amp; Outlays in GDP'!C685),TEXT('Revenues &amp; Outlays in GDP'!C685, "0.00"),""), "")</f>
        <v/>
      </c>
      <c r="D679" t="str">
        <f>IFERROR(IF(ISNUMBER('Revenues &amp; Outlays in GDP'!H685),TEXT('Revenues &amp; Outlays in GDP'!H685, "0.00"),""), "")</f>
        <v/>
      </c>
      <c r="E679" t="str">
        <f>IFERROR(IF(ISNUMBER('Revenues &amp; Outlays in GDP'!D685),TEXT('Revenues &amp; Outlays in GDP'!D685, "0.00"),""), "")</f>
        <v/>
      </c>
      <c r="F679" t="str">
        <f>IFERROR(IF(ISNUMBER('Revenues &amp; Outlays in GDP'!B685), 'Revenues &amp; Outlays in GDP'!J685, ""), "")</f>
        <v/>
      </c>
    </row>
    <row r="680" spans="1:6">
      <c r="A680" t="str">
        <f>TEXT(IF('Revenues &amp; Outlays in GDP'!B686&lt;&gt;0,'Revenues &amp; Outlays in GDP'!B686, ""), "mm/dd/yyyy")</f>
        <v/>
      </c>
      <c r="B680" t="str">
        <f>IFERROR(IF(ISNUMBER('Revenues &amp; Outlays in GDP'!G686),TEXT('Revenues &amp; Outlays in GDP'!G686, "0.00"),""), "")</f>
        <v/>
      </c>
      <c r="C680" t="str">
        <f>IFERROR(IF(ISNUMBER('Revenues &amp; Outlays in GDP'!C686),TEXT('Revenues &amp; Outlays in GDP'!C686, "0.00"),""), "")</f>
        <v/>
      </c>
      <c r="D680" t="str">
        <f>IFERROR(IF(ISNUMBER('Revenues &amp; Outlays in GDP'!H686),TEXT('Revenues &amp; Outlays in GDP'!H686, "0.00"),""), "")</f>
        <v/>
      </c>
      <c r="E680" t="str">
        <f>IFERROR(IF(ISNUMBER('Revenues &amp; Outlays in GDP'!D686),TEXT('Revenues &amp; Outlays in GDP'!D686, "0.00"),""), "")</f>
        <v/>
      </c>
      <c r="F680" t="str">
        <f>IFERROR(IF(ISNUMBER('Revenues &amp; Outlays in GDP'!B686), 'Revenues &amp; Outlays in GDP'!J686, ""), "")</f>
        <v/>
      </c>
    </row>
    <row r="681" spans="1:6">
      <c r="A681" t="str">
        <f>TEXT(IF('Revenues &amp; Outlays in GDP'!B687&lt;&gt;0,'Revenues &amp; Outlays in GDP'!B687, ""), "mm/dd/yyyy")</f>
        <v/>
      </c>
      <c r="B681" t="str">
        <f>IFERROR(IF(ISNUMBER('Revenues &amp; Outlays in GDP'!G687),TEXT('Revenues &amp; Outlays in GDP'!G687, "0.00"),""), "")</f>
        <v/>
      </c>
      <c r="C681" t="str">
        <f>IFERROR(IF(ISNUMBER('Revenues &amp; Outlays in GDP'!C687),TEXT('Revenues &amp; Outlays in GDP'!C687, "0.00"),""), "")</f>
        <v/>
      </c>
      <c r="D681" t="str">
        <f>IFERROR(IF(ISNUMBER('Revenues &amp; Outlays in GDP'!H687),TEXT('Revenues &amp; Outlays in GDP'!H687, "0.00"),""), "")</f>
        <v/>
      </c>
      <c r="E681" t="str">
        <f>IFERROR(IF(ISNUMBER('Revenues &amp; Outlays in GDP'!D687),TEXT('Revenues &amp; Outlays in GDP'!D687, "0.00"),""), "")</f>
        <v/>
      </c>
      <c r="F681" t="str">
        <f>IFERROR(IF(ISNUMBER('Revenues &amp; Outlays in GDP'!B687), 'Revenues &amp; Outlays in GDP'!J687, ""), "")</f>
        <v/>
      </c>
    </row>
    <row r="682" spans="1:6">
      <c r="A682" t="str">
        <f>TEXT(IF('Revenues &amp; Outlays in GDP'!B688&lt;&gt;0,'Revenues &amp; Outlays in GDP'!B688, ""), "mm/dd/yyyy")</f>
        <v/>
      </c>
      <c r="B682" t="str">
        <f>IFERROR(IF(ISNUMBER('Revenues &amp; Outlays in GDP'!G688),TEXT('Revenues &amp; Outlays in GDP'!G688, "0.00"),""), "")</f>
        <v/>
      </c>
      <c r="C682" t="str">
        <f>IFERROR(IF(ISNUMBER('Revenues &amp; Outlays in GDP'!C688),TEXT('Revenues &amp; Outlays in GDP'!C688, "0.00"),""), "")</f>
        <v/>
      </c>
      <c r="D682" t="str">
        <f>IFERROR(IF(ISNUMBER('Revenues &amp; Outlays in GDP'!H688),TEXT('Revenues &amp; Outlays in GDP'!H688, "0.00"),""), "")</f>
        <v/>
      </c>
      <c r="E682" t="str">
        <f>IFERROR(IF(ISNUMBER('Revenues &amp; Outlays in GDP'!D688),TEXT('Revenues &amp; Outlays in GDP'!D688, "0.00"),""), "")</f>
        <v/>
      </c>
      <c r="F682" t="str">
        <f>IFERROR(IF(ISNUMBER('Revenues &amp; Outlays in GDP'!B688), 'Revenues &amp; Outlays in GDP'!J688, ""), "")</f>
        <v/>
      </c>
    </row>
    <row r="683" spans="1:6">
      <c r="A683" t="str">
        <f>TEXT(IF('Revenues &amp; Outlays in GDP'!B689&lt;&gt;0,'Revenues &amp; Outlays in GDP'!B689, ""), "mm/dd/yyyy")</f>
        <v/>
      </c>
      <c r="B683" t="str">
        <f>IFERROR(IF(ISNUMBER('Revenues &amp; Outlays in GDP'!G689),TEXT('Revenues &amp; Outlays in GDP'!G689, "0.00"),""), "")</f>
        <v/>
      </c>
      <c r="C683" t="str">
        <f>IFERROR(IF(ISNUMBER('Revenues &amp; Outlays in GDP'!C689),TEXT('Revenues &amp; Outlays in GDP'!C689, "0.00"),""), "")</f>
        <v/>
      </c>
      <c r="D683" t="str">
        <f>IFERROR(IF(ISNUMBER('Revenues &amp; Outlays in GDP'!H689),TEXT('Revenues &amp; Outlays in GDP'!H689, "0.00"),""), "")</f>
        <v/>
      </c>
      <c r="E683" t="str">
        <f>IFERROR(IF(ISNUMBER('Revenues &amp; Outlays in GDP'!D689),TEXT('Revenues &amp; Outlays in GDP'!D689, "0.00"),""), "")</f>
        <v/>
      </c>
      <c r="F683" t="str">
        <f>IFERROR(IF(ISNUMBER('Revenues &amp; Outlays in GDP'!B689), 'Revenues &amp; Outlays in GDP'!J689, ""), "")</f>
        <v/>
      </c>
    </row>
    <row r="684" spans="1:6">
      <c r="A684" t="str">
        <f>TEXT(IF('Revenues &amp; Outlays in GDP'!B690&lt;&gt;0,'Revenues &amp; Outlays in GDP'!B690, ""), "mm/dd/yyyy")</f>
        <v/>
      </c>
      <c r="B684" t="str">
        <f>IFERROR(IF(ISNUMBER('Revenues &amp; Outlays in GDP'!G690),TEXT('Revenues &amp; Outlays in GDP'!G690, "0.00"),""), "")</f>
        <v/>
      </c>
      <c r="C684" t="str">
        <f>IFERROR(IF(ISNUMBER('Revenues &amp; Outlays in GDP'!C690),TEXT('Revenues &amp; Outlays in GDP'!C690, "0.00"),""), "")</f>
        <v/>
      </c>
      <c r="D684" t="str">
        <f>IFERROR(IF(ISNUMBER('Revenues &amp; Outlays in GDP'!H690),TEXT('Revenues &amp; Outlays in GDP'!H690, "0.00"),""), "")</f>
        <v/>
      </c>
      <c r="E684" t="str">
        <f>IFERROR(IF(ISNUMBER('Revenues &amp; Outlays in GDP'!D690),TEXT('Revenues &amp; Outlays in GDP'!D690, "0.00"),""), "")</f>
        <v/>
      </c>
      <c r="F684" t="str">
        <f>IFERROR(IF(ISNUMBER('Revenues &amp; Outlays in GDP'!B690), 'Revenues &amp; Outlays in GDP'!J690, ""), "")</f>
        <v/>
      </c>
    </row>
    <row r="685" spans="1:6">
      <c r="A685" t="str">
        <f>TEXT(IF('Revenues &amp; Outlays in GDP'!B691&lt;&gt;0,'Revenues &amp; Outlays in GDP'!B691, ""), "mm/dd/yyyy")</f>
        <v/>
      </c>
      <c r="B685" t="str">
        <f>IFERROR(IF(ISNUMBER('Revenues &amp; Outlays in GDP'!G691),TEXT('Revenues &amp; Outlays in GDP'!G691, "0.00"),""), "")</f>
        <v/>
      </c>
      <c r="C685" t="str">
        <f>IFERROR(IF(ISNUMBER('Revenues &amp; Outlays in GDP'!C691),TEXT('Revenues &amp; Outlays in GDP'!C691, "0.00"),""), "")</f>
        <v/>
      </c>
      <c r="D685" t="str">
        <f>IFERROR(IF(ISNUMBER('Revenues &amp; Outlays in GDP'!H691),TEXT('Revenues &amp; Outlays in GDP'!H691, "0.00"),""), "")</f>
        <v/>
      </c>
      <c r="E685" t="str">
        <f>IFERROR(IF(ISNUMBER('Revenues &amp; Outlays in GDP'!D691),TEXT('Revenues &amp; Outlays in GDP'!D691, "0.00"),""), "")</f>
        <v/>
      </c>
      <c r="F685" t="str">
        <f>IFERROR(IF(ISNUMBER('Revenues &amp; Outlays in GDP'!B691), 'Revenues &amp; Outlays in GDP'!J691, ""), "")</f>
        <v/>
      </c>
    </row>
    <row r="686" spans="1:6">
      <c r="A686" t="str">
        <f>TEXT(IF('Revenues &amp; Outlays in GDP'!B692&lt;&gt;0,'Revenues &amp; Outlays in GDP'!B692, ""), "mm/dd/yyyy")</f>
        <v/>
      </c>
      <c r="B686" t="str">
        <f>IFERROR(IF(ISNUMBER('Revenues &amp; Outlays in GDP'!G692),TEXT('Revenues &amp; Outlays in GDP'!G692, "0.00"),""), "")</f>
        <v/>
      </c>
      <c r="C686" t="str">
        <f>IFERROR(IF(ISNUMBER('Revenues &amp; Outlays in GDP'!C692),TEXT('Revenues &amp; Outlays in GDP'!C692, "0.00"),""), "")</f>
        <v/>
      </c>
      <c r="D686" t="str">
        <f>IFERROR(IF(ISNUMBER('Revenues &amp; Outlays in GDP'!H692),TEXT('Revenues &amp; Outlays in GDP'!H692, "0.00"),""), "")</f>
        <v/>
      </c>
      <c r="E686" t="str">
        <f>IFERROR(IF(ISNUMBER('Revenues &amp; Outlays in GDP'!D692),TEXT('Revenues &amp; Outlays in GDP'!D692, "0.00"),""), "")</f>
        <v/>
      </c>
      <c r="F686" t="str">
        <f>IFERROR(IF(ISNUMBER('Revenues &amp; Outlays in GDP'!B692), 'Revenues &amp; Outlays in GDP'!J692, ""), "")</f>
        <v/>
      </c>
    </row>
    <row r="687" spans="1:6">
      <c r="A687" t="str">
        <f>TEXT(IF('Revenues &amp; Outlays in GDP'!B693&lt;&gt;0,'Revenues &amp; Outlays in GDP'!B693, ""), "mm/dd/yyyy")</f>
        <v/>
      </c>
      <c r="B687" t="str">
        <f>IFERROR(IF(ISNUMBER('Revenues &amp; Outlays in GDP'!G693),TEXT('Revenues &amp; Outlays in GDP'!G693, "0.00"),""), "")</f>
        <v/>
      </c>
      <c r="C687" t="str">
        <f>IFERROR(IF(ISNUMBER('Revenues &amp; Outlays in GDP'!C693),TEXT('Revenues &amp; Outlays in GDP'!C693, "0.00"),""), "")</f>
        <v/>
      </c>
      <c r="D687" t="str">
        <f>IFERROR(IF(ISNUMBER('Revenues &amp; Outlays in GDP'!H693),TEXT('Revenues &amp; Outlays in GDP'!H693, "0.00"),""), "")</f>
        <v/>
      </c>
      <c r="E687" t="str">
        <f>IFERROR(IF(ISNUMBER('Revenues &amp; Outlays in GDP'!D693),TEXT('Revenues &amp; Outlays in GDP'!D693, "0.00"),""), "")</f>
        <v/>
      </c>
      <c r="F687" t="str">
        <f>IFERROR(IF(ISNUMBER('Revenues &amp; Outlays in GDP'!B693), 'Revenues &amp; Outlays in GDP'!J693, ""), "")</f>
        <v/>
      </c>
    </row>
    <row r="688" spans="1:6">
      <c r="A688" t="str">
        <f>TEXT(IF('Revenues &amp; Outlays in GDP'!B694&lt;&gt;0,'Revenues &amp; Outlays in GDP'!B694, ""), "mm/dd/yyyy")</f>
        <v/>
      </c>
      <c r="B688" t="str">
        <f>IFERROR(IF(ISNUMBER('Revenues &amp; Outlays in GDP'!G694),TEXT('Revenues &amp; Outlays in GDP'!G694, "0.00"),""), "")</f>
        <v/>
      </c>
      <c r="C688" t="str">
        <f>IFERROR(IF(ISNUMBER('Revenues &amp; Outlays in GDP'!C694),TEXT('Revenues &amp; Outlays in GDP'!C694, "0.00"),""), "")</f>
        <v/>
      </c>
      <c r="D688" t="str">
        <f>IFERROR(IF(ISNUMBER('Revenues &amp; Outlays in GDP'!H694),TEXT('Revenues &amp; Outlays in GDP'!H694, "0.00"),""), "")</f>
        <v/>
      </c>
      <c r="E688" t="str">
        <f>IFERROR(IF(ISNUMBER('Revenues &amp; Outlays in GDP'!D694),TEXT('Revenues &amp; Outlays in GDP'!D694, "0.00"),""), "")</f>
        <v/>
      </c>
      <c r="F688" t="str">
        <f>IFERROR(IF(ISNUMBER('Revenues &amp; Outlays in GDP'!B694), 'Revenues &amp; Outlays in GDP'!J694, ""), "")</f>
        <v/>
      </c>
    </row>
    <row r="689" spans="1:6">
      <c r="A689" t="str">
        <f>TEXT(IF('Revenues &amp; Outlays in GDP'!B695&lt;&gt;0,'Revenues &amp; Outlays in GDP'!B695, ""), "mm/dd/yyyy")</f>
        <v/>
      </c>
      <c r="B689" t="str">
        <f>IFERROR(IF(ISNUMBER('Revenues &amp; Outlays in GDP'!G695),TEXT('Revenues &amp; Outlays in GDP'!G695, "0.00"),""), "")</f>
        <v/>
      </c>
      <c r="C689" t="str">
        <f>IFERROR(IF(ISNUMBER('Revenues &amp; Outlays in GDP'!C695),TEXT('Revenues &amp; Outlays in GDP'!C695, "0.00"),""), "")</f>
        <v/>
      </c>
      <c r="D689" t="str">
        <f>IFERROR(IF(ISNUMBER('Revenues &amp; Outlays in GDP'!H695),TEXT('Revenues &amp; Outlays in GDP'!H695, "0.00"),""), "")</f>
        <v/>
      </c>
      <c r="E689" t="str">
        <f>IFERROR(IF(ISNUMBER('Revenues &amp; Outlays in GDP'!D695),TEXT('Revenues &amp; Outlays in GDP'!D695, "0.00"),""), "")</f>
        <v/>
      </c>
      <c r="F689" t="str">
        <f>IFERROR(IF(ISNUMBER('Revenues &amp; Outlays in GDP'!B695), 'Revenues &amp; Outlays in GDP'!J695, ""), "")</f>
        <v/>
      </c>
    </row>
    <row r="690" spans="1:6">
      <c r="A690" t="str">
        <f>TEXT(IF('Revenues &amp; Outlays in GDP'!B696&lt;&gt;0,'Revenues &amp; Outlays in GDP'!B696, ""), "mm/dd/yyyy")</f>
        <v/>
      </c>
      <c r="B690" t="str">
        <f>IFERROR(IF(ISNUMBER('Revenues &amp; Outlays in GDP'!G696),TEXT('Revenues &amp; Outlays in GDP'!G696, "0.00"),""), "")</f>
        <v/>
      </c>
      <c r="C690" t="str">
        <f>IFERROR(IF(ISNUMBER('Revenues &amp; Outlays in GDP'!C696),TEXT('Revenues &amp; Outlays in GDP'!C696, "0.00"),""), "")</f>
        <v/>
      </c>
      <c r="D690" t="str">
        <f>IFERROR(IF(ISNUMBER('Revenues &amp; Outlays in GDP'!H696),TEXT('Revenues &amp; Outlays in GDP'!H696, "0.00"),""), "")</f>
        <v/>
      </c>
      <c r="E690" t="str">
        <f>IFERROR(IF(ISNUMBER('Revenues &amp; Outlays in GDP'!D696),TEXT('Revenues &amp; Outlays in GDP'!D696, "0.00"),""), "")</f>
        <v/>
      </c>
      <c r="F690" t="str">
        <f>IFERROR(IF(ISNUMBER('Revenues &amp; Outlays in GDP'!B696), 'Revenues &amp; Outlays in GDP'!J696, ""), "")</f>
        <v/>
      </c>
    </row>
    <row r="691" spans="1:6">
      <c r="A691" t="str">
        <f>TEXT(IF('Revenues &amp; Outlays in GDP'!B697&lt;&gt;0,'Revenues &amp; Outlays in GDP'!B697, ""), "mm/dd/yyyy")</f>
        <v/>
      </c>
      <c r="B691" t="str">
        <f>IFERROR(IF(ISNUMBER('Revenues &amp; Outlays in GDP'!G697),TEXT('Revenues &amp; Outlays in GDP'!G697, "0.00"),""), "")</f>
        <v/>
      </c>
      <c r="C691" t="str">
        <f>IFERROR(IF(ISNUMBER('Revenues &amp; Outlays in GDP'!C697),TEXT('Revenues &amp; Outlays in GDP'!C697, "0.00"),""), "")</f>
        <v/>
      </c>
      <c r="D691" t="str">
        <f>IFERROR(IF(ISNUMBER('Revenues &amp; Outlays in GDP'!H697),TEXT('Revenues &amp; Outlays in GDP'!H697, "0.00"),""), "")</f>
        <v/>
      </c>
      <c r="E691" t="str">
        <f>IFERROR(IF(ISNUMBER('Revenues &amp; Outlays in GDP'!D697),TEXT('Revenues &amp; Outlays in GDP'!D697, "0.00"),""), "")</f>
        <v/>
      </c>
      <c r="F691" t="str">
        <f>IFERROR(IF(ISNUMBER('Revenues &amp; Outlays in GDP'!B697), 'Revenues &amp; Outlays in GDP'!J697, ""), "")</f>
        <v/>
      </c>
    </row>
    <row r="692" spans="1:6">
      <c r="A692" t="str">
        <f>TEXT(IF('Revenues &amp; Outlays in GDP'!B698&lt;&gt;0,'Revenues &amp; Outlays in GDP'!B698, ""), "mm/dd/yyyy")</f>
        <v/>
      </c>
      <c r="B692" t="str">
        <f>IFERROR(IF(ISNUMBER('Revenues &amp; Outlays in GDP'!G698),TEXT('Revenues &amp; Outlays in GDP'!G698, "0.00"),""), "")</f>
        <v/>
      </c>
      <c r="C692" t="str">
        <f>IFERROR(IF(ISNUMBER('Revenues &amp; Outlays in GDP'!C698),TEXT('Revenues &amp; Outlays in GDP'!C698, "0.00"),""), "")</f>
        <v/>
      </c>
      <c r="D692" t="str">
        <f>IFERROR(IF(ISNUMBER('Revenues &amp; Outlays in GDP'!H698),TEXT('Revenues &amp; Outlays in GDP'!H698, "0.00"),""), "")</f>
        <v/>
      </c>
      <c r="E692" t="str">
        <f>IFERROR(IF(ISNUMBER('Revenues &amp; Outlays in GDP'!D698),TEXT('Revenues &amp; Outlays in GDP'!D698, "0.00"),""), "")</f>
        <v/>
      </c>
      <c r="F692" t="str">
        <f>IFERROR(IF(ISNUMBER('Revenues &amp; Outlays in GDP'!B698), 'Revenues &amp; Outlays in GDP'!J698, ""), "")</f>
        <v/>
      </c>
    </row>
    <row r="693" spans="1:6">
      <c r="A693" t="str">
        <f>TEXT(IF('Revenues &amp; Outlays in GDP'!B699&lt;&gt;0,'Revenues &amp; Outlays in GDP'!B699, ""), "mm/dd/yyyy")</f>
        <v/>
      </c>
      <c r="B693" t="str">
        <f>IFERROR(IF(ISNUMBER('Revenues &amp; Outlays in GDP'!G699),TEXT('Revenues &amp; Outlays in GDP'!G699, "0.00"),""), "")</f>
        <v/>
      </c>
      <c r="C693" t="str">
        <f>IFERROR(IF(ISNUMBER('Revenues &amp; Outlays in GDP'!C699),TEXT('Revenues &amp; Outlays in GDP'!C699, "0.00"),""), "")</f>
        <v/>
      </c>
      <c r="D693" t="str">
        <f>IFERROR(IF(ISNUMBER('Revenues &amp; Outlays in GDP'!H699),TEXT('Revenues &amp; Outlays in GDP'!H699, "0.00"),""), "")</f>
        <v/>
      </c>
      <c r="E693" t="str">
        <f>IFERROR(IF(ISNUMBER('Revenues &amp; Outlays in GDP'!D699),TEXT('Revenues &amp; Outlays in GDP'!D699, "0.00"),""), "")</f>
        <v/>
      </c>
      <c r="F693" t="str">
        <f>IFERROR(IF(ISNUMBER('Revenues &amp; Outlays in GDP'!B699), 'Revenues &amp; Outlays in GDP'!J699, ""), "")</f>
        <v/>
      </c>
    </row>
    <row r="694" spans="1:6">
      <c r="A694" t="str">
        <f>TEXT(IF('Revenues &amp; Outlays in GDP'!B700&lt;&gt;0,'Revenues &amp; Outlays in GDP'!B700, ""), "mm/dd/yyyy")</f>
        <v/>
      </c>
      <c r="B694" t="str">
        <f>IFERROR(IF(ISNUMBER('Revenues &amp; Outlays in GDP'!G700),TEXT('Revenues &amp; Outlays in GDP'!G700, "0.00"),""), "")</f>
        <v/>
      </c>
      <c r="C694" t="str">
        <f>IFERROR(IF(ISNUMBER('Revenues &amp; Outlays in GDP'!C700),TEXT('Revenues &amp; Outlays in GDP'!C700, "0.00"),""), "")</f>
        <v/>
      </c>
      <c r="D694" t="str">
        <f>IFERROR(IF(ISNUMBER('Revenues &amp; Outlays in GDP'!H700),TEXT('Revenues &amp; Outlays in GDP'!H700, "0.00"),""), "")</f>
        <v/>
      </c>
      <c r="E694" t="str">
        <f>IFERROR(IF(ISNUMBER('Revenues &amp; Outlays in GDP'!D700),TEXT('Revenues &amp; Outlays in GDP'!D700, "0.00"),""), "")</f>
        <v/>
      </c>
      <c r="F694" t="str">
        <f>IFERROR(IF(ISNUMBER('Revenues &amp; Outlays in GDP'!B700), 'Revenues &amp; Outlays in GDP'!J700, ""), "")</f>
        <v/>
      </c>
    </row>
    <row r="695" spans="1:6">
      <c r="A695" t="str">
        <f>TEXT(IF('Revenues &amp; Outlays in GDP'!B701&lt;&gt;0,'Revenues &amp; Outlays in GDP'!B701, ""), "mm/dd/yyyy")</f>
        <v/>
      </c>
      <c r="B695" t="str">
        <f>IFERROR(IF(ISNUMBER('Revenues &amp; Outlays in GDP'!G701),TEXT('Revenues &amp; Outlays in GDP'!G701, "0.00"),""), "")</f>
        <v/>
      </c>
      <c r="C695" t="str">
        <f>IFERROR(IF(ISNUMBER('Revenues &amp; Outlays in GDP'!C701),TEXT('Revenues &amp; Outlays in GDP'!C701, "0.00"),""), "")</f>
        <v/>
      </c>
      <c r="D695" t="str">
        <f>IFERROR(IF(ISNUMBER('Revenues &amp; Outlays in GDP'!H701),TEXT('Revenues &amp; Outlays in GDP'!H701, "0.00"),""), "")</f>
        <v/>
      </c>
      <c r="E695" t="str">
        <f>IFERROR(IF(ISNUMBER('Revenues &amp; Outlays in GDP'!D701),TEXT('Revenues &amp; Outlays in GDP'!D701, "0.00"),""), "")</f>
        <v/>
      </c>
      <c r="F695" t="str">
        <f>IFERROR(IF(ISNUMBER('Revenues &amp; Outlays in GDP'!B701), 'Revenues &amp; Outlays in GDP'!J701, ""), "")</f>
        <v/>
      </c>
    </row>
    <row r="696" spans="1:6">
      <c r="A696" t="str">
        <f>TEXT(IF('Revenues &amp; Outlays in GDP'!B702&lt;&gt;0,'Revenues &amp; Outlays in GDP'!B702, ""), "mm/dd/yyyy")</f>
        <v/>
      </c>
      <c r="B696" t="str">
        <f>IFERROR(IF(ISNUMBER('Revenues &amp; Outlays in GDP'!G702),TEXT('Revenues &amp; Outlays in GDP'!G702, "0.00"),""), "")</f>
        <v/>
      </c>
      <c r="C696" t="str">
        <f>IFERROR(IF(ISNUMBER('Revenues &amp; Outlays in GDP'!C702),TEXT('Revenues &amp; Outlays in GDP'!C702, "0.00"),""), "")</f>
        <v/>
      </c>
      <c r="D696" t="str">
        <f>IFERROR(IF(ISNUMBER('Revenues &amp; Outlays in GDP'!H702),TEXT('Revenues &amp; Outlays in GDP'!H702, "0.00"),""), "")</f>
        <v/>
      </c>
      <c r="E696" t="str">
        <f>IFERROR(IF(ISNUMBER('Revenues &amp; Outlays in GDP'!D702),TEXT('Revenues &amp; Outlays in GDP'!D702, "0.00"),""), "")</f>
        <v/>
      </c>
      <c r="F696" t="str">
        <f>IFERROR(IF(ISNUMBER('Revenues &amp; Outlays in GDP'!B702), 'Revenues &amp; Outlays in GDP'!J702, ""), "")</f>
        <v/>
      </c>
    </row>
    <row r="697" spans="1:6">
      <c r="A697" t="str">
        <f>TEXT(IF('Revenues &amp; Outlays in GDP'!B703&lt;&gt;0,'Revenues &amp; Outlays in GDP'!B703, ""), "mm/dd/yyyy")</f>
        <v/>
      </c>
      <c r="B697" t="str">
        <f>IFERROR(IF(ISNUMBER('Revenues &amp; Outlays in GDP'!G703),TEXT('Revenues &amp; Outlays in GDP'!G703, "0.00"),""), "")</f>
        <v/>
      </c>
      <c r="C697" t="str">
        <f>IFERROR(IF(ISNUMBER('Revenues &amp; Outlays in GDP'!C703),TEXT('Revenues &amp; Outlays in GDP'!C703, "0.00"),""), "")</f>
        <v/>
      </c>
      <c r="D697" t="str">
        <f>IFERROR(IF(ISNUMBER('Revenues &amp; Outlays in GDP'!H703),TEXT('Revenues &amp; Outlays in GDP'!H703, "0.00"),""), "")</f>
        <v/>
      </c>
      <c r="E697" t="str">
        <f>IFERROR(IF(ISNUMBER('Revenues &amp; Outlays in GDP'!D703),TEXT('Revenues &amp; Outlays in GDP'!D703, "0.00"),""), "")</f>
        <v/>
      </c>
      <c r="F697" t="str">
        <f>IFERROR(IF(ISNUMBER('Revenues &amp; Outlays in GDP'!B703), 'Revenues &amp; Outlays in GDP'!J703, ""), "")</f>
        <v/>
      </c>
    </row>
    <row r="698" spans="1:6">
      <c r="A698" t="str">
        <f>TEXT(IF('Revenues &amp; Outlays in GDP'!B704&lt;&gt;0,'Revenues &amp; Outlays in GDP'!B704, ""), "mm/dd/yyyy")</f>
        <v/>
      </c>
      <c r="B698" t="str">
        <f>IFERROR(IF(ISNUMBER('Revenues &amp; Outlays in GDP'!G704),TEXT('Revenues &amp; Outlays in GDP'!G704, "0.00"),""), "")</f>
        <v/>
      </c>
      <c r="C698" t="str">
        <f>IFERROR(IF(ISNUMBER('Revenues &amp; Outlays in GDP'!C704),TEXT('Revenues &amp; Outlays in GDP'!C704, "0.00"),""), "")</f>
        <v/>
      </c>
      <c r="D698" t="str">
        <f>IFERROR(IF(ISNUMBER('Revenues &amp; Outlays in GDP'!H704),TEXT('Revenues &amp; Outlays in GDP'!H704, "0.00"),""), "")</f>
        <v/>
      </c>
      <c r="E698" t="str">
        <f>IFERROR(IF(ISNUMBER('Revenues &amp; Outlays in GDP'!D704),TEXT('Revenues &amp; Outlays in GDP'!D704, "0.00"),""), "")</f>
        <v/>
      </c>
      <c r="F698" t="str">
        <f>IFERROR(IF(ISNUMBER('Revenues &amp; Outlays in GDP'!B704), 'Revenues &amp; Outlays in GDP'!J704, ""), "")</f>
        <v/>
      </c>
    </row>
    <row r="699" spans="1:6">
      <c r="A699" t="str">
        <f>TEXT(IF('Revenues &amp; Outlays in GDP'!B705&lt;&gt;0,'Revenues &amp; Outlays in GDP'!B705, ""), "mm/dd/yyyy")</f>
        <v/>
      </c>
      <c r="B699" t="str">
        <f>IFERROR(IF(ISNUMBER('Revenues &amp; Outlays in GDP'!G705),TEXT('Revenues &amp; Outlays in GDP'!G705, "0.00"),""), "")</f>
        <v/>
      </c>
      <c r="C699" t="str">
        <f>IFERROR(IF(ISNUMBER('Revenues &amp; Outlays in GDP'!C705),TEXT('Revenues &amp; Outlays in GDP'!C705, "0.00"),""), "")</f>
        <v/>
      </c>
      <c r="D699" t="str">
        <f>IFERROR(IF(ISNUMBER('Revenues &amp; Outlays in GDP'!H705),TEXT('Revenues &amp; Outlays in GDP'!H705, "0.00"),""), "")</f>
        <v/>
      </c>
      <c r="E699" t="str">
        <f>IFERROR(IF(ISNUMBER('Revenues &amp; Outlays in GDP'!D705),TEXT('Revenues &amp; Outlays in GDP'!D705, "0.00"),""), "")</f>
        <v/>
      </c>
      <c r="F699" t="str">
        <f>IFERROR(IF(ISNUMBER('Revenues &amp; Outlays in GDP'!B705), 'Revenues &amp; Outlays in GDP'!J705, ""), "")</f>
        <v/>
      </c>
    </row>
    <row r="700" spans="1:6">
      <c r="A700" t="str">
        <f>TEXT(IF('Revenues &amp; Outlays in GDP'!B706&lt;&gt;0,'Revenues &amp; Outlays in GDP'!B706, ""), "mm/dd/yyyy")</f>
        <v/>
      </c>
      <c r="B700" t="str">
        <f>IFERROR(IF(ISNUMBER('Revenues &amp; Outlays in GDP'!G706),TEXT('Revenues &amp; Outlays in GDP'!G706, "0.00"),""), "")</f>
        <v/>
      </c>
      <c r="C700" t="str">
        <f>IFERROR(IF(ISNUMBER('Revenues &amp; Outlays in GDP'!C706),TEXT('Revenues &amp; Outlays in GDP'!C706, "0.00"),""), "")</f>
        <v/>
      </c>
      <c r="D700" t="str">
        <f>IFERROR(IF(ISNUMBER('Revenues &amp; Outlays in GDP'!H706),TEXT('Revenues &amp; Outlays in GDP'!H706, "0.00"),""), "")</f>
        <v/>
      </c>
      <c r="E700" t="str">
        <f>IFERROR(IF(ISNUMBER('Revenues &amp; Outlays in GDP'!D706),TEXT('Revenues &amp; Outlays in GDP'!D706, "0.00"),""), "")</f>
        <v/>
      </c>
      <c r="F700" t="str">
        <f>IFERROR(IF(ISNUMBER('Revenues &amp; Outlays in GDP'!B706), 'Revenues &amp; Outlays in GDP'!J706, ""), "")</f>
        <v/>
      </c>
    </row>
    <row r="701" spans="1:6">
      <c r="A701" t="str">
        <f>TEXT(IF('Revenues &amp; Outlays in GDP'!B707&lt;&gt;0,'Revenues &amp; Outlays in GDP'!B707, ""), "mm/dd/yyyy")</f>
        <v/>
      </c>
      <c r="B701" t="str">
        <f>IFERROR(IF(ISNUMBER('Revenues &amp; Outlays in GDP'!G707),TEXT('Revenues &amp; Outlays in GDP'!G707, "0.00"),""), "")</f>
        <v/>
      </c>
      <c r="C701" t="str">
        <f>IFERROR(IF(ISNUMBER('Revenues &amp; Outlays in GDP'!C707),TEXT('Revenues &amp; Outlays in GDP'!C707, "0.00"),""), "")</f>
        <v/>
      </c>
      <c r="D701" t="str">
        <f>IFERROR(IF(ISNUMBER('Revenues &amp; Outlays in GDP'!H707),TEXT('Revenues &amp; Outlays in GDP'!H707, "0.00"),""), "")</f>
        <v/>
      </c>
      <c r="E701" t="str">
        <f>IFERROR(IF(ISNUMBER('Revenues &amp; Outlays in GDP'!D707),TEXT('Revenues &amp; Outlays in GDP'!D707, "0.00"),""), "")</f>
        <v/>
      </c>
      <c r="F701" t="str">
        <f>IFERROR(IF(ISNUMBER('Revenues &amp; Outlays in GDP'!B707), 'Revenues &amp; Outlays in GDP'!J707, ""), "")</f>
        <v/>
      </c>
    </row>
    <row r="702" spans="1:6">
      <c r="A702" t="str">
        <f>TEXT(IF('Revenues &amp; Outlays in GDP'!B708&lt;&gt;0,'Revenues &amp; Outlays in GDP'!B708, ""), "mm/dd/yyyy")</f>
        <v/>
      </c>
      <c r="B702" t="str">
        <f>IFERROR(IF(ISNUMBER('Revenues &amp; Outlays in GDP'!G708),TEXT('Revenues &amp; Outlays in GDP'!G708, "0.00"),""), "")</f>
        <v/>
      </c>
      <c r="C702" t="str">
        <f>IFERROR(IF(ISNUMBER('Revenues &amp; Outlays in GDP'!C708),TEXT('Revenues &amp; Outlays in GDP'!C708, "0.00"),""), "")</f>
        <v/>
      </c>
      <c r="D702" t="str">
        <f>IFERROR(IF(ISNUMBER('Revenues &amp; Outlays in GDP'!H708),TEXT('Revenues &amp; Outlays in GDP'!H708, "0.00"),""), "")</f>
        <v/>
      </c>
      <c r="E702" t="str">
        <f>IFERROR(IF(ISNUMBER('Revenues &amp; Outlays in GDP'!D708),TEXT('Revenues &amp; Outlays in GDP'!D708, "0.00"),""), "")</f>
        <v/>
      </c>
      <c r="F702" t="str">
        <f>IFERROR(IF(ISNUMBER('Revenues &amp; Outlays in GDP'!B708), 'Revenues &amp; Outlays in GDP'!J708, ""), "")</f>
        <v/>
      </c>
    </row>
    <row r="703" spans="1:6">
      <c r="A703" t="str">
        <f>TEXT(IF('Revenues &amp; Outlays in GDP'!B709&lt;&gt;0,'Revenues &amp; Outlays in GDP'!B709, ""), "mm/dd/yyyy")</f>
        <v/>
      </c>
      <c r="B703" t="str">
        <f>IFERROR(IF(ISNUMBER('Revenues &amp; Outlays in GDP'!G709),TEXT('Revenues &amp; Outlays in GDP'!G709, "0.00"),""), "")</f>
        <v/>
      </c>
      <c r="C703" t="str">
        <f>IFERROR(IF(ISNUMBER('Revenues &amp; Outlays in GDP'!C709),TEXT('Revenues &amp; Outlays in GDP'!C709, "0.00"),""), "")</f>
        <v/>
      </c>
      <c r="D703" t="str">
        <f>IFERROR(IF(ISNUMBER('Revenues &amp; Outlays in GDP'!H709),TEXT('Revenues &amp; Outlays in GDP'!H709, "0.00"),""), "")</f>
        <v/>
      </c>
      <c r="E703" t="str">
        <f>IFERROR(IF(ISNUMBER('Revenues &amp; Outlays in GDP'!D709),TEXT('Revenues &amp; Outlays in GDP'!D709, "0.00"),""), "")</f>
        <v/>
      </c>
      <c r="F703" t="str">
        <f>IFERROR(IF(ISNUMBER('Revenues &amp; Outlays in GDP'!B709), 'Revenues &amp; Outlays in GDP'!J709, ""), "")</f>
        <v/>
      </c>
    </row>
    <row r="704" spans="1:6">
      <c r="A704" t="str">
        <f>TEXT(IF('Revenues &amp; Outlays in GDP'!B710&lt;&gt;0,'Revenues &amp; Outlays in GDP'!B710, ""), "mm/dd/yyyy")</f>
        <v/>
      </c>
      <c r="B704" t="str">
        <f>IFERROR(IF(ISNUMBER('Revenues &amp; Outlays in GDP'!G710),TEXT('Revenues &amp; Outlays in GDP'!G710, "0.00"),""), "")</f>
        <v/>
      </c>
      <c r="C704" t="str">
        <f>IFERROR(IF(ISNUMBER('Revenues &amp; Outlays in GDP'!C710),TEXT('Revenues &amp; Outlays in GDP'!C710, "0.00"),""), "")</f>
        <v/>
      </c>
      <c r="D704" t="str">
        <f>IFERROR(IF(ISNUMBER('Revenues &amp; Outlays in GDP'!H710),TEXT('Revenues &amp; Outlays in GDP'!H710, "0.00"),""), "")</f>
        <v/>
      </c>
      <c r="E704" t="str">
        <f>IFERROR(IF(ISNUMBER('Revenues &amp; Outlays in GDP'!D710),TEXT('Revenues &amp; Outlays in GDP'!D710, "0.00"),""), "")</f>
        <v/>
      </c>
      <c r="F704" t="str">
        <f>IFERROR(IF(ISNUMBER('Revenues &amp; Outlays in GDP'!B710), 'Revenues &amp; Outlays in GDP'!J710, ""), "")</f>
        <v/>
      </c>
    </row>
    <row r="705" spans="1:6">
      <c r="A705" t="str">
        <f>TEXT(IF('Revenues &amp; Outlays in GDP'!B711&lt;&gt;0,'Revenues &amp; Outlays in GDP'!B711, ""), "mm/dd/yyyy")</f>
        <v/>
      </c>
      <c r="B705" t="str">
        <f>IFERROR(IF(ISNUMBER('Revenues &amp; Outlays in GDP'!G711),TEXT('Revenues &amp; Outlays in GDP'!G711, "0.00"),""), "")</f>
        <v/>
      </c>
      <c r="C705" t="str">
        <f>IFERROR(IF(ISNUMBER('Revenues &amp; Outlays in GDP'!C711),TEXT('Revenues &amp; Outlays in GDP'!C711, "0.00"),""), "")</f>
        <v/>
      </c>
      <c r="D705" t="str">
        <f>IFERROR(IF(ISNUMBER('Revenues &amp; Outlays in GDP'!H711),TEXT('Revenues &amp; Outlays in GDP'!H711, "0.00"),""), "")</f>
        <v/>
      </c>
      <c r="E705" t="str">
        <f>IFERROR(IF(ISNUMBER('Revenues &amp; Outlays in GDP'!D711),TEXT('Revenues &amp; Outlays in GDP'!D711, "0.00"),""), "")</f>
        <v/>
      </c>
      <c r="F705" t="str">
        <f>IFERROR(IF(ISNUMBER('Revenues &amp; Outlays in GDP'!B711), 'Revenues &amp; Outlays in GDP'!J711, ""), "")</f>
        <v/>
      </c>
    </row>
    <row r="706" spans="1:6">
      <c r="A706" t="str">
        <f>TEXT(IF('Revenues &amp; Outlays in GDP'!B712&lt;&gt;0,'Revenues &amp; Outlays in GDP'!B712, ""), "mm/dd/yyyy")</f>
        <v/>
      </c>
      <c r="B706" t="str">
        <f>IFERROR(IF(ISNUMBER('Revenues &amp; Outlays in GDP'!G712),TEXT('Revenues &amp; Outlays in GDP'!G712, "0.00"),""), "")</f>
        <v/>
      </c>
      <c r="C706" t="str">
        <f>IFERROR(IF(ISNUMBER('Revenues &amp; Outlays in GDP'!C712),TEXT('Revenues &amp; Outlays in GDP'!C712, "0.00"),""), "")</f>
        <v/>
      </c>
      <c r="D706" t="str">
        <f>IFERROR(IF(ISNUMBER('Revenues &amp; Outlays in GDP'!H712),TEXT('Revenues &amp; Outlays in GDP'!H712, "0.00"),""), "")</f>
        <v/>
      </c>
      <c r="E706" t="str">
        <f>IFERROR(IF(ISNUMBER('Revenues &amp; Outlays in GDP'!D712),TEXT('Revenues &amp; Outlays in GDP'!D712, "0.00"),""), "")</f>
        <v/>
      </c>
      <c r="F706" t="str">
        <f>IFERROR(IF(ISNUMBER('Revenues &amp; Outlays in GDP'!B712), 'Revenues &amp; Outlays in GDP'!J712, ""), "")</f>
        <v/>
      </c>
    </row>
    <row r="707" spans="1:6">
      <c r="A707" t="str">
        <f>TEXT(IF('Revenues &amp; Outlays in GDP'!B713&lt;&gt;0,'Revenues &amp; Outlays in GDP'!B713, ""), "mm/dd/yyyy")</f>
        <v/>
      </c>
      <c r="B707" t="str">
        <f>IFERROR(IF(ISNUMBER('Revenues &amp; Outlays in GDP'!G713),TEXT('Revenues &amp; Outlays in GDP'!G713, "0.00"),""), "")</f>
        <v/>
      </c>
      <c r="C707" t="str">
        <f>IFERROR(IF(ISNUMBER('Revenues &amp; Outlays in GDP'!C713),TEXT('Revenues &amp; Outlays in GDP'!C713, "0.00"),""), "")</f>
        <v/>
      </c>
      <c r="D707" t="str">
        <f>IFERROR(IF(ISNUMBER('Revenues &amp; Outlays in GDP'!H713),TEXT('Revenues &amp; Outlays in GDP'!H713, "0.00"),""), "")</f>
        <v/>
      </c>
      <c r="E707" t="str">
        <f>IFERROR(IF(ISNUMBER('Revenues &amp; Outlays in GDP'!D713),TEXT('Revenues &amp; Outlays in GDP'!D713, "0.00"),""), "")</f>
        <v/>
      </c>
      <c r="F707" t="str">
        <f>IFERROR(IF(ISNUMBER('Revenues &amp; Outlays in GDP'!B713), 'Revenues &amp; Outlays in GDP'!J713, ""), "")</f>
        <v/>
      </c>
    </row>
    <row r="708" spans="1:6">
      <c r="A708" t="str">
        <f>TEXT(IF('Revenues &amp; Outlays in GDP'!B714&lt;&gt;0,'Revenues &amp; Outlays in GDP'!B714, ""), "mm/dd/yyyy")</f>
        <v/>
      </c>
      <c r="B708" t="str">
        <f>IFERROR(IF(ISNUMBER('Revenues &amp; Outlays in GDP'!G714),TEXT('Revenues &amp; Outlays in GDP'!G714, "0.00"),""), "")</f>
        <v/>
      </c>
      <c r="C708" t="str">
        <f>IFERROR(IF(ISNUMBER('Revenues &amp; Outlays in GDP'!C714),TEXT('Revenues &amp; Outlays in GDP'!C714, "0.00"),""), "")</f>
        <v/>
      </c>
      <c r="D708" t="str">
        <f>IFERROR(IF(ISNUMBER('Revenues &amp; Outlays in GDP'!H714),TEXT('Revenues &amp; Outlays in GDP'!H714, "0.00"),""), "")</f>
        <v/>
      </c>
      <c r="E708" t="str">
        <f>IFERROR(IF(ISNUMBER('Revenues &amp; Outlays in GDP'!D714),TEXT('Revenues &amp; Outlays in GDP'!D714, "0.00"),""), "")</f>
        <v/>
      </c>
      <c r="F708" t="str">
        <f>IFERROR(IF(ISNUMBER('Revenues &amp; Outlays in GDP'!B714), 'Revenues &amp; Outlays in GDP'!J714, ""), "")</f>
        <v/>
      </c>
    </row>
    <row r="709" spans="1:6">
      <c r="A709" t="str">
        <f>TEXT(IF('Revenues &amp; Outlays in GDP'!B715&lt;&gt;0,'Revenues &amp; Outlays in GDP'!B715, ""), "mm/dd/yyyy")</f>
        <v/>
      </c>
      <c r="B709" t="str">
        <f>IFERROR(IF(ISNUMBER('Revenues &amp; Outlays in GDP'!G715),TEXT('Revenues &amp; Outlays in GDP'!G715, "0.00"),""), "")</f>
        <v/>
      </c>
      <c r="C709" t="str">
        <f>IFERROR(IF(ISNUMBER('Revenues &amp; Outlays in GDP'!C715),TEXT('Revenues &amp; Outlays in GDP'!C715, "0.00"),""), "")</f>
        <v/>
      </c>
      <c r="D709" t="str">
        <f>IFERROR(IF(ISNUMBER('Revenues &amp; Outlays in GDP'!H715),TEXT('Revenues &amp; Outlays in GDP'!H715, "0.00"),""), "")</f>
        <v/>
      </c>
      <c r="E709" t="str">
        <f>IFERROR(IF(ISNUMBER('Revenues &amp; Outlays in GDP'!D715),TEXT('Revenues &amp; Outlays in GDP'!D715, "0.00"),""), "")</f>
        <v/>
      </c>
      <c r="F709" t="str">
        <f>IFERROR(IF(ISNUMBER('Revenues &amp; Outlays in GDP'!B715), 'Revenues &amp; Outlays in GDP'!J715, ""), "")</f>
        <v/>
      </c>
    </row>
    <row r="710" spans="1:6">
      <c r="A710" t="str">
        <f>TEXT(IF('Revenues &amp; Outlays in GDP'!B716&lt;&gt;0,'Revenues &amp; Outlays in GDP'!B716, ""), "mm/dd/yyyy")</f>
        <v/>
      </c>
      <c r="B710" t="str">
        <f>IFERROR(IF(ISNUMBER('Revenues &amp; Outlays in GDP'!G716),TEXT('Revenues &amp; Outlays in GDP'!G716, "0.00"),""), "")</f>
        <v/>
      </c>
      <c r="C710" t="str">
        <f>IFERROR(IF(ISNUMBER('Revenues &amp; Outlays in GDP'!C716),TEXT('Revenues &amp; Outlays in GDP'!C716, "0.00"),""), "")</f>
        <v/>
      </c>
      <c r="D710" t="str">
        <f>IFERROR(IF(ISNUMBER('Revenues &amp; Outlays in GDP'!H716),TEXT('Revenues &amp; Outlays in GDP'!H716, "0.00"),""), "")</f>
        <v/>
      </c>
      <c r="E710" t="str">
        <f>IFERROR(IF(ISNUMBER('Revenues &amp; Outlays in GDP'!D716),TEXT('Revenues &amp; Outlays in GDP'!D716, "0.00"),""), "")</f>
        <v/>
      </c>
      <c r="F710" t="str">
        <f>IFERROR(IF(ISNUMBER('Revenues &amp; Outlays in GDP'!B716), 'Revenues &amp; Outlays in GDP'!J716, ""), "")</f>
        <v/>
      </c>
    </row>
    <row r="711" spans="1:6">
      <c r="A711" t="str">
        <f>TEXT(IF('Revenues &amp; Outlays in GDP'!B717&lt;&gt;0,'Revenues &amp; Outlays in GDP'!B717, ""), "mm/dd/yyyy")</f>
        <v/>
      </c>
      <c r="B711" t="str">
        <f>IFERROR(IF(ISNUMBER('Revenues &amp; Outlays in GDP'!G717),TEXT('Revenues &amp; Outlays in GDP'!G717, "0.00"),""), "")</f>
        <v/>
      </c>
      <c r="C711" t="str">
        <f>IFERROR(IF(ISNUMBER('Revenues &amp; Outlays in GDP'!C717),TEXT('Revenues &amp; Outlays in GDP'!C717, "0.00"),""), "")</f>
        <v/>
      </c>
      <c r="D711" t="str">
        <f>IFERROR(IF(ISNUMBER('Revenues &amp; Outlays in GDP'!H717),TEXT('Revenues &amp; Outlays in GDP'!H717, "0.00"),""), "")</f>
        <v/>
      </c>
      <c r="E711" t="str">
        <f>IFERROR(IF(ISNUMBER('Revenues &amp; Outlays in GDP'!D717),TEXT('Revenues &amp; Outlays in GDP'!D717, "0.00"),""), "")</f>
        <v/>
      </c>
      <c r="F711" t="str">
        <f>IFERROR(IF(ISNUMBER('Revenues &amp; Outlays in GDP'!B717), 'Revenues &amp; Outlays in GDP'!J717, ""), "")</f>
        <v/>
      </c>
    </row>
    <row r="712" spans="1:6">
      <c r="A712" t="str">
        <f>TEXT(IF('Revenues &amp; Outlays in GDP'!B718&lt;&gt;0,'Revenues &amp; Outlays in GDP'!B718, ""), "mm/dd/yyyy")</f>
        <v/>
      </c>
      <c r="B712" t="str">
        <f>IFERROR(IF(ISNUMBER('Revenues &amp; Outlays in GDP'!G718),TEXT('Revenues &amp; Outlays in GDP'!G718, "0.00"),""), "")</f>
        <v/>
      </c>
      <c r="C712" t="str">
        <f>IFERROR(IF(ISNUMBER('Revenues &amp; Outlays in GDP'!C718),TEXT('Revenues &amp; Outlays in GDP'!C718, "0.00"),""), "")</f>
        <v/>
      </c>
      <c r="D712" t="str">
        <f>IFERROR(IF(ISNUMBER('Revenues &amp; Outlays in GDP'!H718),TEXT('Revenues &amp; Outlays in GDP'!H718, "0.00"),""), "")</f>
        <v/>
      </c>
      <c r="E712" t="str">
        <f>IFERROR(IF(ISNUMBER('Revenues &amp; Outlays in GDP'!D718),TEXT('Revenues &amp; Outlays in GDP'!D718, "0.00"),""), "")</f>
        <v/>
      </c>
      <c r="F712" t="str">
        <f>IFERROR(IF(ISNUMBER('Revenues &amp; Outlays in GDP'!B718), 'Revenues &amp; Outlays in GDP'!J718, ""), "")</f>
        <v/>
      </c>
    </row>
    <row r="713" spans="1:6">
      <c r="A713" t="str">
        <f>TEXT(IF('Revenues &amp; Outlays in GDP'!B719&lt;&gt;0,'Revenues &amp; Outlays in GDP'!B719, ""), "mm/dd/yyyy")</f>
        <v/>
      </c>
      <c r="B713" t="str">
        <f>IFERROR(IF(ISNUMBER('Revenues &amp; Outlays in GDP'!G719),TEXT('Revenues &amp; Outlays in GDP'!G719, "0.00"),""), "")</f>
        <v/>
      </c>
      <c r="C713" t="str">
        <f>IFERROR(IF(ISNUMBER('Revenues &amp; Outlays in GDP'!C719),TEXT('Revenues &amp; Outlays in GDP'!C719, "0.00"),""), "")</f>
        <v/>
      </c>
      <c r="D713" t="str">
        <f>IFERROR(IF(ISNUMBER('Revenues &amp; Outlays in GDP'!H719),TEXT('Revenues &amp; Outlays in GDP'!H719, "0.00"),""), "")</f>
        <v/>
      </c>
      <c r="E713" t="str">
        <f>IFERROR(IF(ISNUMBER('Revenues &amp; Outlays in GDP'!D719),TEXT('Revenues &amp; Outlays in GDP'!D719, "0.00"),""), "")</f>
        <v/>
      </c>
      <c r="F713" t="str">
        <f>IFERROR(IF(ISNUMBER('Revenues &amp; Outlays in GDP'!B719), 'Revenues &amp; Outlays in GDP'!J719, ""), "")</f>
        <v/>
      </c>
    </row>
    <row r="714" spans="1:6">
      <c r="A714" t="str">
        <f>TEXT(IF('Revenues &amp; Outlays in GDP'!B720&lt;&gt;0,'Revenues &amp; Outlays in GDP'!B720, ""), "mm/dd/yyyy")</f>
        <v/>
      </c>
      <c r="B714" t="str">
        <f>IFERROR(IF(ISNUMBER('Revenues &amp; Outlays in GDP'!G720),TEXT('Revenues &amp; Outlays in GDP'!G720, "0.00"),""), "")</f>
        <v/>
      </c>
      <c r="C714" t="str">
        <f>IFERROR(IF(ISNUMBER('Revenues &amp; Outlays in GDP'!C720),TEXT('Revenues &amp; Outlays in GDP'!C720, "0.00"),""), "")</f>
        <v/>
      </c>
      <c r="D714" t="str">
        <f>IFERROR(IF(ISNUMBER('Revenues &amp; Outlays in GDP'!H720),TEXT('Revenues &amp; Outlays in GDP'!H720, "0.00"),""), "")</f>
        <v/>
      </c>
      <c r="E714" t="str">
        <f>IFERROR(IF(ISNUMBER('Revenues &amp; Outlays in GDP'!D720),TEXT('Revenues &amp; Outlays in GDP'!D720, "0.00"),""), "")</f>
        <v/>
      </c>
      <c r="F714" t="str">
        <f>IFERROR(IF(ISNUMBER('Revenues &amp; Outlays in GDP'!B720), 'Revenues &amp; Outlays in GDP'!J720, ""), "")</f>
        <v/>
      </c>
    </row>
    <row r="715" spans="1:6">
      <c r="A715" t="str">
        <f>TEXT(IF('Revenues &amp; Outlays in GDP'!B721&lt;&gt;0,'Revenues &amp; Outlays in GDP'!B721, ""), "mm/dd/yyyy")</f>
        <v/>
      </c>
      <c r="B715" t="str">
        <f>IFERROR(IF(ISNUMBER('Revenues &amp; Outlays in GDP'!G721),TEXT('Revenues &amp; Outlays in GDP'!G721, "0.00"),""), "")</f>
        <v/>
      </c>
      <c r="C715" t="str">
        <f>IFERROR(IF(ISNUMBER('Revenues &amp; Outlays in GDP'!C721),TEXT('Revenues &amp; Outlays in GDP'!C721, "0.00"),""), "")</f>
        <v/>
      </c>
      <c r="D715" t="str">
        <f>IFERROR(IF(ISNUMBER('Revenues &amp; Outlays in GDP'!H721),TEXT('Revenues &amp; Outlays in GDP'!H721, "0.00"),""), "")</f>
        <v/>
      </c>
      <c r="E715" t="str">
        <f>IFERROR(IF(ISNUMBER('Revenues &amp; Outlays in GDP'!D721),TEXT('Revenues &amp; Outlays in GDP'!D721, "0.00"),""), "")</f>
        <v/>
      </c>
      <c r="F715" t="str">
        <f>IFERROR(IF(ISNUMBER('Revenues &amp; Outlays in GDP'!B721), 'Revenues &amp; Outlays in GDP'!J721, ""), "")</f>
        <v/>
      </c>
    </row>
    <row r="716" spans="1:6">
      <c r="A716" t="str">
        <f>TEXT(IF('Revenues &amp; Outlays in GDP'!B722&lt;&gt;0,'Revenues &amp; Outlays in GDP'!B722, ""), "mm/dd/yyyy")</f>
        <v/>
      </c>
      <c r="B716" t="str">
        <f>IFERROR(IF(ISNUMBER('Revenues &amp; Outlays in GDP'!G722),TEXT('Revenues &amp; Outlays in GDP'!G722, "0.00"),""), "")</f>
        <v/>
      </c>
      <c r="C716" t="str">
        <f>IFERROR(IF(ISNUMBER('Revenues &amp; Outlays in GDP'!C722),TEXT('Revenues &amp; Outlays in GDP'!C722, "0.00"),""), "")</f>
        <v/>
      </c>
      <c r="D716" t="str">
        <f>IFERROR(IF(ISNUMBER('Revenues &amp; Outlays in GDP'!H722),TEXT('Revenues &amp; Outlays in GDP'!H722, "0.00"),""), "")</f>
        <v/>
      </c>
      <c r="E716" t="str">
        <f>IFERROR(IF(ISNUMBER('Revenues &amp; Outlays in GDP'!D722),TEXT('Revenues &amp; Outlays in GDP'!D722, "0.00"),""), "")</f>
        <v/>
      </c>
      <c r="F716" t="str">
        <f>IFERROR(IF(ISNUMBER('Revenues &amp; Outlays in GDP'!B722), 'Revenues &amp; Outlays in GDP'!J722, ""), "")</f>
        <v/>
      </c>
    </row>
    <row r="717" spans="1:6">
      <c r="A717" t="str">
        <f>TEXT(IF('Revenues &amp; Outlays in GDP'!B723&lt;&gt;0,'Revenues &amp; Outlays in GDP'!B723, ""), "mm/dd/yyyy")</f>
        <v/>
      </c>
      <c r="B717" t="str">
        <f>IFERROR(IF(ISNUMBER('Revenues &amp; Outlays in GDP'!G723),TEXT('Revenues &amp; Outlays in GDP'!G723, "0.00"),""), "")</f>
        <v/>
      </c>
      <c r="C717" t="str">
        <f>IFERROR(IF(ISNUMBER('Revenues &amp; Outlays in GDP'!C723),TEXT('Revenues &amp; Outlays in GDP'!C723, "0.00"),""), "")</f>
        <v/>
      </c>
      <c r="D717" t="str">
        <f>IFERROR(IF(ISNUMBER('Revenues &amp; Outlays in GDP'!H723),TEXT('Revenues &amp; Outlays in GDP'!H723, "0.00"),""), "")</f>
        <v/>
      </c>
      <c r="E717" t="str">
        <f>IFERROR(IF(ISNUMBER('Revenues &amp; Outlays in GDP'!D723),TEXT('Revenues &amp; Outlays in GDP'!D723, "0.00"),""), "")</f>
        <v/>
      </c>
      <c r="F717" t="str">
        <f>IFERROR(IF(ISNUMBER('Revenues &amp; Outlays in GDP'!B723), 'Revenues &amp; Outlays in GDP'!J723, ""), "")</f>
        <v/>
      </c>
    </row>
    <row r="718" spans="1:6">
      <c r="A718" t="str">
        <f>TEXT(IF('Revenues &amp; Outlays in GDP'!B724&lt;&gt;0,'Revenues &amp; Outlays in GDP'!B724, ""), "mm/dd/yyyy")</f>
        <v/>
      </c>
      <c r="B718" t="str">
        <f>IFERROR(IF(ISNUMBER('Revenues &amp; Outlays in GDP'!G724),TEXT('Revenues &amp; Outlays in GDP'!G724, "0.00"),""), "")</f>
        <v/>
      </c>
      <c r="C718" t="str">
        <f>IFERROR(IF(ISNUMBER('Revenues &amp; Outlays in GDP'!C724),TEXT('Revenues &amp; Outlays in GDP'!C724, "0.00"),""), "")</f>
        <v/>
      </c>
      <c r="D718" t="str">
        <f>IFERROR(IF(ISNUMBER('Revenues &amp; Outlays in GDP'!H724),TEXT('Revenues &amp; Outlays in GDP'!H724, "0.00"),""), "")</f>
        <v/>
      </c>
      <c r="E718" t="str">
        <f>IFERROR(IF(ISNUMBER('Revenues &amp; Outlays in GDP'!D724),TEXT('Revenues &amp; Outlays in GDP'!D724, "0.00"),""), "")</f>
        <v/>
      </c>
      <c r="F718" t="str">
        <f>IFERROR(IF(ISNUMBER('Revenues &amp; Outlays in GDP'!B724), 'Revenues &amp; Outlays in GDP'!J724, ""), "")</f>
        <v/>
      </c>
    </row>
    <row r="719" spans="1:6">
      <c r="A719" t="str">
        <f>TEXT(IF('Revenues &amp; Outlays in GDP'!B725&lt;&gt;0,'Revenues &amp; Outlays in GDP'!B725, ""), "mm/dd/yyyy")</f>
        <v/>
      </c>
      <c r="B719" t="str">
        <f>IFERROR(IF(ISNUMBER('Revenues &amp; Outlays in GDP'!G725),TEXT('Revenues &amp; Outlays in GDP'!G725, "0.00"),""), "")</f>
        <v/>
      </c>
      <c r="C719" t="str">
        <f>IFERROR(IF(ISNUMBER('Revenues &amp; Outlays in GDP'!C725),TEXT('Revenues &amp; Outlays in GDP'!C725, "0.00"),""), "")</f>
        <v/>
      </c>
      <c r="D719" t="str">
        <f>IFERROR(IF(ISNUMBER('Revenues &amp; Outlays in GDP'!H725),TEXT('Revenues &amp; Outlays in GDP'!H725, "0.00"),""), "")</f>
        <v/>
      </c>
      <c r="E719" t="str">
        <f>IFERROR(IF(ISNUMBER('Revenues &amp; Outlays in GDP'!D725),TEXT('Revenues &amp; Outlays in GDP'!D725, "0.00"),""), "")</f>
        <v/>
      </c>
      <c r="F719" t="str">
        <f>IFERROR(IF(ISNUMBER('Revenues &amp; Outlays in GDP'!B725), 'Revenues &amp; Outlays in GDP'!J725, ""), "")</f>
        <v/>
      </c>
    </row>
    <row r="720" spans="1:6">
      <c r="A720" t="str">
        <f>TEXT(IF('Revenues &amp; Outlays in GDP'!B726&lt;&gt;0,'Revenues &amp; Outlays in GDP'!B726, ""), "mm/dd/yyyy")</f>
        <v/>
      </c>
      <c r="B720" t="str">
        <f>IFERROR(IF(ISNUMBER('Revenues &amp; Outlays in GDP'!G726),TEXT('Revenues &amp; Outlays in GDP'!G726, "0.00"),""), "")</f>
        <v/>
      </c>
      <c r="C720" t="str">
        <f>IFERROR(IF(ISNUMBER('Revenues &amp; Outlays in GDP'!C726),TEXT('Revenues &amp; Outlays in GDP'!C726, "0.00"),""), "")</f>
        <v/>
      </c>
      <c r="D720" t="str">
        <f>IFERROR(IF(ISNUMBER('Revenues &amp; Outlays in GDP'!H726),TEXT('Revenues &amp; Outlays in GDP'!H726, "0.00"),""), "")</f>
        <v/>
      </c>
      <c r="E720" t="str">
        <f>IFERROR(IF(ISNUMBER('Revenues &amp; Outlays in GDP'!D726),TEXT('Revenues &amp; Outlays in GDP'!D726, "0.00"),""), "")</f>
        <v/>
      </c>
      <c r="F720" t="str">
        <f>IFERROR(IF(ISNUMBER('Revenues &amp; Outlays in GDP'!B726), 'Revenues &amp; Outlays in GDP'!J726, ""), "")</f>
        <v/>
      </c>
    </row>
    <row r="721" spans="1:6">
      <c r="A721" t="str">
        <f>TEXT(IF('Revenues &amp; Outlays in GDP'!B727&lt;&gt;0,'Revenues &amp; Outlays in GDP'!B727, ""), "mm/dd/yyyy")</f>
        <v/>
      </c>
      <c r="B721" t="str">
        <f>IFERROR(IF(ISNUMBER('Revenues &amp; Outlays in GDP'!G727),TEXT('Revenues &amp; Outlays in GDP'!G727, "0.00"),""), "")</f>
        <v/>
      </c>
      <c r="C721" t="str">
        <f>IFERROR(IF(ISNUMBER('Revenues &amp; Outlays in GDP'!C727),TEXT('Revenues &amp; Outlays in GDP'!C727, "0.00"),""), "")</f>
        <v/>
      </c>
      <c r="D721" t="str">
        <f>IFERROR(IF(ISNUMBER('Revenues &amp; Outlays in GDP'!H727),TEXT('Revenues &amp; Outlays in GDP'!H727, "0.00"),""), "")</f>
        <v/>
      </c>
      <c r="E721" t="str">
        <f>IFERROR(IF(ISNUMBER('Revenues &amp; Outlays in GDP'!D727),TEXT('Revenues &amp; Outlays in GDP'!D727, "0.00"),""), "")</f>
        <v/>
      </c>
      <c r="F721" t="str">
        <f>IFERROR(IF(ISNUMBER('Revenues &amp; Outlays in GDP'!B727), 'Revenues &amp; Outlays in GDP'!J727, ""), "")</f>
        <v/>
      </c>
    </row>
    <row r="722" spans="1:6">
      <c r="A722" t="str">
        <f>TEXT(IF('Revenues &amp; Outlays in GDP'!B728&lt;&gt;0,'Revenues &amp; Outlays in GDP'!B728, ""), "mm/dd/yyyy")</f>
        <v/>
      </c>
      <c r="B722" t="str">
        <f>IFERROR(IF(ISNUMBER('Revenues &amp; Outlays in GDP'!G728),TEXT('Revenues &amp; Outlays in GDP'!G728, "0.00"),""), "")</f>
        <v/>
      </c>
      <c r="C722" t="str">
        <f>IFERROR(IF(ISNUMBER('Revenues &amp; Outlays in GDP'!C728),TEXT('Revenues &amp; Outlays in GDP'!C728, "0.00"),""), "")</f>
        <v/>
      </c>
      <c r="D722" t="str">
        <f>IFERROR(IF(ISNUMBER('Revenues &amp; Outlays in GDP'!H728),TEXT('Revenues &amp; Outlays in GDP'!H728, "0.00"),""), "")</f>
        <v/>
      </c>
      <c r="E722" t="str">
        <f>IFERROR(IF(ISNUMBER('Revenues &amp; Outlays in GDP'!D728),TEXT('Revenues &amp; Outlays in GDP'!D728, "0.00"),""), "")</f>
        <v/>
      </c>
      <c r="F722" t="str">
        <f>IFERROR(IF(ISNUMBER('Revenues &amp; Outlays in GDP'!B728), 'Revenues &amp; Outlays in GDP'!J728, ""), "")</f>
        <v/>
      </c>
    </row>
    <row r="723" spans="1:6">
      <c r="A723" t="str">
        <f>TEXT(IF('Revenues &amp; Outlays in GDP'!B729&lt;&gt;0,'Revenues &amp; Outlays in GDP'!B729, ""), "mm/dd/yyyy")</f>
        <v/>
      </c>
      <c r="B723" t="str">
        <f>IFERROR(IF(ISNUMBER('Revenues &amp; Outlays in GDP'!G729),TEXT('Revenues &amp; Outlays in GDP'!G729, "0.00"),""), "")</f>
        <v/>
      </c>
      <c r="C723" t="str">
        <f>IFERROR(IF(ISNUMBER('Revenues &amp; Outlays in GDP'!C729),TEXT('Revenues &amp; Outlays in GDP'!C729, "0.00"),""), "")</f>
        <v/>
      </c>
      <c r="D723" t="str">
        <f>IFERROR(IF(ISNUMBER('Revenues &amp; Outlays in GDP'!H729),TEXT('Revenues &amp; Outlays in GDP'!H729, "0.00"),""), "")</f>
        <v/>
      </c>
      <c r="E723" t="str">
        <f>IFERROR(IF(ISNUMBER('Revenues &amp; Outlays in GDP'!D729),TEXT('Revenues &amp; Outlays in GDP'!D729, "0.00"),""), "")</f>
        <v/>
      </c>
      <c r="F723" t="str">
        <f>IFERROR(IF(ISNUMBER('Revenues &amp; Outlays in GDP'!B729), 'Revenues &amp; Outlays in GDP'!J729, ""), "")</f>
        <v/>
      </c>
    </row>
    <row r="724" spans="1:6">
      <c r="A724" t="str">
        <f>TEXT(IF('Revenues &amp; Outlays in GDP'!B730&lt;&gt;0,'Revenues &amp; Outlays in GDP'!B730, ""), "mm/dd/yyyy")</f>
        <v/>
      </c>
      <c r="B724" t="str">
        <f>IFERROR(IF(ISNUMBER('Revenues &amp; Outlays in GDP'!G730),TEXT('Revenues &amp; Outlays in GDP'!G730, "0.00"),""), "")</f>
        <v/>
      </c>
      <c r="C724" t="str">
        <f>IFERROR(IF(ISNUMBER('Revenues &amp; Outlays in GDP'!C730),TEXT('Revenues &amp; Outlays in GDP'!C730, "0.00"),""), "")</f>
        <v/>
      </c>
      <c r="D724" t="str">
        <f>IFERROR(IF(ISNUMBER('Revenues &amp; Outlays in GDP'!H730),TEXT('Revenues &amp; Outlays in GDP'!H730, "0.00"),""), "")</f>
        <v/>
      </c>
      <c r="E724" t="str">
        <f>IFERROR(IF(ISNUMBER('Revenues &amp; Outlays in GDP'!D730),TEXT('Revenues &amp; Outlays in GDP'!D730, "0.00"),""), "")</f>
        <v/>
      </c>
      <c r="F724" t="str">
        <f>IFERROR(IF(ISNUMBER('Revenues &amp; Outlays in GDP'!B730), 'Revenues &amp; Outlays in GDP'!J730, ""), "")</f>
        <v/>
      </c>
    </row>
    <row r="725" spans="1:6">
      <c r="A725" t="str">
        <f>TEXT(IF('Revenues &amp; Outlays in GDP'!B731&lt;&gt;0,'Revenues &amp; Outlays in GDP'!B731, ""), "mm/dd/yyyy")</f>
        <v/>
      </c>
      <c r="B725" t="str">
        <f>IFERROR(IF(ISNUMBER('Revenues &amp; Outlays in GDP'!G731),TEXT('Revenues &amp; Outlays in GDP'!G731, "0.00"),""), "")</f>
        <v/>
      </c>
      <c r="C725" t="str">
        <f>IFERROR(IF(ISNUMBER('Revenues &amp; Outlays in GDP'!C731),TEXT('Revenues &amp; Outlays in GDP'!C731, "0.00"),""), "")</f>
        <v/>
      </c>
      <c r="D725" t="str">
        <f>IFERROR(IF(ISNUMBER('Revenues &amp; Outlays in GDP'!H731),TEXT('Revenues &amp; Outlays in GDP'!H731, "0.00"),""), "")</f>
        <v/>
      </c>
      <c r="E725" t="str">
        <f>IFERROR(IF(ISNUMBER('Revenues &amp; Outlays in GDP'!D731),TEXT('Revenues &amp; Outlays in GDP'!D731, "0.00"),""), "")</f>
        <v/>
      </c>
      <c r="F725" t="str">
        <f>IFERROR(IF(ISNUMBER('Revenues &amp; Outlays in GDP'!B731), 'Revenues &amp; Outlays in GDP'!J731, ""), "")</f>
        <v/>
      </c>
    </row>
    <row r="726" spans="1:6">
      <c r="A726" t="str">
        <f>TEXT(IF('Revenues &amp; Outlays in GDP'!B732&lt;&gt;0,'Revenues &amp; Outlays in GDP'!B732, ""), "mm/dd/yyyy")</f>
        <v/>
      </c>
      <c r="B726" t="str">
        <f>IFERROR(IF(ISNUMBER('Revenues &amp; Outlays in GDP'!G732),TEXT('Revenues &amp; Outlays in GDP'!G732, "0.00"),""), "")</f>
        <v/>
      </c>
      <c r="C726" t="str">
        <f>IFERROR(IF(ISNUMBER('Revenues &amp; Outlays in GDP'!C732),TEXT('Revenues &amp; Outlays in GDP'!C732, "0.00"),""), "")</f>
        <v/>
      </c>
      <c r="D726" t="str">
        <f>IFERROR(IF(ISNUMBER('Revenues &amp; Outlays in GDP'!H732),TEXT('Revenues &amp; Outlays in GDP'!H732, "0.00"),""), "")</f>
        <v/>
      </c>
      <c r="E726" t="str">
        <f>IFERROR(IF(ISNUMBER('Revenues &amp; Outlays in GDP'!D732),TEXT('Revenues &amp; Outlays in GDP'!D732, "0.00"),""), "")</f>
        <v/>
      </c>
      <c r="F726" t="str">
        <f>IFERROR(IF(ISNUMBER('Revenues &amp; Outlays in GDP'!B732), 'Revenues &amp; Outlays in GDP'!J732, ""), "")</f>
        <v/>
      </c>
    </row>
    <row r="727" spans="1:6">
      <c r="A727" t="str">
        <f>TEXT(IF('Revenues &amp; Outlays in GDP'!B733&lt;&gt;0,'Revenues &amp; Outlays in GDP'!B733, ""), "mm/dd/yyyy")</f>
        <v/>
      </c>
      <c r="B727" t="str">
        <f>IFERROR(IF(ISNUMBER('Revenues &amp; Outlays in GDP'!G733),TEXT('Revenues &amp; Outlays in GDP'!G733, "0.00"),""), "")</f>
        <v/>
      </c>
      <c r="C727" t="str">
        <f>IFERROR(IF(ISNUMBER('Revenues &amp; Outlays in GDP'!C733),TEXT('Revenues &amp; Outlays in GDP'!C733, "0.00"),""), "")</f>
        <v/>
      </c>
      <c r="D727" t="str">
        <f>IFERROR(IF(ISNUMBER('Revenues &amp; Outlays in GDP'!H733),TEXT('Revenues &amp; Outlays in GDP'!H733, "0.00"),""), "")</f>
        <v/>
      </c>
      <c r="E727" t="str">
        <f>IFERROR(IF(ISNUMBER('Revenues &amp; Outlays in GDP'!D733),TEXT('Revenues &amp; Outlays in GDP'!D733, "0.00"),""), "")</f>
        <v/>
      </c>
      <c r="F727" t="str">
        <f>IFERROR(IF(ISNUMBER('Revenues &amp; Outlays in GDP'!B733), 'Revenues &amp; Outlays in GDP'!J733, ""), "")</f>
        <v/>
      </c>
    </row>
    <row r="728" spans="1:6">
      <c r="A728" t="str">
        <f>TEXT(IF('Revenues &amp; Outlays in GDP'!B734&lt;&gt;0,'Revenues &amp; Outlays in GDP'!B734, ""), "mm/dd/yyyy")</f>
        <v/>
      </c>
      <c r="B728" t="str">
        <f>IFERROR(IF(ISNUMBER('Revenues &amp; Outlays in GDP'!G734),TEXT('Revenues &amp; Outlays in GDP'!G734, "0.00"),""), "")</f>
        <v/>
      </c>
      <c r="C728" t="str">
        <f>IFERROR(IF(ISNUMBER('Revenues &amp; Outlays in GDP'!C734),TEXT('Revenues &amp; Outlays in GDP'!C734, "0.00"),""), "")</f>
        <v/>
      </c>
      <c r="D728" t="str">
        <f>IFERROR(IF(ISNUMBER('Revenues &amp; Outlays in GDP'!H734),TEXT('Revenues &amp; Outlays in GDP'!H734, "0.00"),""), "")</f>
        <v/>
      </c>
      <c r="E728" t="str">
        <f>IFERROR(IF(ISNUMBER('Revenues &amp; Outlays in GDP'!D734),TEXT('Revenues &amp; Outlays in GDP'!D734, "0.00"),""), "")</f>
        <v/>
      </c>
      <c r="F728" t="str">
        <f>IFERROR(IF(ISNUMBER('Revenues &amp; Outlays in GDP'!B734), 'Revenues &amp; Outlays in GDP'!J734, ""), "")</f>
        <v/>
      </c>
    </row>
    <row r="729" spans="1:6">
      <c r="A729" t="str">
        <f>TEXT(IF('Revenues &amp; Outlays in GDP'!B735&lt;&gt;0,'Revenues &amp; Outlays in GDP'!B735, ""), "mm/dd/yyyy")</f>
        <v/>
      </c>
      <c r="B729" t="str">
        <f>IFERROR(IF(ISNUMBER('Revenues &amp; Outlays in GDP'!G735),TEXT('Revenues &amp; Outlays in GDP'!G735, "0.00"),""), "")</f>
        <v/>
      </c>
      <c r="C729" t="str">
        <f>IFERROR(IF(ISNUMBER('Revenues &amp; Outlays in GDP'!C735),TEXT('Revenues &amp; Outlays in GDP'!C735, "0.00"),""), "")</f>
        <v/>
      </c>
      <c r="D729" t="str">
        <f>IFERROR(IF(ISNUMBER('Revenues &amp; Outlays in GDP'!H735),TEXT('Revenues &amp; Outlays in GDP'!H735, "0.00"),""), "")</f>
        <v/>
      </c>
      <c r="E729" t="str">
        <f>IFERROR(IF(ISNUMBER('Revenues &amp; Outlays in GDP'!D735),TEXT('Revenues &amp; Outlays in GDP'!D735, "0.00"),""), "")</f>
        <v/>
      </c>
      <c r="F729" t="str">
        <f>IFERROR(IF(ISNUMBER('Revenues &amp; Outlays in GDP'!B735), 'Revenues &amp; Outlays in GDP'!J735, ""), "")</f>
        <v/>
      </c>
    </row>
    <row r="730" spans="1:6">
      <c r="A730" t="str">
        <f>TEXT(IF('Revenues &amp; Outlays in GDP'!B736&lt;&gt;0,'Revenues &amp; Outlays in GDP'!B736, ""), "mm/dd/yyyy")</f>
        <v/>
      </c>
      <c r="B730" t="str">
        <f>IFERROR(IF(ISNUMBER('Revenues &amp; Outlays in GDP'!G736),TEXT('Revenues &amp; Outlays in GDP'!G736, "0.00"),""), "")</f>
        <v/>
      </c>
      <c r="C730" t="str">
        <f>IFERROR(IF(ISNUMBER('Revenues &amp; Outlays in GDP'!C736),TEXT('Revenues &amp; Outlays in GDP'!C736, "0.00"),""), "")</f>
        <v/>
      </c>
      <c r="D730" t="str">
        <f>IFERROR(IF(ISNUMBER('Revenues &amp; Outlays in GDP'!H736),TEXT('Revenues &amp; Outlays in GDP'!H736, "0.00"),""), "")</f>
        <v/>
      </c>
      <c r="E730" t="str">
        <f>IFERROR(IF(ISNUMBER('Revenues &amp; Outlays in GDP'!D736),TEXT('Revenues &amp; Outlays in GDP'!D736, "0.00"),""), "")</f>
        <v/>
      </c>
      <c r="F730" t="str">
        <f>IFERROR(IF(ISNUMBER('Revenues &amp; Outlays in GDP'!B736), 'Revenues &amp; Outlays in GDP'!J736, ""), "")</f>
        <v/>
      </c>
    </row>
    <row r="731" spans="1:6">
      <c r="A731" t="str">
        <f>TEXT(IF('Revenues &amp; Outlays in GDP'!B737&lt;&gt;0,'Revenues &amp; Outlays in GDP'!B737, ""), "mm/dd/yyyy")</f>
        <v/>
      </c>
      <c r="B731" t="str">
        <f>IFERROR(IF(ISNUMBER('Revenues &amp; Outlays in GDP'!G737),TEXT('Revenues &amp; Outlays in GDP'!G737, "0.00"),""), "")</f>
        <v/>
      </c>
      <c r="C731" t="str">
        <f>IFERROR(IF(ISNUMBER('Revenues &amp; Outlays in GDP'!C737),TEXT('Revenues &amp; Outlays in GDP'!C737, "0.00"),""), "")</f>
        <v/>
      </c>
      <c r="D731" t="str">
        <f>IFERROR(IF(ISNUMBER('Revenues &amp; Outlays in GDP'!H737),TEXT('Revenues &amp; Outlays in GDP'!H737, "0.00"),""), "")</f>
        <v/>
      </c>
      <c r="E731" t="str">
        <f>IFERROR(IF(ISNUMBER('Revenues &amp; Outlays in GDP'!D737),TEXT('Revenues &amp; Outlays in GDP'!D737, "0.00"),""), "")</f>
        <v/>
      </c>
      <c r="F731" t="str">
        <f>IFERROR(IF(ISNUMBER('Revenues &amp; Outlays in GDP'!B737), 'Revenues &amp; Outlays in GDP'!J737, ""), "")</f>
        <v/>
      </c>
    </row>
    <row r="732" spans="1:6">
      <c r="A732" t="str">
        <f>TEXT(IF('Revenues &amp; Outlays in GDP'!B738&lt;&gt;0,'Revenues &amp; Outlays in GDP'!B738, ""), "mm/dd/yyyy")</f>
        <v/>
      </c>
      <c r="B732" t="str">
        <f>IFERROR(IF(ISNUMBER('Revenues &amp; Outlays in GDP'!G738),TEXT('Revenues &amp; Outlays in GDP'!G738, "0.00"),""), "")</f>
        <v/>
      </c>
      <c r="C732" t="str">
        <f>IFERROR(IF(ISNUMBER('Revenues &amp; Outlays in GDP'!C738),TEXT('Revenues &amp; Outlays in GDP'!C738, "0.00"),""), "")</f>
        <v/>
      </c>
      <c r="D732" t="str">
        <f>IFERROR(IF(ISNUMBER('Revenues &amp; Outlays in GDP'!H738),TEXT('Revenues &amp; Outlays in GDP'!H738, "0.00"),""), "")</f>
        <v/>
      </c>
      <c r="E732" t="str">
        <f>IFERROR(IF(ISNUMBER('Revenues &amp; Outlays in GDP'!D738),TEXT('Revenues &amp; Outlays in GDP'!D738, "0.00"),""), "")</f>
        <v/>
      </c>
      <c r="F732" t="str">
        <f>IFERROR(IF(ISNUMBER('Revenues &amp; Outlays in GDP'!B738), 'Revenues &amp; Outlays in GDP'!J738, ""), "")</f>
        <v/>
      </c>
    </row>
    <row r="733" spans="1:6">
      <c r="A733" t="str">
        <f>TEXT(IF('Revenues &amp; Outlays in GDP'!B739&lt;&gt;0,'Revenues &amp; Outlays in GDP'!B739, ""), "mm/dd/yyyy")</f>
        <v/>
      </c>
      <c r="B733" t="str">
        <f>IFERROR(IF(ISNUMBER('Revenues &amp; Outlays in GDP'!G739),TEXT('Revenues &amp; Outlays in GDP'!G739, "0.00"),""), "")</f>
        <v/>
      </c>
      <c r="C733" t="str">
        <f>IFERROR(IF(ISNUMBER('Revenues &amp; Outlays in GDP'!C739),TEXT('Revenues &amp; Outlays in GDP'!C739, "0.00"),""), "")</f>
        <v/>
      </c>
      <c r="D733" t="str">
        <f>IFERROR(IF(ISNUMBER('Revenues &amp; Outlays in GDP'!H739),TEXT('Revenues &amp; Outlays in GDP'!H739, "0.00"),""), "")</f>
        <v/>
      </c>
      <c r="E733" t="str">
        <f>IFERROR(IF(ISNUMBER('Revenues &amp; Outlays in GDP'!D739),TEXT('Revenues &amp; Outlays in GDP'!D739, "0.00"),""), "")</f>
        <v/>
      </c>
      <c r="F733" t="str">
        <f>IFERROR(IF(ISNUMBER('Revenues &amp; Outlays in GDP'!B739), 'Revenues &amp; Outlays in GDP'!J739, ""), "")</f>
        <v/>
      </c>
    </row>
    <row r="734" spans="1:6">
      <c r="A734" t="str">
        <f>TEXT(IF('Revenues &amp; Outlays in GDP'!B740&lt;&gt;0,'Revenues &amp; Outlays in GDP'!B740, ""), "mm/dd/yyyy")</f>
        <v/>
      </c>
      <c r="B734" t="str">
        <f>IFERROR(IF(ISNUMBER('Revenues &amp; Outlays in GDP'!G740),TEXT('Revenues &amp; Outlays in GDP'!G740, "0.00"),""), "")</f>
        <v/>
      </c>
      <c r="C734" t="str">
        <f>IFERROR(IF(ISNUMBER('Revenues &amp; Outlays in GDP'!C740),TEXT('Revenues &amp; Outlays in GDP'!C740, "0.00"),""), "")</f>
        <v/>
      </c>
      <c r="D734" t="str">
        <f>IFERROR(IF(ISNUMBER('Revenues &amp; Outlays in GDP'!H740),TEXT('Revenues &amp; Outlays in GDP'!H740, "0.00"),""), "")</f>
        <v/>
      </c>
      <c r="E734" t="str">
        <f>IFERROR(IF(ISNUMBER('Revenues &amp; Outlays in GDP'!D740),TEXT('Revenues &amp; Outlays in GDP'!D740, "0.00"),""), "")</f>
        <v/>
      </c>
      <c r="F734" t="str">
        <f>IFERROR(IF(ISNUMBER('Revenues &amp; Outlays in GDP'!B740), 'Revenues &amp; Outlays in GDP'!J740, ""), "")</f>
        <v/>
      </c>
    </row>
    <row r="735" spans="1:6">
      <c r="A735" t="str">
        <f>TEXT(IF('Revenues &amp; Outlays in GDP'!B741&lt;&gt;0,'Revenues &amp; Outlays in GDP'!B741, ""), "mm/dd/yyyy")</f>
        <v/>
      </c>
      <c r="B735" t="str">
        <f>IFERROR(IF(ISNUMBER('Revenues &amp; Outlays in GDP'!G741),TEXT('Revenues &amp; Outlays in GDP'!G741, "0.00"),""), "")</f>
        <v/>
      </c>
      <c r="C735" t="str">
        <f>IFERROR(IF(ISNUMBER('Revenues &amp; Outlays in GDP'!C741),TEXT('Revenues &amp; Outlays in GDP'!C741, "0.00"),""), "")</f>
        <v/>
      </c>
      <c r="D735" t="str">
        <f>IFERROR(IF(ISNUMBER('Revenues &amp; Outlays in GDP'!H741),TEXT('Revenues &amp; Outlays in GDP'!H741, "0.00"),""), "")</f>
        <v/>
      </c>
      <c r="E735" t="str">
        <f>IFERROR(IF(ISNUMBER('Revenues &amp; Outlays in GDP'!D741),TEXT('Revenues &amp; Outlays in GDP'!D741, "0.00"),""), "")</f>
        <v/>
      </c>
      <c r="F735" t="str">
        <f>IFERROR(IF(ISNUMBER('Revenues &amp; Outlays in GDP'!B741), 'Revenues &amp; Outlays in GDP'!J741, ""), "")</f>
        <v/>
      </c>
    </row>
    <row r="736" spans="1:6">
      <c r="A736" t="str">
        <f>TEXT(IF('Revenues &amp; Outlays in GDP'!B742&lt;&gt;0,'Revenues &amp; Outlays in GDP'!B742, ""), "mm/dd/yyyy")</f>
        <v/>
      </c>
      <c r="B736" t="str">
        <f>IFERROR(IF(ISNUMBER('Revenues &amp; Outlays in GDP'!G742),TEXT('Revenues &amp; Outlays in GDP'!G742, "0.00"),""), "")</f>
        <v/>
      </c>
      <c r="C736" t="str">
        <f>IFERROR(IF(ISNUMBER('Revenues &amp; Outlays in GDP'!C742),TEXT('Revenues &amp; Outlays in GDP'!C742, "0.00"),""), "")</f>
        <v/>
      </c>
      <c r="D736" t="str">
        <f>IFERROR(IF(ISNUMBER('Revenues &amp; Outlays in GDP'!H742),TEXT('Revenues &amp; Outlays in GDP'!H742, "0.00"),""), "")</f>
        <v/>
      </c>
      <c r="E736" t="str">
        <f>IFERROR(IF(ISNUMBER('Revenues &amp; Outlays in GDP'!D742),TEXT('Revenues &amp; Outlays in GDP'!D742, "0.00"),""), "")</f>
        <v/>
      </c>
      <c r="F736" t="str">
        <f>IFERROR(IF(ISNUMBER('Revenues &amp; Outlays in GDP'!B742), 'Revenues &amp; Outlays in GDP'!J742, ""), "")</f>
        <v/>
      </c>
    </row>
    <row r="737" spans="1:6">
      <c r="A737" t="str">
        <f>TEXT(IF('Revenues &amp; Outlays in GDP'!B743&lt;&gt;0,'Revenues &amp; Outlays in GDP'!B743, ""), "mm/dd/yyyy")</f>
        <v/>
      </c>
      <c r="B737" t="str">
        <f>IFERROR(IF(ISNUMBER('Revenues &amp; Outlays in GDP'!G743),TEXT('Revenues &amp; Outlays in GDP'!G743, "0.00"),""), "")</f>
        <v/>
      </c>
      <c r="C737" t="str">
        <f>IFERROR(IF(ISNUMBER('Revenues &amp; Outlays in GDP'!C743),TEXT('Revenues &amp; Outlays in GDP'!C743, "0.00"),""), "")</f>
        <v/>
      </c>
      <c r="D737" t="str">
        <f>IFERROR(IF(ISNUMBER('Revenues &amp; Outlays in GDP'!H743),TEXT('Revenues &amp; Outlays in GDP'!H743, "0.00"),""), "")</f>
        <v/>
      </c>
      <c r="E737" t="str">
        <f>IFERROR(IF(ISNUMBER('Revenues &amp; Outlays in GDP'!D743),TEXT('Revenues &amp; Outlays in GDP'!D743, "0.00"),""), "")</f>
        <v/>
      </c>
      <c r="F737" t="str">
        <f>IFERROR(IF(ISNUMBER('Revenues &amp; Outlays in GDP'!B743), 'Revenues &amp; Outlays in GDP'!J743, ""), "")</f>
        <v/>
      </c>
    </row>
    <row r="738" spans="1:6">
      <c r="A738" t="str">
        <f>TEXT(IF('Revenues &amp; Outlays in GDP'!B744&lt;&gt;0,'Revenues &amp; Outlays in GDP'!B744, ""), "mm/dd/yyyy")</f>
        <v/>
      </c>
      <c r="B738" t="str">
        <f>IFERROR(IF(ISNUMBER('Revenues &amp; Outlays in GDP'!G744),TEXT('Revenues &amp; Outlays in GDP'!G744, "0.00"),""), "")</f>
        <v/>
      </c>
      <c r="C738" t="str">
        <f>IFERROR(IF(ISNUMBER('Revenues &amp; Outlays in GDP'!C744),TEXT('Revenues &amp; Outlays in GDP'!C744, "0.00"),""), "")</f>
        <v/>
      </c>
      <c r="D738" t="str">
        <f>IFERROR(IF(ISNUMBER('Revenues &amp; Outlays in GDP'!H744),TEXT('Revenues &amp; Outlays in GDP'!H744, "0.00"),""), "")</f>
        <v/>
      </c>
      <c r="E738" t="str">
        <f>IFERROR(IF(ISNUMBER('Revenues &amp; Outlays in GDP'!D744),TEXT('Revenues &amp; Outlays in GDP'!D744, "0.00"),""), "")</f>
        <v/>
      </c>
      <c r="F738" t="str">
        <f>IFERROR(IF(ISNUMBER('Revenues &amp; Outlays in GDP'!B744), 'Revenues &amp; Outlays in GDP'!J744, ""), "")</f>
        <v/>
      </c>
    </row>
    <row r="739" spans="1:6">
      <c r="A739" t="str">
        <f>TEXT(IF('Revenues &amp; Outlays in GDP'!B745&lt;&gt;0,'Revenues &amp; Outlays in GDP'!B745, ""), "mm/dd/yyyy")</f>
        <v/>
      </c>
      <c r="B739" t="str">
        <f>IFERROR(IF(ISNUMBER('Revenues &amp; Outlays in GDP'!G745),TEXT('Revenues &amp; Outlays in GDP'!G745, "0.00"),""), "")</f>
        <v/>
      </c>
      <c r="C739" t="str">
        <f>IFERROR(IF(ISNUMBER('Revenues &amp; Outlays in GDP'!C745),TEXT('Revenues &amp; Outlays in GDP'!C745, "0.00"),""), "")</f>
        <v/>
      </c>
      <c r="D739" t="str">
        <f>IFERROR(IF(ISNUMBER('Revenues &amp; Outlays in GDP'!H745),TEXT('Revenues &amp; Outlays in GDP'!H745, "0.00"),""), "")</f>
        <v/>
      </c>
      <c r="E739" t="str">
        <f>IFERROR(IF(ISNUMBER('Revenues &amp; Outlays in GDP'!D745),TEXT('Revenues &amp; Outlays in GDP'!D745, "0.00"),""), "")</f>
        <v/>
      </c>
      <c r="F739" t="str">
        <f>IFERROR(IF(ISNUMBER('Revenues &amp; Outlays in GDP'!B745), 'Revenues &amp; Outlays in GDP'!J745, ""), "")</f>
        <v/>
      </c>
    </row>
    <row r="740" spans="1:6">
      <c r="A740" t="str">
        <f>TEXT(IF('Revenues &amp; Outlays in GDP'!B746&lt;&gt;0,'Revenues &amp; Outlays in GDP'!B746, ""), "mm/dd/yyyy")</f>
        <v/>
      </c>
      <c r="B740" t="str">
        <f>IFERROR(IF(ISNUMBER('Revenues &amp; Outlays in GDP'!G746),TEXT('Revenues &amp; Outlays in GDP'!G746, "0.00"),""), "")</f>
        <v/>
      </c>
      <c r="C740" t="str">
        <f>IFERROR(IF(ISNUMBER('Revenues &amp; Outlays in GDP'!C746),TEXT('Revenues &amp; Outlays in GDP'!C746, "0.00"),""), "")</f>
        <v/>
      </c>
      <c r="D740" t="str">
        <f>IFERROR(IF(ISNUMBER('Revenues &amp; Outlays in GDP'!H746),TEXT('Revenues &amp; Outlays in GDP'!H746, "0.00"),""), "")</f>
        <v/>
      </c>
      <c r="E740" t="str">
        <f>IFERROR(IF(ISNUMBER('Revenues &amp; Outlays in GDP'!D746),TEXT('Revenues &amp; Outlays in GDP'!D746, "0.00"),""), "")</f>
        <v/>
      </c>
      <c r="F740" t="str">
        <f>IFERROR(IF(ISNUMBER('Revenues &amp; Outlays in GDP'!B746), 'Revenues &amp; Outlays in GDP'!J746, ""), "")</f>
        <v/>
      </c>
    </row>
    <row r="741" spans="1:6">
      <c r="A741" t="str">
        <f>TEXT(IF('Revenues &amp; Outlays in GDP'!B747&lt;&gt;0,'Revenues &amp; Outlays in GDP'!B747, ""), "mm/dd/yyyy")</f>
        <v/>
      </c>
      <c r="B741" t="str">
        <f>IFERROR(IF(ISNUMBER('Revenues &amp; Outlays in GDP'!G747),TEXT('Revenues &amp; Outlays in GDP'!G747, "0.00"),""), "")</f>
        <v/>
      </c>
      <c r="C741" t="str">
        <f>IFERROR(IF(ISNUMBER('Revenues &amp; Outlays in GDP'!C747),TEXT('Revenues &amp; Outlays in GDP'!C747, "0.00"),""), "")</f>
        <v/>
      </c>
      <c r="D741" t="str">
        <f>IFERROR(IF(ISNUMBER('Revenues &amp; Outlays in GDP'!H747),TEXT('Revenues &amp; Outlays in GDP'!H747, "0.00"),""), "")</f>
        <v/>
      </c>
      <c r="E741" t="str">
        <f>IFERROR(IF(ISNUMBER('Revenues &amp; Outlays in GDP'!D747),TEXT('Revenues &amp; Outlays in GDP'!D747, "0.00"),""), "")</f>
        <v/>
      </c>
      <c r="F741" t="str">
        <f>IFERROR(IF(ISNUMBER('Revenues &amp; Outlays in GDP'!B747), 'Revenues &amp; Outlays in GDP'!J747, ""), "")</f>
        <v/>
      </c>
    </row>
    <row r="742" spans="1:6">
      <c r="A742" t="str">
        <f>TEXT(IF('Revenues &amp; Outlays in GDP'!B748&lt;&gt;0,'Revenues &amp; Outlays in GDP'!B748, ""), "mm/dd/yyyy")</f>
        <v/>
      </c>
      <c r="B742" t="str">
        <f>IFERROR(IF(ISNUMBER('Revenues &amp; Outlays in GDP'!G748),TEXT('Revenues &amp; Outlays in GDP'!G748, "0.00"),""), "")</f>
        <v/>
      </c>
      <c r="C742" t="str">
        <f>IFERROR(IF(ISNUMBER('Revenues &amp; Outlays in GDP'!C748),TEXT('Revenues &amp; Outlays in GDP'!C748, "0.00"),""), "")</f>
        <v/>
      </c>
      <c r="D742" t="str">
        <f>IFERROR(IF(ISNUMBER('Revenues &amp; Outlays in GDP'!H748),TEXT('Revenues &amp; Outlays in GDP'!H748, "0.00"),""), "")</f>
        <v/>
      </c>
      <c r="E742" t="str">
        <f>IFERROR(IF(ISNUMBER('Revenues &amp; Outlays in GDP'!D748),TEXT('Revenues &amp; Outlays in GDP'!D748, "0.00"),""), "")</f>
        <v/>
      </c>
      <c r="F742" t="str">
        <f>IFERROR(IF(ISNUMBER('Revenues &amp; Outlays in GDP'!B748), 'Revenues &amp; Outlays in GDP'!J748, ""), "")</f>
        <v/>
      </c>
    </row>
    <row r="743" spans="1:6">
      <c r="A743" t="str">
        <f>TEXT(IF('Revenues &amp; Outlays in GDP'!B749&lt;&gt;0,'Revenues &amp; Outlays in GDP'!B749, ""), "mm/dd/yyyy")</f>
        <v/>
      </c>
      <c r="B743" t="str">
        <f>IFERROR(IF(ISNUMBER('Revenues &amp; Outlays in GDP'!G749),TEXT('Revenues &amp; Outlays in GDP'!G749, "0.00"),""), "")</f>
        <v/>
      </c>
      <c r="C743" t="str">
        <f>IFERROR(IF(ISNUMBER('Revenues &amp; Outlays in GDP'!C749),TEXT('Revenues &amp; Outlays in GDP'!C749, "0.00"),""), "")</f>
        <v/>
      </c>
      <c r="D743" t="str">
        <f>IFERROR(IF(ISNUMBER('Revenues &amp; Outlays in GDP'!H749),TEXT('Revenues &amp; Outlays in GDP'!H749, "0.00"),""), "")</f>
        <v/>
      </c>
      <c r="E743" t="str">
        <f>IFERROR(IF(ISNUMBER('Revenues &amp; Outlays in GDP'!D749),TEXT('Revenues &amp; Outlays in GDP'!D749, "0.00"),""), "")</f>
        <v/>
      </c>
      <c r="F743" t="str">
        <f>IFERROR(IF(ISNUMBER('Revenues &amp; Outlays in GDP'!B749), 'Revenues &amp; Outlays in GDP'!J749, ""), "")</f>
        <v/>
      </c>
    </row>
    <row r="744" spans="1:6">
      <c r="A744" t="str">
        <f>TEXT(IF('Revenues &amp; Outlays in GDP'!B750&lt;&gt;0,'Revenues &amp; Outlays in GDP'!B750, ""), "mm/dd/yyyy")</f>
        <v/>
      </c>
      <c r="B744" t="str">
        <f>IFERROR(IF(ISNUMBER('Revenues &amp; Outlays in GDP'!G750),TEXT('Revenues &amp; Outlays in GDP'!G750, "0.00"),""), "")</f>
        <v/>
      </c>
      <c r="C744" t="str">
        <f>IFERROR(IF(ISNUMBER('Revenues &amp; Outlays in GDP'!C750),TEXT('Revenues &amp; Outlays in GDP'!C750, "0.00"),""), "")</f>
        <v/>
      </c>
      <c r="D744" t="str">
        <f>IFERROR(IF(ISNUMBER('Revenues &amp; Outlays in GDP'!H750),TEXT('Revenues &amp; Outlays in GDP'!H750, "0.00"),""), "")</f>
        <v/>
      </c>
      <c r="E744" t="str">
        <f>IFERROR(IF(ISNUMBER('Revenues &amp; Outlays in GDP'!D750),TEXT('Revenues &amp; Outlays in GDP'!D750, "0.00"),""), "")</f>
        <v/>
      </c>
      <c r="F744" t="str">
        <f>IFERROR(IF(ISNUMBER('Revenues &amp; Outlays in GDP'!B750), 'Revenues &amp; Outlays in GDP'!J750, ""), "")</f>
        <v/>
      </c>
    </row>
    <row r="745" spans="1:6">
      <c r="A745" t="str">
        <f>TEXT(IF('Revenues &amp; Outlays in GDP'!B751&lt;&gt;0,'Revenues &amp; Outlays in GDP'!B751, ""), "mm/dd/yyyy")</f>
        <v/>
      </c>
      <c r="B745" t="str">
        <f>IFERROR(IF(ISNUMBER('Revenues &amp; Outlays in GDP'!G751),TEXT('Revenues &amp; Outlays in GDP'!G751, "0.00"),""), "")</f>
        <v/>
      </c>
      <c r="C745" t="str">
        <f>IFERROR(IF(ISNUMBER('Revenues &amp; Outlays in GDP'!C751),TEXT('Revenues &amp; Outlays in GDP'!C751, "0.00"),""), "")</f>
        <v/>
      </c>
      <c r="D745" t="str">
        <f>IFERROR(IF(ISNUMBER('Revenues &amp; Outlays in GDP'!H751),TEXT('Revenues &amp; Outlays in GDP'!H751, "0.00"),""), "")</f>
        <v/>
      </c>
      <c r="E745" t="str">
        <f>IFERROR(IF(ISNUMBER('Revenues &amp; Outlays in GDP'!D751),TEXT('Revenues &amp; Outlays in GDP'!D751, "0.00"),""), "")</f>
        <v/>
      </c>
      <c r="F745" t="str">
        <f>IFERROR(IF(ISNUMBER('Revenues &amp; Outlays in GDP'!B751), 'Revenues &amp; Outlays in GDP'!J751, ""), "")</f>
        <v/>
      </c>
    </row>
    <row r="746" spans="1:6">
      <c r="A746" t="str">
        <f>TEXT(IF('Revenues &amp; Outlays in GDP'!B752&lt;&gt;0,'Revenues &amp; Outlays in GDP'!B752, ""), "mm/dd/yyyy")</f>
        <v/>
      </c>
      <c r="B746" t="str">
        <f>IFERROR(IF(ISNUMBER('Revenues &amp; Outlays in GDP'!G752),TEXT('Revenues &amp; Outlays in GDP'!G752, "0.00"),""), "")</f>
        <v/>
      </c>
      <c r="C746" t="str">
        <f>IFERROR(IF(ISNUMBER('Revenues &amp; Outlays in GDP'!C752),TEXT('Revenues &amp; Outlays in GDP'!C752, "0.00"),""), "")</f>
        <v/>
      </c>
      <c r="D746" t="str">
        <f>IFERROR(IF(ISNUMBER('Revenues &amp; Outlays in GDP'!H752),TEXT('Revenues &amp; Outlays in GDP'!H752, "0.00"),""), "")</f>
        <v/>
      </c>
      <c r="E746" t="str">
        <f>IFERROR(IF(ISNUMBER('Revenues &amp; Outlays in GDP'!D752),TEXT('Revenues &amp; Outlays in GDP'!D752, "0.00"),""), "")</f>
        <v/>
      </c>
      <c r="F746" t="str">
        <f>IFERROR(IF(ISNUMBER('Revenues &amp; Outlays in GDP'!B752), 'Revenues &amp; Outlays in GDP'!J752, ""), "")</f>
        <v/>
      </c>
    </row>
    <row r="747" spans="1:6">
      <c r="A747" t="str">
        <f>TEXT(IF('Revenues &amp; Outlays in GDP'!B753&lt;&gt;0,'Revenues &amp; Outlays in GDP'!B753, ""), "mm/dd/yyyy")</f>
        <v/>
      </c>
      <c r="B747" t="str">
        <f>IFERROR(IF(ISNUMBER('Revenues &amp; Outlays in GDP'!G753),TEXT('Revenues &amp; Outlays in GDP'!G753, "0.00"),""), "")</f>
        <v/>
      </c>
      <c r="C747" t="str">
        <f>IFERROR(IF(ISNUMBER('Revenues &amp; Outlays in GDP'!C753),TEXT('Revenues &amp; Outlays in GDP'!C753, "0.00"),""), "")</f>
        <v/>
      </c>
      <c r="D747" t="str">
        <f>IFERROR(IF(ISNUMBER('Revenues &amp; Outlays in GDP'!H753),TEXT('Revenues &amp; Outlays in GDP'!H753, "0.00"),""), "")</f>
        <v/>
      </c>
      <c r="E747" t="str">
        <f>IFERROR(IF(ISNUMBER('Revenues &amp; Outlays in GDP'!D753),TEXT('Revenues &amp; Outlays in GDP'!D753, "0.00"),""), "")</f>
        <v/>
      </c>
      <c r="F747" t="str">
        <f>IFERROR(IF(ISNUMBER('Revenues &amp; Outlays in GDP'!B753), 'Revenues &amp; Outlays in GDP'!J753, ""), "")</f>
        <v/>
      </c>
    </row>
    <row r="748" spans="1:6">
      <c r="A748" t="str">
        <f>TEXT(IF('Revenues &amp; Outlays in GDP'!B754&lt;&gt;0,'Revenues &amp; Outlays in GDP'!B754, ""), "mm/dd/yyyy")</f>
        <v/>
      </c>
      <c r="B748" t="str">
        <f>IFERROR(IF(ISNUMBER('Revenues &amp; Outlays in GDP'!G754),TEXT('Revenues &amp; Outlays in GDP'!G754, "0.00"),""), "")</f>
        <v/>
      </c>
      <c r="C748" t="str">
        <f>IFERROR(IF(ISNUMBER('Revenues &amp; Outlays in GDP'!C754),TEXT('Revenues &amp; Outlays in GDP'!C754, "0.00"),""), "")</f>
        <v/>
      </c>
      <c r="D748" t="str">
        <f>IFERROR(IF(ISNUMBER('Revenues &amp; Outlays in GDP'!H754),TEXT('Revenues &amp; Outlays in GDP'!H754, "0.00"),""), "")</f>
        <v/>
      </c>
      <c r="E748" t="str">
        <f>IFERROR(IF(ISNUMBER('Revenues &amp; Outlays in GDP'!D754),TEXT('Revenues &amp; Outlays in GDP'!D754, "0.00"),""), "")</f>
        <v/>
      </c>
      <c r="F748" t="str">
        <f>IFERROR(IF(ISNUMBER('Revenues &amp; Outlays in GDP'!B754), 'Revenues &amp; Outlays in GDP'!J754, ""), "")</f>
        <v/>
      </c>
    </row>
    <row r="749" spans="1:6">
      <c r="A749" t="str">
        <f>TEXT(IF('Revenues &amp; Outlays in GDP'!B755&lt;&gt;0,'Revenues &amp; Outlays in GDP'!B755, ""), "mm/dd/yyyy")</f>
        <v/>
      </c>
      <c r="B749" t="str">
        <f>IFERROR(IF(ISNUMBER('Revenues &amp; Outlays in GDP'!G755),TEXT('Revenues &amp; Outlays in GDP'!G755, "0.00"),""), "")</f>
        <v/>
      </c>
      <c r="C749" t="str">
        <f>IFERROR(IF(ISNUMBER('Revenues &amp; Outlays in GDP'!C755),TEXT('Revenues &amp; Outlays in GDP'!C755, "0.00"),""), "")</f>
        <v/>
      </c>
      <c r="D749" t="str">
        <f>IFERROR(IF(ISNUMBER('Revenues &amp; Outlays in GDP'!H755),TEXT('Revenues &amp; Outlays in GDP'!H755, "0.00"),""), "")</f>
        <v/>
      </c>
      <c r="E749" t="str">
        <f>IFERROR(IF(ISNUMBER('Revenues &amp; Outlays in GDP'!D755),TEXT('Revenues &amp; Outlays in GDP'!D755, "0.00"),""), "")</f>
        <v/>
      </c>
      <c r="F749" t="str">
        <f>IFERROR(IF(ISNUMBER('Revenues &amp; Outlays in GDP'!B755), 'Revenues &amp; Outlays in GDP'!J755, ""), "")</f>
        <v/>
      </c>
    </row>
    <row r="750" spans="1:6">
      <c r="A750" t="str">
        <f>TEXT(IF('Revenues &amp; Outlays in GDP'!B756&lt;&gt;0,'Revenues &amp; Outlays in GDP'!B756, ""), "mm/dd/yyyy")</f>
        <v/>
      </c>
      <c r="B750" t="str">
        <f>IFERROR(IF(ISNUMBER('Revenues &amp; Outlays in GDP'!G756),TEXT('Revenues &amp; Outlays in GDP'!G756, "0.00"),""), "")</f>
        <v/>
      </c>
      <c r="C750" t="str">
        <f>IFERROR(IF(ISNUMBER('Revenues &amp; Outlays in GDP'!C756),TEXT('Revenues &amp; Outlays in GDP'!C756, "0.00"),""), "")</f>
        <v/>
      </c>
      <c r="D750" t="str">
        <f>IFERROR(IF(ISNUMBER('Revenues &amp; Outlays in GDP'!H756),TEXT('Revenues &amp; Outlays in GDP'!H756, "0.00"),""), "")</f>
        <v/>
      </c>
      <c r="E750" t="str">
        <f>IFERROR(IF(ISNUMBER('Revenues &amp; Outlays in GDP'!D756),TEXT('Revenues &amp; Outlays in GDP'!D756, "0.00"),""), "")</f>
        <v/>
      </c>
      <c r="F750" t="str">
        <f>IFERROR(IF(ISNUMBER('Revenues &amp; Outlays in GDP'!B756), 'Revenues &amp; Outlays in GDP'!J756, ""), "")</f>
        <v/>
      </c>
    </row>
    <row r="751" spans="1:6">
      <c r="A751" t="str">
        <f>TEXT(IF('Revenues &amp; Outlays in GDP'!B757&lt;&gt;0,'Revenues &amp; Outlays in GDP'!B757, ""), "mm/dd/yyyy")</f>
        <v/>
      </c>
      <c r="B751" t="str">
        <f>IFERROR(IF(ISNUMBER('Revenues &amp; Outlays in GDP'!G757),TEXT('Revenues &amp; Outlays in GDP'!G757, "0.00"),""), "")</f>
        <v/>
      </c>
      <c r="C751" t="str">
        <f>IFERROR(IF(ISNUMBER('Revenues &amp; Outlays in GDP'!C757),TEXT('Revenues &amp; Outlays in GDP'!C757, "0.00"),""), "")</f>
        <v/>
      </c>
      <c r="D751" t="str">
        <f>IFERROR(IF(ISNUMBER('Revenues &amp; Outlays in GDP'!H757),TEXT('Revenues &amp; Outlays in GDP'!H757, "0.00"),""), "")</f>
        <v/>
      </c>
      <c r="E751" t="str">
        <f>IFERROR(IF(ISNUMBER('Revenues &amp; Outlays in GDP'!D757),TEXT('Revenues &amp; Outlays in GDP'!D757, "0.00"),""), "")</f>
        <v/>
      </c>
      <c r="F751" t="str">
        <f>IFERROR(IF(ISNUMBER('Revenues &amp; Outlays in GDP'!B757), 'Revenues &amp; Outlays in GDP'!J757, ""), "")</f>
        <v/>
      </c>
    </row>
    <row r="752" spans="1:6">
      <c r="A752" t="str">
        <f>TEXT(IF('Revenues &amp; Outlays in GDP'!B758&lt;&gt;0,'Revenues &amp; Outlays in GDP'!B758, ""), "mm/dd/yyyy")</f>
        <v/>
      </c>
      <c r="B752" t="str">
        <f>IFERROR(IF(ISNUMBER('Revenues &amp; Outlays in GDP'!G758),TEXT('Revenues &amp; Outlays in GDP'!G758, "0.00"),""), "")</f>
        <v/>
      </c>
      <c r="C752" t="str">
        <f>IFERROR(IF(ISNUMBER('Revenues &amp; Outlays in GDP'!C758),TEXT('Revenues &amp; Outlays in GDP'!C758, "0.00"),""), "")</f>
        <v/>
      </c>
      <c r="D752" t="str">
        <f>IFERROR(IF(ISNUMBER('Revenues &amp; Outlays in GDP'!H758),TEXT('Revenues &amp; Outlays in GDP'!H758, "0.00"),""), "")</f>
        <v/>
      </c>
      <c r="E752" t="str">
        <f>IFERROR(IF(ISNUMBER('Revenues &amp; Outlays in GDP'!D758),TEXT('Revenues &amp; Outlays in GDP'!D758, "0.00"),""), "")</f>
        <v/>
      </c>
      <c r="F752" t="str">
        <f>IFERROR(IF(ISNUMBER('Revenues &amp; Outlays in GDP'!B758), 'Revenues &amp; Outlays in GDP'!J758, ""), "")</f>
        <v/>
      </c>
    </row>
    <row r="753" spans="1:6">
      <c r="A753" t="str">
        <f>TEXT(IF('Revenues &amp; Outlays in GDP'!B759&lt;&gt;0,'Revenues &amp; Outlays in GDP'!B759, ""), "mm/dd/yyyy")</f>
        <v/>
      </c>
      <c r="B753" t="str">
        <f>IFERROR(IF(ISNUMBER('Revenues &amp; Outlays in GDP'!G759),TEXT('Revenues &amp; Outlays in GDP'!G759, "0.00"),""), "")</f>
        <v/>
      </c>
      <c r="C753" t="str">
        <f>IFERROR(IF(ISNUMBER('Revenues &amp; Outlays in GDP'!C759),TEXT('Revenues &amp; Outlays in GDP'!C759, "0.00"),""), "")</f>
        <v/>
      </c>
      <c r="D753" t="str">
        <f>IFERROR(IF(ISNUMBER('Revenues &amp; Outlays in GDP'!H759),TEXT('Revenues &amp; Outlays in GDP'!H759, "0.00"),""), "")</f>
        <v/>
      </c>
      <c r="E753" t="str">
        <f>IFERROR(IF(ISNUMBER('Revenues &amp; Outlays in GDP'!D759),TEXT('Revenues &amp; Outlays in GDP'!D759, "0.00"),""), "")</f>
        <v/>
      </c>
      <c r="F753" t="str">
        <f>IFERROR(IF(ISNUMBER('Revenues &amp; Outlays in GDP'!B759), 'Revenues &amp; Outlays in GDP'!J759, ""), "")</f>
        <v/>
      </c>
    </row>
    <row r="754" spans="1:6">
      <c r="A754" t="str">
        <f>TEXT(IF('Revenues &amp; Outlays in GDP'!B760&lt;&gt;0,'Revenues &amp; Outlays in GDP'!B760, ""), "mm/dd/yyyy")</f>
        <v/>
      </c>
      <c r="B754" t="str">
        <f>IFERROR(IF(ISNUMBER('Revenues &amp; Outlays in GDP'!G760),TEXT('Revenues &amp; Outlays in GDP'!G760, "0.00"),""), "")</f>
        <v/>
      </c>
      <c r="C754" t="str">
        <f>IFERROR(IF(ISNUMBER('Revenues &amp; Outlays in GDP'!C760),TEXT('Revenues &amp; Outlays in GDP'!C760, "0.00"),""), "")</f>
        <v/>
      </c>
      <c r="D754" t="str">
        <f>IFERROR(IF(ISNUMBER('Revenues &amp; Outlays in GDP'!H760),TEXT('Revenues &amp; Outlays in GDP'!H760, "0.00"),""), "")</f>
        <v/>
      </c>
      <c r="E754" t="str">
        <f>IFERROR(IF(ISNUMBER('Revenues &amp; Outlays in GDP'!D760),TEXT('Revenues &amp; Outlays in GDP'!D760, "0.00"),""), "")</f>
        <v/>
      </c>
      <c r="F754" t="str">
        <f>IFERROR(IF(ISNUMBER('Revenues &amp; Outlays in GDP'!B760), 'Revenues &amp; Outlays in GDP'!J760, ""), "")</f>
        <v/>
      </c>
    </row>
    <row r="755" spans="1:6">
      <c r="A755" t="str">
        <f>TEXT(IF('Revenues &amp; Outlays in GDP'!B761&lt;&gt;0,'Revenues &amp; Outlays in GDP'!B761, ""), "mm/dd/yyyy")</f>
        <v/>
      </c>
      <c r="B755" t="str">
        <f>IFERROR(IF(ISNUMBER('Revenues &amp; Outlays in GDP'!G761),TEXT('Revenues &amp; Outlays in GDP'!G761, "0.00"),""), "")</f>
        <v/>
      </c>
      <c r="C755" t="str">
        <f>IFERROR(IF(ISNUMBER('Revenues &amp; Outlays in GDP'!C761),TEXT('Revenues &amp; Outlays in GDP'!C761, "0.00"),""), "")</f>
        <v/>
      </c>
      <c r="D755" t="str">
        <f>IFERROR(IF(ISNUMBER('Revenues &amp; Outlays in GDP'!H761),TEXT('Revenues &amp; Outlays in GDP'!H761, "0.00"),""), "")</f>
        <v/>
      </c>
      <c r="E755" t="str">
        <f>IFERROR(IF(ISNUMBER('Revenues &amp; Outlays in GDP'!D761),TEXT('Revenues &amp; Outlays in GDP'!D761, "0.00"),""), "")</f>
        <v/>
      </c>
      <c r="F755" t="str">
        <f>IFERROR(IF(ISNUMBER('Revenues &amp; Outlays in GDP'!B761), 'Revenues &amp; Outlays in GDP'!J761, ""), "")</f>
        <v/>
      </c>
    </row>
    <row r="756" spans="1:6">
      <c r="A756" t="str">
        <f>TEXT(IF('Revenues &amp; Outlays in GDP'!B762&lt;&gt;0,'Revenues &amp; Outlays in GDP'!B762, ""), "mm/dd/yyyy")</f>
        <v/>
      </c>
      <c r="B756" t="str">
        <f>IFERROR(IF(ISNUMBER('Revenues &amp; Outlays in GDP'!G762),TEXT('Revenues &amp; Outlays in GDP'!G762, "0.00"),""), "")</f>
        <v/>
      </c>
      <c r="C756" t="str">
        <f>IFERROR(IF(ISNUMBER('Revenues &amp; Outlays in GDP'!C762),TEXT('Revenues &amp; Outlays in GDP'!C762, "0.00"),""), "")</f>
        <v/>
      </c>
      <c r="D756" t="str">
        <f>IFERROR(IF(ISNUMBER('Revenues &amp; Outlays in GDP'!H762),TEXT('Revenues &amp; Outlays in GDP'!H762, "0.00"),""), "")</f>
        <v/>
      </c>
      <c r="E756" t="str">
        <f>IFERROR(IF(ISNUMBER('Revenues &amp; Outlays in GDP'!D762),TEXT('Revenues &amp; Outlays in GDP'!D762, "0.00"),""), "")</f>
        <v/>
      </c>
      <c r="F756" t="str">
        <f>IFERROR(IF(ISNUMBER('Revenues &amp; Outlays in GDP'!B762), 'Revenues &amp; Outlays in GDP'!J762, ""), "")</f>
        <v/>
      </c>
    </row>
    <row r="757" spans="1:6">
      <c r="A757" t="str">
        <f>TEXT(IF('Revenues &amp; Outlays in GDP'!B763&lt;&gt;0,'Revenues &amp; Outlays in GDP'!B763, ""), "mm/dd/yyyy")</f>
        <v/>
      </c>
      <c r="B757" t="str">
        <f>IFERROR(IF(ISNUMBER('Revenues &amp; Outlays in GDP'!G763),TEXT('Revenues &amp; Outlays in GDP'!G763, "0.00"),""), "")</f>
        <v/>
      </c>
      <c r="C757" t="str">
        <f>IFERROR(IF(ISNUMBER('Revenues &amp; Outlays in GDP'!C763),TEXT('Revenues &amp; Outlays in GDP'!C763, "0.00"),""), "")</f>
        <v/>
      </c>
      <c r="D757" t="str">
        <f>IFERROR(IF(ISNUMBER('Revenues &amp; Outlays in GDP'!H763),TEXT('Revenues &amp; Outlays in GDP'!H763, "0.00"),""), "")</f>
        <v/>
      </c>
      <c r="E757" t="str">
        <f>IFERROR(IF(ISNUMBER('Revenues &amp; Outlays in GDP'!D763),TEXT('Revenues &amp; Outlays in GDP'!D763, "0.00"),""), "")</f>
        <v/>
      </c>
      <c r="F757" t="str">
        <f>IFERROR(IF(ISNUMBER('Revenues &amp; Outlays in GDP'!B763), 'Revenues &amp; Outlays in GDP'!J763, ""), "")</f>
        <v/>
      </c>
    </row>
    <row r="758" spans="1:6">
      <c r="A758" t="str">
        <f>TEXT(IF('Revenues &amp; Outlays in GDP'!B764&lt;&gt;0,'Revenues &amp; Outlays in GDP'!B764, ""), "mm/dd/yyyy")</f>
        <v/>
      </c>
      <c r="B758" t="str">
        <f>IFERROR(IF(ISNUMBER('Revenues &amp; Outlays in GDP'!G764),TEXT('Revenues &amp; Outlays in GDP'!G764, "0.00"),""), "")</f>
        <v/>
      </c>
      <c r="C758" t="str">
        <f>IFERROR(IF(ISNUMBER('Revenues &amp; Outlays in GDP'!C764),TEXT('Revenues &amp; Outlays in GDP'!C764, "0.00"),""), "")</f>
        <v/>
      </c>
      <c r="D758" t="str">
        <f>IFERROR(IF(ISNUMBER('Revenues &amp; Outlays in GDP'!H764),TEXT('Revenues &amp; Outlays in GDP'!H764, "0.00"),""), "")</f>
        <v/>
      </c>
      <c r="E758" t="str">
        <f>IFERROR(IF(ISNUMBER('Revenues &amp; Outlays in GDP'!D764),TEXT('Revenues &amp; Outlays in GDP'!D764, "0.00"),""), "")</f>
        <v/>
      </c>
      <c r="F758" t="str">
        <f>IFERROR(IF(ISNUMBER('Revenues &amp; Outlays in GDP'!B764), 'Revenues &amp; Outlays in GDP'!J764, ""), "")</f>
        <v/>
      </c>
    </row>
    <row r="759" spans="1:6">
      <c r="A759" t="str">
        <f>TEXT(IF('Revenues &amp; Outlays in GDP'!B765&lt;&gt;0,'Revenues &amp; Outlays in GDP'!B765, ""), "mm/dd/yyyy")</f>
        <v/>
      </c>
      <c r="B759" t="str">
        <f>IFERROR(IF(ISNUMBER('Revenues &amp; Outlays in GDP'!G765),TEXT('Revenues &amp; Outlays in GDP'!G765, "0.00"),""), "")</f>
        <v/>
      </c>
      <c r="C759" t="str">
        <f>IFERROR(IF(ISNUMBER('Revenues &amp; Outlays in GDP'!C765),TEXT('Revenues &amp; Outlays in GDP'!C765, "0.00"),""), "")</f>
        <v/>
      </c>
      <c r="D759" t="str">
        <f>IFERROR(IF(ISNUMBER('Revenues &amp; Outlays in GDP'!H765),TEXT('Revenues &amp; Outlays in GDP'!H765, "0.00"),""), "")</f>
        <v/>
      </c>
      <c r="E759" t="str">
        <f>IFERROR(IF(ISNUMBER('Revenues &amp; Outlays in GDP'!D765),TEXT('Revenues &amp; Outlays in GDP'!D765, "0.00"),""), "")</f>
        <v/>
      </c>
      <c r="F759" t="str">
        <f>IFERROR(IF(ISNUMBER('Revenues &amp; Outlays in GDP'!B765), 'Revenues &amp; Outlays in GDP'!J765, ""), "")</f>
        <v/>
      </c>
    </row>
    <row r="760" spans="1:6">
      <c r="A760" t="str">
        <f>TEXT(IF('Revenues &amp; Outlays in GDP'!B766&lt;&gt;0,'Revenues &amp; Outlays in GDP'!B766, ""), "mm/dd/yyyy")</f>
        <v/>
      </c>
      <c r="B760" t="str">
        <f>IFERROR(IF(ISNUMBER('Revenues &amp; Outlays in GDP'!G766),TEXT('Revenues &amp; Outlays in GDP'!G766, "0.00"),""), "")</f>
        <v/>
      </c>
      <c r="C760" t="str">
        <f>IFERROR(IF(ISNUMBER('Revenues &amp; Outlays in GDP'!C766),TEXT('Revenues &amp; Outlays in GDP'!C766, "0.00"),""), "")</f>
        <v/>
      </c>
      <c r="D760" t="str">
        <f>IFERROR(IF(ISNUMBER('Revenues &amp; Outlays in GDP'!H766),TEXT('Revenues &amp; Outlays in GDP'!H766, "0.00"),""), "")</f>
        <v/>
      </c>
      <c r="E760" t="str">
        <f>IFERROR(IF(ISNUMBER('Revenues &amp; Outlays in GDP'!D766),TEXT('Revenues &amp; Outlays in GDP'!D766, "0.00"),""), "")</f>
        <v/>
      </c>
      <c r="F760" t="str">
        <f>IFERROR(IF(ISNUMBER('Revenues &amp; Outlays in GDP'!B766), 'Revenues &amp; Outlays in GDP'!J766, ""), "")</f>
        <v/>
      </c>
    </row>
    <row r="761" spans="1:6">
      <c r="A761" t="str">
        <f>TEXT(IF('Revenues &amp; Outlays in GDP'!B767&lt;&gt;0,'Revenues &amp; Outlays in GDP'!B767, ""), "mm/dd/yyyy")</f>
        <v/>
      </c>
      <c r="B761" t="str">
        <f>IFERROR(IF(ISNUMBER('Revenues &amp; Outlays in GDP'!G767),TEXT('Revenues &amp; Outlays in GDP'!G767, "0.00"),""), "")</f>
        <v/>
      </c>
      <c r="C761" t="str">
        <f>IFERROR(IF(ISNUMBER('Revenues &amp; Outlays in GDP'!C767),TEXT('Revenues &amp; Outlays in GDP'!C767, "0.00"),""), "")</f>
        <v/>
      </c>
      <c r="D761" t="str">
        <f>IFERROR(IF(ISNUMBER('Revenues &amp; Outlays in GDP'!H767),TEXT('Revenues &amp; Outlays in GDP'!H767, "0.00"),""), "")</f>
        <v/>
      </c>
      <c r="E761" t="str">
        <f>IFERROR(IF(ISNUMBER('Revenues &amp; Outlays in GDP'!D767),TEXT('Revenues &amp; Outlays in GDP'!D767, "0.00"),""), "")</f>
        <v/>
      </c>
      <c r="F761" t="str">
        <f>IFERROR(IF(ISNUMBER('Revenues &amp; Outlays in GDP'!B767), 'Revenues &amp; Outlays in GDP'!J767, ""), "")</f>
        <v/>
      </c>
    </row>
    <row r="762" spans="1:6">
      <c r="A762" t="str">
        <f>TEXT(IF('Revenues &amp; Outlays in GDP'!B768&lt;&gt;0,'Revenues &amp; Outlays in GDP'!B768, ""), "mm/dd/yyyy")</f>
        <v/>
      </c>
      <c r="B762" t="str">
        <f>IFERROR(IF(ISNUMBER('Revenues &amp; Outlays in GDP'!G768),TEXT('Revenues &amp; Outlays in GDP'!G768, "0.00"),""), "")</f>
        <v/>
      </c>
      <c r="C762" t="str">
        <f>IFERROR(IF(ISNUMBER('Revenues &amp; Outlays in GDP'!C768),TEXT('Revenues &amp; Outlays in GDP'!C768, "0.00"),""), "")</f>
        <v/>
      </c>
      <c r="D762" t="str">
        <f>IFERROR(IF(ISNUMBER('Revenues &amp; Outlays in GDP'!H768),TEXT('Revenues &amp; Outlays in GDP'!H768, "0.00"),""), "")</f>
        <v/>
      </c>
      <c r="E762" t="str">
        <f>IFERROR(IF(ISNUMBER('Revenues &amp; Outlays in GDP'!D768),TEXT('Revenues &amp; Outlays in GDP'!D768, "0.00"),""), "")</f>
        <v/>
      </c>
      <c r="F762" t="str">
        <f>IFERROR(IF(ISNUMBER('Revenues &amp; Outlays in GDP'!B768), 'Revenues &amp; Outlays in GDP'!J768, ""), "")</f>
        <v/>
      </c>
    </row>
    <row r="763" spans="1:6">
      <c r="A763" t="str">
        <f>TEXT(IF('Revenues &amp; Outlays in GDP'!B769&lt;&gt;0,'Revenues &amp; Outlays in GDP'!B769, ""), "mm/dd/yyyy")</f>
        <v/>
      </c>
      <c r="B763" t="str">
        <f>IFERROR(IF(ISNUMBER('Revenues &amp; Outlays in GDP'!G769),TEXT('Revenues &amp; Outlays in GDP'!G769, "0.00"),""), "")</f>
        <v/>
      </c>
      <c r="C763" t="str">
        <f>IFERROR(IF(ISNUMBER('Revenues &amp; Outlays in GDP'!C769),TEXT('Revenues &amp; Outlays in GDP'!C769, "0.00"),""), "")</f>
        <v/>
      </c>
      <c r="D763" t="str">
        <f>IFERROR(IF(ISNUMBER('Revenues &amp; Outlays in GDP'!H769),TEXT('Revenues &amp; Outlays in GDP'!H769, "0.00"),""), "")</f>
        <v/>
      </c>
      <c r="E763" t="str">
        <f>IFERROR(IF(ISNUMBER('Revenues &amp; Outlays in GDP'!D769),TEXT('Revenues &amp; Outlays in GDP'!D769, "0.00"),""), "")</f>
        <v/>
      </c>
      <c r="F763" t="str">
        <f>IFERROR(IF(ISNUMBER('Revenues &amp; Outlays in GDP'!B769), 'Revenues &amp; Outlays in GDP'!J769, ""), "")</f>
        <v/>
      </c>
    </row>
    <row r="764" spans="1:6">
      <c r="A764" t="str">
        <f>TEXT(IF('Revenues &amp; Outlays in GDP'!B770&lt;&gt;0,'Revenues &amp; Outlays in GDP'!B770, ""), "mm/dd/yyyy")</f>
        <v/>
      </c>
      <c r="B764" t="str">
        <f>IFERROR(IF(ISNUMBER('Revenues &amp; Outlays in GDP'!G770),TEXT('Revenues &amp; Outlays in GDP'!G770, "0.00"),""), "")</f>
        <v/>
      </c>
      <c r="C764" t="str">
        <f>IFERROR(IF(ISNUMBER('Revenues &amp; Outlays in GDP'!C770),TEXT('Revenues &amp; Outlays in GDP'!C770, "0.00"),""), "")</f>
        <v/>
      </c>
      <c r="D764" t="str">
        <f>IFERROR(IF(ISNUMBER('Revenues &amp; Outlays in GDP'!H770),TEXT('Revenues &amp; Outlays in GDP'!H770, "0.00"),""), "")</f>
        <v/>
      </c>
      <c r="E764" t="str">
        <f>IFERROR(IF(ISNUMBER('Revenues &amp; Outlays in GDP'!D770),TEXT('Revenues &amp; Outlays in GDP'!D770, "0.00"),""), "")</f>
        <v/>
      </c>
      <c r="F764" t="str">
        <f>IFERROR(IF(ISNUMBER('Revenues &amp; Outlays in GDP'!B770), 'Revenues &amp; Outlays in GDP'!J770, ""), "")</f>
        <v/>
      </c>
    </row>
    <row r="765" spans="1:6">
      <c r="A765" t="str">
        <f>TEXT(IF('Revenues &amp; Outlays in GDP'!B771&lt;&gt;0,'Revenues &amp; Outlays in GDP'!B771, ""), "mm/dd/yyyy")</f>
        <v/>
      </c>
      <c r="B765" t="str">
        <f>IFERROR(IF(ISNUMBER('Revenues &amp; Outlays in GDP'!G771),TEXT('Revenues &amp; Outlays in GDP'!G771, "0.00"),""), "")</f>
        <v/>
      </c>
      <c r="C765" t="str">
        <f>IFERROR(IF(ISNUMBER('Revenues &amp; Outlays in GDP'!C771),TEXT('Revenues &amp; Outlays in GDP'!C771, "0.00"),""), "")</f>
        <v/>
      </c>
      <c r="D765" t="str">
        <f>IFERROR(IF(ISNUMBER('Revenues &amp; Outlays in GDP'!H771),TEXT('Revenues &amp; Outlays in GDP'!H771, "0.00"),""), "")</f>
        <v/>
      </c>
      <c r="E765" t="str">
        <f>IFERROR(IF(ISNUMBER('Revenues &amp; Outlays in GDP'!D771),TEXT('Revenues &amp; Outlays in GDP'!D771, "0.00"),""), "")</f>
        <v/>
      </c>
      <c r="F765" t="str">
        <f>IFERROR(IF(ISNUMBER('Revenues &amp; Outlays in GDP'!B771), 'Revenues &amp; Outlays in GDP'!J771, ""), "")</f>
        <v/>
      </c>
    </row>
    <row r="766" spans="1:6">
      <c r="A766" t="str">
        <f>TEXT(IF('Revenues &amp; Outlays in GDP'!B772&lt;&gt;0,'Revenues &amp; Outlays in GDP'!B772, ""), "mm/dd/yyyy")</f>
        <v/>
      </c>
      <c r="B766" t="str">
        <f>IFERROR(IF(ISNUMBER('Revenues &amp; Outlays in GDP'!G772),TEXT('Revenues &amp; Outlays in GDP'!G772, "0.00"),""), "")</f>
        <v/>
      </c>
      <c r="C766" t="str">
        <f>IFERROR(IF(ISNUMBER('Revenues &amp; Outlays in GDP'!C772),TEXT('Revenues &amp; Outlays in GDP'!C772, "0.00"),""), "")</f>
        <v/>
      </c>
      <c r="D766" t="str">
        <f>IFERROR(IF(ISNUMBER('Revenues &amp; Outlays in GDP'!H772),TEXT('Revenues &amp; Outlays in GDP'!H772, "0.00"),""), "")</f>
        <v/>
      </c>
      <c r="E766" t="str">
        <f>IFERROR(IF(ISNUMBER('Revenues &amp; Outlays in GDP'!D772),TEXT('Revenues &amp; Outlays in GDP'!D772, "0.00"),""), "")</f>
        <v/>
      </c>
      <c r="F766" t="str">
        <f>IFERROR(IF(ISNUMBER('Revenues &amp; Outlays in GDP'!B772), 'Revenues &amp; Outlays in GDP'!J772, ""), "")</f>
        <v/>
      </c>
    </row>
    <row r="767" spans="1:6">
      <c r="A767" t="str">
        <f>TEXT(IF('Revenues &amp; Outlays in GDP'!B773&lt;&gt;0,'Revenues &amp; Outlays in GDP'!B773, ""), "mm/dd/yyyy")</f>
        <v/>
      </c>
      <c r="B767" t="str">
        <f>IFERROR(IF(ISNUMBER('Revenues &amp; Outlays in GDP'!G773),TEXT('Revenues &amp; Outlays in GDP'!G773, "0.00"),""), "")</f>
        <v/>
      </c>
      <c r="C767" t="str">
        <f>IFERROR(IF(ISNUMBER('Revenues &amp; Outlays in GDP'!C773),TEXT('Revenues &amp; Outlays in GDP'!C773, "0.00"),""), "")</f>
        <v/>
      </c>
      <c r="D767" t="str">
        <f>IFERROR(IF(ISNUMBER('Revenues &amp; Outlays in GDP'!H773),TEXT('Revenues &amp; Outlays in GDP'!H773, "0.00"),""), "")</f>
        <v/>
      </c>
      <c r="E767" t="str">
        <f>IFERROR(IF(ISNUMBER('Revenues &amp; Outlays in GDP'!D773),TEXT('Revenues &amp; Outlays in GDP'!D773, "0.00"),""), "")</f>
        <v/>
      </c>
      <c r="F767" t="str">
        <f>IFERROR(IF(ISNUMBER('Revenues &amp; Outlays in GDP'!B773), 'Revenues &amp; Outlays in GDP'!J773, ""), "")</f>
        <v/>
      </c>
    </row>
    <row r="768" spans="1:6">
      <c r="A768" t="str">
        <f>TEXT(IF('Revenues &amp; Outlays in GDP'!B774&lt;&gt;0,'Revenues &amp; Outlays in GDP'!B774, ""), "mm/dd/yyyy")</f>
        <v/>
      </c>
      <c r="B768" t="str">
        <f>IFERROR(IF(ISNUMBER('Revenues &amp; Outlays in GDP'!G774),TEXT('Revenues &amp; Outlays in GDP'!G774, "0.00"),""), "")</f>
        <v/>
      </c>
      <c r="C768" t="str">
        <f>IFERROR(IF(ISNUMBER('Revenues &amp; Outlays in GDP'!C774),TEXT('Revenues &amp; Outlays in GDP'!C774, "0.00"),""), "")</f>
        <v/>
      </c>
      <c r="D768" t="str">
        <f>IFERROR(IF(ISNUMBER('Revenues &amp; Outlays in GDP'!H774),TEXT('Revenues &amp; Outlays in GDP'!H774, "0.00"),""), "")</f>
        <v/>
      </c>
      <c r="E768" t="str">
        <f>IFERROR(IF(ISNUMBER('Revenues &amp; Outlays in GDP'!D774),TEXT('Revenues &amp; Outlays in GDP'!D774, "0.00"),""), "")</f>
        <v/>
      </c>
      <c r="F768" t="str">
        <f>IFERROR(IF(ISNUMBER('Revenues &amp; Outlays in GDP'!B774), 'Revenues &amp; Outlays in GDP'!J774, ""), "")</f>
        <v/>
      </c>
    </row>
    <row r="769" spans="1:6">
      <c r="A769" t="str">
        <f>TEXT(IF('Revenues &amp; Outlays in GDP'!B775&lt;&gt;0,'Revenues &amp; Outlays in GDP'!B775, ""), "mm/dd/yyyy")</f>
        <v/>
      </c>
      <c r="B769" t="str">
        <f>IFERROR(IF(ISNUMBER('Revenues &amp; Outlays in GDP'!G775),TEXT('Revenues &amp; Outlays in GDP'!G775, "0.00"),""), "")</f>
        <v/>
      </c>
      <c r="C769" t="str">
        <f>IFERROR(IF(ISNUMBER('Revenues &amp; Outlays in GDP'!C775),TEXT('Revenues &amp; Outlays in GDP'!C775, "0.00"),""), "")</f>
        <v/>
      </c>
      <c r="D769" t="str">
        <f>IFERROR(IF(ISNUMBER('Revenues &amp; Outlays in GDP'!H775),TEXT('Revenues &amp; Outlays in GDP'!H775, "0.00"),""), "")</f>
        <v/>
      </c>
      <c r="E769" t="str">
        <f>IFERROR(IF(ISNUMBER('Revenues &amp; Outlays in GDP'!D775),TEXT('Revenues &amp; Outlays in GDP'!D775, "0.00"),""), "")</f>
        <v/>
      </c>
      <c r="F769" t="str">
        <f>IFERROR(IF(ISNUMBER('Revenues &amp; Outlays in GDP'!B775), 'Revenues &amp; Outlays in GDP'!J775, ""), "")</f>
        <v/>
      </c>
    </row>
    <row r="770" spans="1:6">
      <c r="A770" t="str">
        <f>TEXT(IF('Revenues &amp; Outlays in GDP'!B776&lt;&gt;0,'Revenues &amp; Outlays in GDP'!B776, ""), "mm/dd/yyyy")</f>
        <v/>
      </c>
      <c r="B770" t="str">
        <f>IFERROR(IF(ISNUMBER('Revenues &amp; Outlays in GDP'!G776),TEXT('Revenues &amp; Outlays in GDP'!G776, "0.00"),""), "")</f>
        <v/>
      </c>
      <c r="C770" t="str">
        <f>IFERROR(IF(ISNUMBER('Revenues &amp; Outlays in GDP'!C776),TEXT('Revenues &amp; Outlays in GDP'!C776, "0.00"),""), "")</f>
        <v/>
      </c>
      <c r="D770" t="str">
        <f>IFERROR(IF(ISNUMBER('Revenues &amp; Outlays in GDP'!H776),TEXT('Revenues &amp; Outlays in GDP'!H776, "0.00"),""), "")</f>
        <v/>
      </c>
      <c r="E770" t="str">
        <f>IFERROR(IF(ISNUMBER('Revenues &amp; Outlays in GDP'!D776),TEXT('Revenues &amp; Outlays in GDP'!D776, "0.00"),""), "")</f>
        <v/>
      </c>
      <c r="F770" t="str">
        <f>IFERROR(IF(ISNUMBER('Revenues &amp; Outlays in GDP'!B776), 'Revenues &amp; Outlays in GDP'!J776, ""), "")</f>
        <v/>
      </c>
    </row>
    <row r="771" spans="1:6">
      <c r="A771" t="str">
        <f>TEXT(IF('Revenues &amp; Outlays in GDP'!B777&lt;&gt;0,'Revenues &amp; Outlays in GDP'!B777, ""), "mm/dd/yyyy")</f>
        <v/>
      </c>
      <c r="B771" t="str">
        <f>IFERROR(IF(ISNUMBER('Revenues &amp; Outlays in GDP'!G777),TEXT('Revenues &amp; Outlays in GDP'!G777, "0.00"),""), "")</f>
        <v/>
      </c>
      <c r="C771" t="str">
        <f>IFERROR(IF(ISNUMBER('Revenues &amp; Outlays in GDP'!C777),TEXT('Revenues &amp; Outlays in GDP'!C777, "0.00"),""), "")</f>
        <v/>
      </c>
      <c r="D771" t="str">
        <f>IFERROR(IF(ISNUMBER('Revenues &amp; Outlays in GDP'!H777),TEXT('Revenues &amp; Outlays in GDP'!H777, "0.00"),""), "")</f>
        <v/>
      </c>
      <c r="E771" t="str">
        <f>IFERROR(IF(ISNUMBER('Revenues &amp; Outlays in GDP'!D777),TEXT('Revenues &amp; Outlays in GDP'!D777, "0.00"),""), "")</f>
        <v/>
      </c>
      <c r="F771" t="str">
        <f>IFERROR(IF(ISNUMBER('Revenues &amp; Outlays in GDP'!B777), 'Revenues &amp; Outlays in GDP'!J777, ""), "")</f>
        <v/>
      </c>
    </row>
    <row r="772" spans="1:6">
      <c r="A772" t="str">
        <f>TEXT(IF('Revenues &amp; Outlays in GDP'!B778&lt;&gt;0,'Revenues &amp; Outlays in GDP'!B778, ""), "mm/dd/yyyy")</f>
        <v/>
      </c>
      <c r="B772" t="str">
        <f>IFERROR(IF(ISNUMBER('Revenues &amp; Outlays in GDP'!G778),TEXT('Revenues &amp; Outlays in GDP'!G778, "0.00"),""), "")</f>
        <v/>
      </c>
      <c r="C772" t="str">
        <f>IFERROR(IF(ISNUMBER('Revenues &amp; Outlays in GDP'!C778),TEXT('Revenues &amp; Outlays in GDP'!C778, "0.00"),""), "")</f>
        <v/>
      </c>
      <c r="D772" t="str">
        <f>IFERROR(IF(ISNUMBER('Revenues &amp; Outlays in GDP'!H778),TEXT('Revenues &amp; Outlays in GDP'!H778, "0.00"),""), "")</f>
        <v/>
      </c>
      <c r="E772" t="str">
        <f>IFERROR(IF(ISNUMBER('Revenues &amp; Outlays in GDP'!D778),TEXT('Revenues &amp; Outlays in GDP'!D778, "0.00"),""), "")</f>
        <v/>
      </c>
      <c r="F772" t="str">
        <f>IFERROR(IF(ISNUMBER('Revenues &amp; Outlays in GDP'!B778), 'Revenues &amp; Outlays in GDP'!J778, ""), "")</f>
        <v/>
      </c>
    </row>
    <row r="773" spans="1:6">
      <c r="A773" t="str">
        <f>TEXT(IF('Revenues &amp; Outlays in GDP'!B779&lt;&gt;0,'Revenues &amp; Outlays in GDP'!B779, ""), "mm/dd/yyyy")</f>
        <v/>
      </c>
      <c r="B773" t="str">
        <f>IFERROR(IF(ISNUMBER('Revenues &amp; Outlays in GDP'!G779),TEXT('Revenues &amp; Outlays in GDP'!G779, "0.00"),""), "")</f>
        <v/>
      </c>
      <c r="C773" t="str">
        <f>IFERROR(IF(ISNUMBER('Revenues &amp; Outlays in GDP'!C779),TEXT('Revenues &amp; Outlays in GDP'!C779, "0.00"),""), "")</f>
        <v/>
      </c>
      <c r="D773" t="str">
        <f>IFERROR(IF(ISNUMBER('Revenues &amp; Outlays in GDP'!H779),TEXT('Revenues &amp; Outlays in GDP'!H779, "0.00"),""), "")</f>
        <v/>
      </c>
      <c r="E773" t="str">
        <f>IFERROR(IF(ISNUMBER('Revenues &amp; Outlays in GDP'!D779),TEXT('Revenues &amp; Outlays in GDP'!D779, "0.00"),""), "")</f>
        <v/>
      </c>
      <c r="F773" t="str">
        <f>IFERROR(IF(ISNUMBER('Revenues &amp; Outlays in GDP'!B779), 'Revenues &amp; Outlays in GDP'!J779, ""), "")</f>
        <v/>
      </c>
    </row>
    <row r="774" spans="1:6">
      <c r="A774" t="str">
        <f>TEXT(IF('Revenues &amp; Outlays in GDP'!B780&lt;&gt;0,'Revenues &amp; Outlays in GDP'!B780, ""), "mm/dd/yyyy")</f>
        <v/>
      </c>
      <c r="B774" t="str">
        <f>IFERROR(IF(ISNUMBER('Revenues &amp; Outlays in GDP'!G780),TEXT('Revenues &amp; Outlays in GDP'!G780, "0.00"),""), "")</f>
        <v/>
      </c>
      <c r="C774" t="str">
        <f>IFERROR(IF(ISNUMBER('Revenues &amp; Outlays in GDP'!C780),TEXT('Revenues &amp; Outlays in GDP'!C780, "0.00"),""), "")</f>
        <v/>
      </c>
      <c r="D774" t="str">
        <f>IFERROR(IF(ISNUMBER('Revenues &amp; Outlays in GDP'!H780),TEXT('Revenues &amp; Outlays in GDP'!H780, "0.00"),""), "")</f>
        <v/>
      </c>
      <c r="E774" t="str">
        <f>IFERROR(IF(ISNUMBER('Revenues &amp; Outlays in GDP'!D780),TEXT('Revenues &amp; Outlays in GDP'!D780, "0.00"),""), "")</f>
        <v/>
      </c>
      <c r="F774" t="str">
        <f>IFERROR(IF(ISNUMBER('Revenues &amp; Outlays in GDP'!B780), 'Revenues &amp; Outlays in GDP'!J780, ""), "")</f>
        <v/>
      </c>
    </row>
    <row r="775" spans="1:6">
      <c r="A775" t="str">
        <f>TEXT(IF('Revenues &amp; Outlays in GDP'!B781&lt;&gt;0,'Revenues &amp; Outlays in GDP'!B781, ""), "mm/dd/yyyy")</f>
        <v/>
      </c>
      <c r="B775" t="str">
        <f>IFERROR(IF(ISNUMBER('Revenues &amp; Outlays in GDP'!G781),TEXT('Revenues &amp; Outlays in GDP'!G781, "0.00"),""), "")</f>
        <v/>
      </c>
      <c r="C775" t="str">
        <f>IFERROR(IF(ISNUMBER('Revenues &amp; Outlays in GDP'!C781),TEXT('Revenues &amp; Outlays in GDP'!C781, "0.00"),""), "")</f>
        <v/>
      </c>
      <c r="D775" t="str">
        <f>IFERROR(IF(ISNUMBER('Revenues &amp; Outlays in GDP'!H781),TEXT('Revenues &amp; Outlays in GDP'!H781, "0.00"),""), "")</f>
        <v/>
      </c>
      <c r="E775" t="str">
        <f>IFERROR(IF(ISNUMBER('Revenues &amp; Outlays in GDP'!D781),TEXT('Revenues &amp; Outlays in GDP'!D781, "0.00"),""), "")</f>
        <v/>
      </c>
      <c r="F775" t="str">
        <f>IFERROR(IF(ISNUMBER('Revenues &amp; Outlays in GDP'!B781), 'Revenues &amp; Outlays in GDP'!J781, ""), "")</f>
        <v/>
      </c>
    </row>
    <row r="776" spans="1:6">
      <c r="A776" t="str">
        <f>TEXT(IF('Revenues &amp; Outlays in GDP'!B782&lt;&gt;0,'Revenues &amp; Outlays in GDP'!B782, ""), "mm/dd/yyyy")</f>
        <v/>
      </c>
      <c r="B776" t="str">
        <f>IFERROR(IF(ISNUMBER('Revenues &amp; Outlays in GDP'!G782),TEXT('Revenues &amp; Outlays in GDP'!G782, "0.00"),""), "")</f>
        <v/>
      </c>
      <c r="C776" t="str">
        <f>IFERROR(IF(ISNUMBER('Revenues &amp; Outlays in GDP'!C782),TEXT('Revenues &amp; Outlays in GDP'!C782, "0.00"),""), "")</f>
        <v/>
      </c>
      <c r="D776" t="str">
        <f>IFERROR(IF(ISNUMBER('Revenues &amp; Outlays in GDP'!H782),TEXT('Revenues &amp; Outlays in GDP'!H782, "0.00"),""), "")</f>
        <v/>
      </c>
      <c r="E776" t="str">
        <f>IFERROR(IF(ISNUMBER('Revenues &amp; Outlays in GDP'!D782),TEXT('Revenues &amp; Outlays in GDP'!D782, "0.00"),""), "")</f>
        <v/>
      </c>
      <c r="F776" t="str">
        <f>IFERROR(IF(ISNUMBER('Revenues &amp; Outlays in GDP'!B782), 'Revenues &amp; Outlays in GDP'!J782, ""), "")</f>
        <v/>
      </c>
    </row>
    <row r="777" spans="1:6">
      <c r="A777" t="str">
        <f>TEXT(IF('Revenues &amp; Outlays in GDP'!B783&lt;&gt;0,'Revenues &amp; Outlays in GDP'!B783, ""), "mm/dd/yyyy")</f>
        <v/>
      </c>
      <c r="B777" t="str">
        <f>IFERROR(IF(ISNUMBER('Revenues &amp; Outlays in GDP'!G783),TEXT('Revenues &amp; Outlays in GDP'!G783, "0.00"),""), "")</f>
        <v/>
      </c>
      <c r="C777" t="str">
        <f>IFERROR(IF(ISNUMBER('Revenues &amp; Outlays in GDP'!C783),TEXT('Revenues &amp; Outlays in GDP'!C783, "0.00"),""), "")</f>
        <v/>
      </c>
      <c r="D777" t="str">
        <f>IFERROR(IF(ISNUMBER('Revenues &amp; Outlays in GDP'!H783),TEXT('Revenues &amp; Outlays in GDP'!H783, "0.00"),""), "")</f>
        <v/>
      </c>
      <c r="E777" t="str">
        <f>IFERROR(IF(ISNUMBER('Revenues &amp; Outlays in GDP'!D783),TEXT('Revenues &amp; Outlays in GDP'!D783, "0.00"),""), "")</f>
        <v/>
      </c>
      <c r="F777" t="str">
        <f>IFERROR(IF(ISNUMBER('Revenues &amp; Outlays in GDP'!B783), 'Revenues &amp; Outlays in GDP'!J783, ""), "")</f>
        <v/>
      </c>
    </row>
    <row r="778" spans="1:6">
      <c r="A778" t="str">
        <f>TEXT(IF('Revenues &amp; Outlays in GDP'!B784&lt;&gt;0,'Revenues &amp; Outlays in GDP'!B784, ""), "mm/dd/yyyy")</f>
        <v/>
      </c>
      <c r="B778" t="str">
        <f>IFERROR(IF(ISNUMBER('Revenues &amp; Outlays in GDP'!G784),TEXT('Revenues &amp; Outlays in GDP'!G784, "0.00"),""), "")</f>
        <v/>
      </c>
      <c r="C778" t="str">
        <f>IFERROR(IF(ISNUMBER('Revenues &amp; Outlays in GDP'!C784),TEXT('Revenues &amp; Outlays in GDP'!C784, "0.00"),""), "")</f>
        <v/>
      </c>
      <c r="D778" t="str">
        <f>IFERROR(IF(ISNUMBER('Revenues &amp; Outlays in GDP'!H784),TEXT('Revenues &amp; Outlays in GDP'!H784, "0.00"),""), "")</f>
        <v/>
      </c>
      <c r="E778" t="str">
        <f>IFERROR(IF(ISNUMBER('Revenues &amp; Outlays in GDP'!D784),TEXT('Revenues &amp; Outlays in GDP'!D784, "0.00"),""), "")</f>
        <v/>
      </c>
      <c r="F778" t="str">
        <f>IFERROR(IF(ISNUMBER('Revenues &amp; Outlays in GDP'!B784), 'Revenues &amp; Outlays in GDP'!J784, ""), "")</f>
        <v/>
      </c>
    </row>
    <row r="779" spans="1:6">
      <c r="A779" t="str">
        <f>TEXT(IF('Revenues &amp; Outlays in GDP'!B785&lt;&gt;0,'Revenues &amp; Outlays in GDP'!B785, ""), "mm/dd/yyyy")</f>
        <v/>
      </c>
      <c r="B779" t="str">
        <f>IFERROR(IF(ISNUMBER('Revenues &amp; Outlays in GDP'!G785),TEXT('Revenues &amp; Outlays in GDP'!G785, "0.00"),""), "")</f>
        <v/>
      </c>
      <c r="C779" t="str">
        <f>IFERROR(IF(ISNUMBER('Revenues &amp; Outlays in GDP'!C785),TEXT('Revenues &amp; Outlays in GDP'!C785, "0.00"),""), "")</f>
        <v/>
      </c>
      <c r="D779" t="str">
        <f>IFERROR(IF(ISNUMBER('Revenues &amp; Outlays in GDP'!H785),TEXT('Revenues &amp; Outlays in GDP'!H785, "0.00"),""), "")</f>
        <v/>
      </c>
      <c r="E779" t="str">
        <f>IFERROR(IF(ISNUMBER('Revenues &amp; Outlays in GDP'!D785),TEXT('Revenues &amp; Outlays in GDP'!D785, "0.00"),""), "")</f>
        <v/>
      </c>
      <c r="F779" t="str">
        <f>IFERROR(IF(ISNUMBER('Revenues &amp; Outlays in GDP'!B785), 'Revenues &amp; Outlays in GDP'!J785, ""), "")</f>
        <v/>
      </c>
    </row>
    <row r="780" spans="1:6">
      <c r="A780" t="str">
        <f>TEXT(IF('Revenues &amp; Outlays in GDP'!B786&lt;&gt;0,'Revenues &amp; Outlays in GDP'!B786, ""), "mm/dd/yyyy")</f>
        <v/>
      </c>
      <c r="B780" t="str">
        <f>IFERROR(IF(ISNUMBER('Revenues &amp; Outlays in GDP'!G786),TEXT('Revenues &amp; Outlays in GDP'!G786, "0.00"),""), "")</f>
        <v/>
      </c>
      <c r="C780" t="str">
        <f>IFERROR(IF(ISNUMBER('Revenues &amp; Outlays in GDP'!C786),TEXT('Revenues &amp; Outlays in GDP'!C786, "0.00"),""), "")</f>
        <v/>
      </c>
      <c r="D780" t="str">
        <f>IFERROR(IF(ISNUMBER('Revenues &amp; Outlays in GDP'!H786),TEXT('Revenues &amp; Outlays in GDP'!H786, "0.00"),""), "")</f>
        <v/>
      </c>
      <c r="E780" t="str">
        <f>IFERROR(IF(ISNUMBER('Revenues &amp; Outlays in GDP'!D786),TEXT('Revenues &amp; Outlays in GDP'!D786, "0.00"),""), "")</f>
        <v/>
      </c>
      <c r="F780" t="str">
        <f>IFERROR(IF(ISNUMBER('Revenues &amp; Outlays in GDP'!B786), 'Revenues &amp; Outlays in GDP'!J786, ""), "")</f>
        <v/>
      </c>
    </row>
    <row r="781" spans="1:6">
      <c r="A781" t="str">
        <f>TEXT(IF('Revenues &amp; Outlays in GDP'!B787&lt;&gt;0,'Revenues &amp; Outlays in GDP'!B787, ""), "mm/dd/yyyy")</f>
        <v/>
      </c>
      <c r="B781" t="str">
        <f>IFERROR(IF(ISNUMBER('Revenues &amp; Outlays in GDP'!G787),TEXT('Revenues &amp; Outlays in GDP'!G787, "0.00"),""), "")</f>
        <v/>
      </c>
      <c r="C781" t="str">
        <f>IFERROR(IF(ISNUMBER('Revenues &amp; Outlays in GDP'!C787),TEXT('Revenues &amp; Outlays in GDP'!C787, "0.00"),""), "")</f>
        <v/>
      </c>
      <c r="D781" t="str">
        <f>IFERROR(IF(ISNUMBER('Revenues &amp; Outlays in GDP'!H787),TEXT('Revenues &amp; Outlays in GDP'!H787, "0.00"),""), "")</f>
        <v/>
      </c>
      <c r="E781" t="str">
        <f>IFERROR(IF(ISNUMBER('Revenues &amp; Outlays in GDP'!D787),TEXT('Revenues &amp; Outlays in GDP'!D787, "0.00"),""), "")</f>
        <v/>
      </c>
      <c r="F781" t="str">
        <f>IFERROR(IF(ISNUMBER('Revenues &amp; Outlays in GDP'!B787), 'Revenues &amp; Outlays in GDP'!J787, ""), "")</f>
        <v/>
      </c>
    </row>
    <row r="782" spans="1:6">
      <c r="A782" t="str">
        <f>TEXT(IF('Revenues &amp; Outlays in GDP'!B788&lt;&gt;0,'Revenues &amp; Outlays in GDP'!B788, ""), "mm/dd/yyyy")</f>
        <v/>
      </c>
      <c r="B782" t="str">
        <f>IFERROR(IF(ISNUMBER('Revenues &amp; Outlays in GDP'!G788),TEXT('Revenues &amp; Outlays in GDP'!G788, "0.00"),""), "")</f>
        <v/>
      </c>
      <c r="C782" t="str">
        <f>IFERROR(IF(ISNUMBER('Revenues &amp; Outlays in GDP'!C788),TEXT('Revenues &amp; Outlays in GDP'!C788, "0.00"),""), "")</f>
        <v/>
      </c>
      <c r="D782" t="str">
        <f>IFERROR(IF(ISNUMBER('Revenues &amp; Outlays in GDP'!H788),TEXT('Revenues &amp; Outlays in GDP'!H788, "0.00"),""), "")</f>
        <v/>
      </c>
      <c r="E782" t="str">
        <f>IFERROR(IF(ISNUMBER('Revenues &amp; Outlays in GDP'!D788),TEXT('Revenues &amp; Outlays in GDP'!D788, "0.00"),""), "")</f>
        <v/>
      </c>
      <c r="F782" t="str">
        <f>IFERROR(IF(ISNUMBER('Revenues &amp; Outlays in GDP'!B788), 'Revenues &amp; Outlays in GDP'!J788, ""), "")</f>
        <v/>
      </c>
    </row>
    <row r="783" spans="1:6">
      <c r="A783" t="str">
        <f>TEXT(IF('Revenues &amp; Outlays in GDP'!B789&lt;&gt;0,'Revenues &amp; Outlays in GDP'!B789, ""), "mm/dd/yyyy")</f>
        <v/>
      </c>
      <c r="B783" t="str">
        <f>IFERROR(IF(ISNUMBER('Revenues &amp; Outlays in GDP'!G789),TEXT('Revenues &amp; Outlays in GDP'!G789, "0.00"),""), "")</f>
        <v/>
      </c>
      <c r="C783" t="str">
        <f>IFERROR(IF(ISNUMBER('Revenues &amp; Outlays in GDP'!C789),TEXT('Revenues &amp; Outlays in GDP'!C789, "0.00"),""), "")</f>
        <v/>
      </c>
      <c r="D783" t="str">
        <f>IFERROR(IF(ISNUMBER('Revenues &amp; Outlays in GDP'!H789),TEXT('Revenues &amp; Outlays in GDP'!H789, "0.00"),""), "")</f>
        <v/>
      </c>
      <c r="E783" t="str">
        <f>IFERROR(IF(ISNUMBER('Revenues &amp; Outlays in GDP'!D789),TEXT('Revenues &amp; Outlays in GDP'!D789, "0.00"),""), "")</f>
        <v/>
      </c>
      <c r="F783" t="str">
        <f>IFERROR(IF(ISNUMBER('Revenues &amp; Outlays in GDP'!B789), 'Revenues &amp; Outlays in GDP'!J789, ""), "")</f>
        <v/>
      </c>
    </row>
    <row r="784" spans="1:6">
      <c r="A784" t="str">
        <f>TEXT(IF('Revenues &amp; Outlays in GDP'!B790&lt;&gt;0,'Revenues &amp; Outlays in GDP'!B790, ""), "mm/dd/yyyy")</f>
        <v/>
      </c>
      <c r="B784" t="str">
        <f>IFERROR(IF(ISNUMBER('Revenues &amp; Outlays in GDP'!G790),TEXT('Revenues &amp; Outlays in GDP'!G790, "0.00"),""), "")</f>
        <v/>
      </c>
      <c r="C784" t="str">
        <f>IFERROR(IF(ISNUMBER('Revenues &amp; Outlays in GDP'!C790),TEXT('Revenues &amp; Outlays in GDP'!C790, "0.00"),""), "")</f>
        <v/>
      </c>
      <c r="D784" t="str">
        <f>IFERROR(IF(ISNUMBER('Revenues &amp; Outlays in GDP'!H790),TEXT('Revenues &amp; Outlays in GDP'!H790, "0.00"),""), "")</f>
        <v/>
      </c>
      <c r="E784" t="str">
        <f>IFERROR(IF(ISNUMBER('Revenues &amp; Outlays in GDP'!D790),TEXT('Revenues &amp; Outlays in GDP'!D790, "0.00"),""), "")</f>
        <v/>
      </c>
      <c r="F784" t="str">
        <f>IFERROR(IF(ISNUMBER('Revenues &amp; Outlays in GDP'!B790), 'Revenues &amp; Outlays in GDP'!J790, ""), "")</f>
        <v/>
      </c>
    </row>
    <row r="785" spans="1:6">
      <c r="A785" t="str">
        <f>TEXT(IF('Revenues &amp; Outlays in GDP'!B791&lt;&gt;0,'Revenues &amp; Outlays in GDP'!B791, ""), "mm/dd/yyyy")</f>
        <v/>
      </c>
      <c r="B785" t="str">
        <f>IFERROR(IF(ISNUMBER('Revenues &amp; Outlays in GDP'!G791),TEXT('Revenues &amp; Outlays in GDP'!G791, "0.00"),""), "")</f>
        <v/>
      </c>
      <c r="C785" t="str">
        <f>IFERROR(IF(ISNUMBER('Revenues &amp; Outlays in GDP'!C791),TEXT('Revenues &amp; Outlays in GDP'!C791, "0.00"),""), "")</f>
        <v/>
      </c>
      <c r="D785" t="str">
        <f>IFERROR(IF(ISNUMBER('Revenues &amp; Outlays in GDP'!H791),TEXT('Revenues &amp; Outlays in GDP'!H791, "0.00"),""), "")</f>
        <v/>
      </c>
      <c r="E785" t="str">
        <f>IFERROR(IF(ISNUMBER('Revenues &amp; Outlays in GDP'!D791),TEXT('Revenues &amp; Outlays in GDP'!D791, "0.00"),""), "")</f>
        <v/>
      </c>
      <c r="F785" t="str">
        <f>IFERROR(IF(ISNUMBER('Revenues &amp; Outlays in GDP'!B791), 'Revenues &amp; Outlays in GDP'!J791, ""), "")</f>
        <v/>
      </c>
    </row>
    <row r="786" spans="1:6">
      <c r="A786" t="str">
        <f>TEXT(IF('Revenues &amp; Outlays in GDP'!B792&lt;&gt;0,'Revenues &amp; Outlays in GDP'!B792, ""), "mm/dd/yyyy")</f>
        <v/>
      </c>
      <c r="B786" t="str">
        <f>IFERROR(IF(ISNUMBER('Revenues &amp; Outlays in GDP'!G792),TEXT('Revenues &amp; Outlays in GDP'!G792, "0.00"),""), "")</f>
        <v/>
      </c>
      <c r="C786" t="str">
        <f>IFERROR(IF(ISNUMBER('Revenues &amp; Outlays in GDP'!C792),TEXT('Revenues &amp; Outlays in GDP'!C792, "0.00"),""), "")</f>
        <v/>
      </c>
      <c r="D786" t="str">
        <f>IFERROR(IF(ISNUMBER('Revenues &amp; Outlays in GDP'!H792),TEXT('Revenues &amp; Outlays in GDP'!H792, "0.00"),""), "")</f>
        <v/>
      </c>
      <c r="E786" t="str">
        <f>IFERROR(IF(ISNUMBER('Revenues &amp; Outlays in GDP'!D792),TEXT('Revenues &amp; Outlays in GDP'!D792, "0.00"),""), "")</f>
        <v/>
      </c>
      <c r="F786" t="str">
        <f>IFERROR(IF(ISNUMBER('Revenues &amp; Outlays in GDP'!B792), 'Revenues &amp; Outlays in GDP'!J792, ""), "")</f>
        <v/>
      </c>
    </row>
    <row r="787" spans="1:6">
      <c r="A787" t="str">
        <f>TEXT(IF('Revenues &amp; Outlays in GDP'!B793&lt;&gt;0,'Revenues &amp; Outlays in GDP'!B793, ""), "mm/dd/yyyy")</f>
        <v/>
      </c>
      <c r="B787" t="str">
        <f>IFERROR(IF(ISNUMBER('Revenues &amp; Outlays in GDP'!G793),TEXT('Revenues &amp; Outlays in GDP'!G793, "0.00"),""), "")</f>
        <v/>
      </c>
      <c r="C787" t="str">
        <f>IFERROR(IF(ISNUMBER('Revenues &amp; Outlays in GDP'!C793),TEXT('Revenues &amp; Outlays in GDP'!C793, "0.00"),""), "")</f>
        <v/>
      </c>
      <c r="D787" t="str">
        <f>IFERROR(IF(ISNUMBER('Revenues &amp; Outlays in GDP'!H793),TEXT('Revenues &amp; Outlays in GDP'!H793, "0.00"),""), "")</f>
        <v/>
      </c>
      <c r="E787" t="str">
        <f>IFERROR(IF(ISNUMBER('Revenues &amp; Outlays in GDP'!D793),TEXT('Revenues &amp; Outlays in GDP'!D793, "0.00"),""), "")</f>
        <v/>
      </c>
      <c r="F787" t="str">
        <f>IFERROR(IF(ISNUMBER('Revenues &amp; Outlays in GDP'!B793), 'Revenues &amp; Outlays in GDP'!J793, ""), "")</f>
        <v/>
      </c>
    </row>
    <row r="788" spans="1:6">
      <c r="A788" t="str">
        <f>TEXT(IF('Revenues &amp; Outlays in GDP'!B794&lt;&gt;0,'Revenues &amp; Outlays in GDP'!B794, ""), "mm/dd/yyyy")</f>
        <v/>
      </c>
      <c r="B788" t="str">
        <f>IFERROR(IF(ISNUMBER('Revenues &amp; Outlays in GDP'!G794),TEXT('Revenues &amp; Outlays in GDP'!G794, "0.00"),""), "")</f>
        <v/>
      </c>
      <c r="C788" t="str">
        <f>IFERROR(IF(ISNUMBER('Revenues &amp; Outlays in GDP'!C794),TEXT('Revenues &amp; Outlays in GDP'!C794, "0.00"),""), "")</f>
        <v/>
      </c>
      <c r="D788" t="str">
        <f>IFERROR(IF(ISNUMBER('Revenues &amp; Outlays in GDP'!H794),TEXT('Revenues &amp; Outlays in GDP'!H794, "0.00"),""), "")</f>
        <v/>
      </c>
      <c r="E788" t="str">
        <f>IFERROR(IF(ISNUMBER('Revenues &amp; Outlays in GDP'!D794),TEXT('Revenues &amp; Outlays in GDP'!D794, "0.00"),""), "")</f>
        <v/>
      </c>
      <c r="F788" t="str">
        <f>IFERROR(IF(ISNUMBER('Revenues &amp; Outlays in GDP'!B794), 'Revenues &amp; Outlays in GDP'!J794, ""), "")</f>
        <v/>
      </c>
    </row>
    <row r="789" spans="1:6">
      <c r="A789" t="str">
        <f>TEXT(IF('Revenues &amp; Outlays in GDP'!B795&lt;&gt;0,'Revenues &amp; Outlays in GDP'!B795, ""), "mm/dd/yyyy")</f>
        <v/>
      </c>
      <c r="B789" t="str">
        <f>IFERROR(IF(ISNUMBER('Revenues &amp; Outlays in GDP'!G795),TEXT('Revenues &amp; Outlays in GDP'!G795, "0.00"),""), "")</f>
        <v/>
      </c>
      <c r="C789" t="str">
        <f>IFERROR(IF(ISNUMBER('Revenues &amp; Outlays in GDP'!C795),TEXT('Revenues &amp; Outlays in GDP'!C795, "0.00"),""), "")</f>
        <v/>
      </c>
      <c r="D789" t="str">
        <f>IFERROR(IF(ISNUMBER('Revenues &amp; Outlays in GDP'!H795),TEXT('Revenues &amp; Outlays in GDP'!H795, "0.00"),""), "")</f>
        <v/>
      </c>
      <c r="E789" t="str">
        <f>IFERROR(IF(ISNUMBER('Revenues &amp; Outlays in GDP'!D795),TEXT('Revenues &amp; Outlays in GDP'!D795, "0.00"),""), "")</f>
        <v/>
      </c>
      <c r="F789" t="str">
        <f>IFERROR(IF(ISNUMBER('Revenues &amp; Outlays in GDP'!B795), 'Revenues &amp; Outlays in GDP'!J795, ""), "")</f>
        <v/>
      </c>
    </row>
    <row r="790" spans="1:6">
      <c r="A790" t="str">
        <f>TEXT(IF('Revenues &amp; Outlays in GDP'!B796&lt;&gt;0,'Revenues &amp; Outlays in GDP'!B796, ""), "mm/dd/yyyy")</f>
        <v/>
      </c>
      <c r="B790" t="str">
        <f>IFERROR(IF(ISNUMBER('Revenues &amp; Outlays in GDP'!G796),TEXT('Revenues &amp; Outlays in GDP'!G796, "0.00"),""), "")</f>
        <v/>
      </c>
      <c r="C790" t="str">
        <f>IFERROR(IF(ISNUMBER('Revenues &amp; Outlays in GDP'!C796),TEXT('Revenues &amp; Outlays in GDP'!C796, "0.00"),""), "")</f>
        <v/>
      </c>
      <c r="D790" t="str">
        <f>IFERROR(IF(ISNUMBER('Revenues &amp; Outlays in GDP'!H796),TEXT('Revenues &amp; Outlays in GDP'!H796, "0.00"),""), "")</f>
        <v/>
      </c>
      <c r="E790" t="str">
        <f>IFERROR(IF(ISNUMBER('Revenues &amp; Outlays in GDP'!D796),TEXT('Revenues &amp; Outlays in GDP'!D796, "0.00"),""), "")</f>
        <v/>
      </c>
      <c r="F790" t="str">
        <f>IFERROR(IF(ISNUMBER('Revenues &amp; Outlays in GDP'!B796), 'Revenues &amp; Outlays in GDP'!J796, ""), "")</f>
        <v/>
      </c>
    </row>
    <row r="791" spans="1:6">
      <c r="A791" t="str">
        <f>TEXT(IF('Revenues &amp; Outlays in GDP'!B797&lt;&gt;0,'Revenues &amp; Outlays in GDP'!B797, ""), "mm/dd/yyyy")</f>
        <v/>
      </c>
      <c r="B791" t="str">
        <f>IFERROR(IF(ISNUMBER('Revenues &amp; Outlays in GDP'!G797),TEXT('Revenues &amp; Outlays in GDP'!G797, "0.00"),""), "")</f>
        <v/>
      </c>
      <c r="C791" t="str">
        <f>IFERROR(IF(ISNUMBER('Revenues &amp; Outlays in GDP'!C797),TEXT('Revenues &amp; Outlays in GDP'!C797, "0.00"),""), "")</f>
        <v/>
      </c>
      <c r="D791" t="str">
        <f>IFERROR(IF(ISNUMBER('Revenues &amp; Outlays in GDP'!H797),TEXT('Revenues &amp; Outlays in GDP'!H797, "0.00"),""), "")</f>
        <v/>
      </c>
      <c r="E791" t="str">
        <f>IFERROR(IF(ISNUMBER('Revenues &amp; Outlays in GDP'!D797),TEXT('Revenues &amp; Outlays in GDP'!D797, "0.00"),""), "")</f>
        <v/>
      </c>
      <c r="F791" t="str">
        <f>IFERROR(IF(ISNUMBER('Revenues &amp; Outlays in GDP'!B797), 'Revenues &amp; Outlays in GDP'!J797, ""), "")</f>
        <v/>
      </c>
    </row>
    <row r="792" spans="1:6">
      <c r="A792" t="str">
        <f>TEXT(IF('Revenues &amp; Outlays in GDP'!B798&lt;&gt;0,'Revenues &amp; Outlays in GDP'!B798, ""), "mm/dd/yyyy")</f>
        <v/>
      </c>
      <c r="B792" t="str">
        <f>IFERROR(IF(ISNUMBER('Revenues &amp; Outlays in GDP'!G798),TEXT('Revenues &amp; Outlays in GDP'!G798, "0.00"),""), "")</f>
        <v/>
      </c>
      <c r="C792" t="str">
        <f>IFERROR(IF(ISNUMBER('Revenues &amp; Outlays in GDP'!C798),TEXT('Revenues &amp; Outlays in GDP'!C798, "0.00"),""), "")</f>
        <v/>
      </c>
      <c r="D792" t="str">
        <f>IFERROR(IF(ISNUMBER('Revenues &amp; Outlays in GDP'!H798),TEXT('Revenues &amp; Outlays in GDP'!H798, "0.00"),""), "")</f>
        <v/>
      </c>
      <c r="E792" t="str">
        <f>IFERROR(IF(ISNUMBER('Revenues &amp; Outlays in GDP'!D798),TEXT('Revenues &amp; Outlays in GDP'!D798, "0.00"),""), "")</f>
        <v/>
      </c>
      <c r="F792" t="str">
        <f>IFERROR(IF(ISNUMBER('Revenues &amp; Outlays in GDP'!B798), 'Revenues &amp; Outlays in GDP'!J798, ""), "")</f>
        <v/>
      </c>
    </row>
    <row r="793" spans="1:6">
      <c r="A793" t="str">
        <f>TEXT(IF('Revenues &amp; Outlays in GDP'!B799&lt;&gt;0,'Revenues &amp; Outlays in GDP'!B799, ""), "mm/dd/yyyy")</f>
        <v/>
      </c>
      <c r="B793" t="str">
        <f>IFERROR(IF(ISNUMBER('Revenues &amp; Outlays in GDP'!G799),TEXT('Revenues &amp; Outlays in GDP'!G799, "0.00"),""), "")</f>
        <v/>
      </c>
      <c r="C793" t="str">
        <f>IFERROR(IF(ISNUMBER('Revenues &amp; Outlays in GDP'!C799),TEXT('Revenues &amp; Outlays in GDP'!C799, "0.00"),""), "")</f>
        <v/>
      </c>
      <c r="D793" t="str">
        <f>IFERROR(IF(ISNUMBER('Revenues &amp; Outlays in GDP'!H799),TEXT('Revenues &amp; Outlays in GDP'!H799, "0.00"),""), "")</f>
        <v/>
      </c>
      <c r="E793" t="str">
        <f>IFERROR(IF(ISNUMBER('Revenues &amp; Outlays in GDP'!D799),TEXT('Revenues &amp; Outlays in GDP'!D799, "0.00"),""), "")</f>
        <v/>
      </c>
      <c r="F793" t="str">
        <f>IFERROR(IF(ISNUMBER('Revenues &amp; Outlays in GDP'!B799), 'Revenues &amp; Outlays in GDP'!J799, ""), "")</f>
        <v/>
      </c>
    </row>
    <row r="794" spans="1:6">
      <c r="A794" t="str">
        <f>TEXT(IF('Revenues &amp; Outlays in GDP'!B800&lt;&gt;0,'Revenues &amp; Outlays in GDP'!B800, ""), "mm/dd/yyyy")</f>
        <v/>
      </c>
      <c r="B794" t="str">
        <f>IFERROR(IF(ISNUMBER('Revenues &amp; Outlays in GDP'!G800),TEXT('Revenues &amp; Outlays in GDP'!G800, "0.00"),""), "")</f>
        <v/>
      </c>
      <c r="C794" t="str">
        <f>IFERROR(IF(ISNUMBER('Revenues &amp; Outlays in GDP'!C800),TEXT('Revenues &amp; Outlays in GDP'!C800, "0.00"),""), "")</f>
        <v/>
      </c>
      <c r="D794" t="str">
        <f>IFERROR(IF(ISNUMBER('Revenues &amp; Outlays in GDP'!H800),TEXT('Revenues &amp; Outlays in GDP'!H800, "0.00"),""), "")</f>
        <v/>
      </c>
      <c r="E794" t="str">
        <f>IFERROR(IF(ISNUMBER('Revenues &amp; Outlays in GDP'!D800),TEXT('Revenues &amp; Outlays in GDP'!D800, "0.00"),""), "")</f>
        <v/>
      </c>
      <c r="F794" t="str">
        <f>IFERROR(IF(ISNUMBER('Revenues &amp; Outlays in GDP'!B800), 'Revenues &amp; Outlays in GDP'!J800, ""), "")</f>
        <v/>
      </c>
    </row>
    <row r="795" spans="1:6">
      <c r="A795" t="str">
        <f>TEXT(IF('Revenues &amp; Outlays in GDP'!B801&lt;&gt;0,'Revenues &amp; Outlays in GDP'!B801, ""), "mm/dd/yyyy")</f>
        <v/>
      </c>
      <c r="B795" t="str">
        <f>IFERROR(IF(ISNUMBER('Revenues &amp; Outlays in GDP'!G801),TEXT('Revenues &amp; Outlays in GDP'!G801, "0.00"),""), "")</f>
        <v/>
      </c>
      <c r="C795" t="str">
        <f>IFERROR(IF(ISNUMBER('Revenues &amp; Outlays in GDP'!C801),TEXT('Revenues &amp; Outlays in GDP'!C801, "0.00"),""), "")</f>
        <v/>
      </c>
      <c r="D795" t="str">
        <f>IFERROR(IF(ISNUMBER('Revenues &amp; Outlays in GDP'!H801),TEXT('Revenues &amp; Outlays in GDP'!H801, "0.00"),""), "")</f>
        <v/>
      </c>
      <c r="E795" t="str">
        <f>IFERROR(IF(ISNUMBER('Revenues &amp; Outlays in GDP'!D801),TEXT('Revenues &amp; Outlays in GDP'!D801, "0.00"),""), "")</f>
        <v/>
      </c>
      <c r="F795" t="str">
        <f>IFERROR(IF(ISNUMBER('Revenues &amp; Outlays in GDP'!B801), 'Revenues &amp; Outlays in GDP'!J801, ""), "")</f>
        <v/>
      </c>
    </row>
    <row r="796" spans="1:6">
      <c r="A796" t="str">
        <f>TEXT(IF('Revenues &amp; Outlays in GDP'!B802&lt;&gt;0,'Revenues &amp; Outlays in GDP'!B802, ""), "mm/dd/yyyy")</f>
        <v/>
      </c>
      <c r="B796" t="str">
        <f>IFERROR(IF(ISNUMBER('Revenues &amp; Outlays in GDP'!G802),TEXT('Revenues &amp; Outlays in GDP'!G802, "0.00"),""), "")</f>
        <v/>
      </c>
      <c r="C796" t="str">
        <f>IFERROR(IF(ISNUMBER('Revenues &amp; Outlays in GDP'!C802),TEXT('Revenues &amp; Outlays in GDP'!C802, "0.00"),""), "")</f>
        <v/>
      </c>
      <c r="D796" t="str">
        <f>IFERROR(IF(ISNUMBER('Revenues &amp; Outlays in GDP'!H802),TEXT('Revenues &amp; Outlays in GDP'!H802, "0.00"),""), "")</f>
        <v/>
      </c>
      <c r="E796" t="str">
        <f>IFERROR(IF(ISNUMBER('Revenues &amp; Outlays in GDP'!D802),TEXT('Revenues &amp; Outlays in GDP'!D802, "0.00"),""), "")</f>
        <v/>
      </c>
      <c r="F796" t="str">
        <f>IFERROR(IF(ISNUMBER('Revenues &amp; Outlays in GDP'!B802), 'Revenues &amp; Outlays in GDP'!J802, ""), "")</f>
        <v/>
      </c>
    </row>
    <row r="797" spans="1:6">
      <c r="A797" t="str">
        <f>TEXT(IF('Revenues &amp; Outlays in GDP'!B803&lt;&gt;0,'Revenues &amp; Outlays in GDP'!B803, ""), "mm/dd/yyyy")</f>
        <v/>
      </c>
      <c r="B797" t="str">
        <f>IFERROR(IF(ISNUMBER('Revenues &amp; Outlays in GDP'!G803),TEXT('Revenues &amp; Outlays in GDP'!G803, "0.00"),""), "")</f>
        <v/>
      </c>
      <c r="C797" t="str">
        <f>IFERROR(IF(ISNUMBER('Revenues &amp; Outlays in GDP'!C803),TEXT('Revenues &amp; Outlays in GDP'!C803, "0.00"),""), "")</f>
        <v/>
      </c>
      <c r="D797" t="str">
        <f>IFERROR(IF(ISNUMBER('Revenues &amp; Outlays in GDP'!H803),TEXT('Revenues &amp; Outlays in GDP'!H803, "0.00"),""), "")</f>
        <v/>
      </c>
      <c r="E797" t="str">
        <f>IFERROR(IF(ISNUMBER('Revenues &amp; Outlays in GDP'!D803),TEXT('Revenues &amp; Outlays in GDP'!D803, "0.00"),""), "")</f>
        <v/>
      </c>
      <c r="F797" t="str">
        <f>IFERROR(IF(ISNUMBER('Revenues &amp; Outlays in GDP'!B803), 'Revenues &amp; Outlays in GDP'!J803, ""), "")</f>
        <v/>
      </c>
    </row>
    <row r="798" spans="1:6">
      <c r="A798" t="str">
        <f>TEXT(IF('Revenues &amp; Outlays in GDP'!B804&lt;&gt;0,'Revenues &amp; Outlays in GDP'!B804, ""), "mm/dd/yyyy")</f>
        <v/>
      </c>
      <c r="B798" t="str">
        <f>IFERROR(IF(ISNUMBER('Revenues &amp; Outlays in GDP'!G804),TEXT('Revenues &amp; Outlays in GDP'!G804, "0.00"),""), "")</f>
        <v/>
      </c>
      <c r="C798" t="str">
        <f>IFERROR(IF(ISNUMBER('Revenues &amp; Outlays in GDP'!C804),TEXT('Revenues &amp; Outlays in GDP'!C804, "0.00"),""), "")</f>
        <v/>
      </c>
      <c r="D798" t="str">
        <f>IFERROR(IF(ISNUMBER('Revenues &amp; Outlays in GDP'!H804),TEXT('Revenues &amp; Outlays in GDP'!H804, "0.00"),""), "")</f>
        <v/>
      </c>
      <c r="E798" t="str">
        <f>IFERROR(IF(ISNUMBER('Revenues &amp; Outlays in GDP'!D804),TEXT('Revenues &amp; Outlays in GDP'!D804, "0.00"),""), "")</f>
        <v/>
      </c>
      <c r="F798" t="str">
        <f>IFERROR(IF(ISNUMBER('Revenues &amp; Outlays in GDP'!B804), 'Revenues &amp; Outlays in GDP'!J804, ""), "")</f>
        <v/>
      </c>
    </row>
    <row r="799" spans="1:6">
      <c r="A799" t="str">
        <f>TEXT(IF('Revenues &amp; Outlays in GDP'!B805&lt;&gt;0,'Revenues &amp; Outlays in GDP'!B805, ""), "mm/dd/yyyy")</f>
        <v/>
      </c>
      <c r="B799" t="str">
        <f>IFERROR(IF(ISNUMBER('Revenues &amp; Outlays in GDP'!G805),TEXT('Revenues &amp; Outlays in GDP'!G805, "0.00"),""), "")</f>
        <v/>
      </c>
      <c r="C799" t="str">
        <f>IFERROR(IF(ISNUMBER('Revenues &amp; Outlays in GDP'!C805),TEXT('Revenues &amp; Outlays in GDP'!C805, "0.00"),""), "")</f>
        <v/>
      </c>
      <c r="D799" t="str">
        <f>IFERROR(IF(ISNUMBER('Revenues &amp; Outlays in GDP'!H805),TEXT('Revenues &amp; Outlays in GDP'!H805, "0.00"),""), "")</f>
        <v/>
      </c>
      <c r="E799" t="str">
        <f>IFERROR(IF(ISNUMBER('Revenues &amp; Outlays in GDP'!D805),TEXT('Revenues &amp; Outlays in GDP'!D805, "0.00"),""), "")</f>
        <v/>
      </c>
      <c r="F799" t="str">
        <f>IFERROR(IF(ISNUMBER('Revenues &amp; Outlays in GDP'!B805), 'Revenues &amp; Outlays in GDP'!J805, ""), "")</f>
        <v/>
      </c>
    </row>
    <row r="800" spans="1:6">
      <c r="A800" t="str">
        <f>TEXT(IF('Revenues &amp; Outlays in GDP'!B806&lt;&gt;0,'Revenues &amp; Outlays in GDP'!B806, ""), "mm/dd/yyyy")</f>
        <v/>
      </c>
      <c r="B800" t="str">
        <f>IFERROR(IF(ISNUMBER('Revenues &amp; Outlays in GDP'!G806),TEXT('Revenues &amp; Outlays in GDP'!G806, "0.00"),""), "")</f>
        <v/>
      </c>
      <c r="C800" t="str">
        <f>IFERROR(IF(ISNUMBER('Revenues &amp; Outlays in GDP'!C806),TEXT('Revenues &amp; Outlays in GDP'!C806, "0.00"),""), "")</f>
        <v/>
      </c>
      <c r="D800" t="str">
        <f>IFERROR(IF(ISNUMBER('Revenues &amp; Outlays in GDP'!H806),TEXT('Revenues &amp; Outlays in GDP'!H806, "0.00"),""), "")</f>
        <v/>
      </c>
      <c r="E800" t="str">
        <f>IFERROR(IF(ISNUMBER('Revenues &amp; Outlays in GDP'!D806),TEXT('Revenues &amp; Outlays in GDP'!D806, "0.00"),""), "")</f>
        <v/>
      </c>
      <c r="F800" t="str">
        <f>IFERROR(IF(ISNUMBER('Revenues &amp; Outlays in GDP'!B806), 'Revenues &amp; Outlays in GDP'!J806, ""), "")</f>
        <v/>
      </c>
    </row>
    <row r="801" spans="1:6">
      <c r="A801" t="str">
        <f>TEXT(IF('Revenues &amp; Outlays in GDP'!B807&lt;&gt;0,'Revenues &amp; Outlays in GDP'!B807, ""), "mm/dd/yyyy")</f>
        <v/>
      </c>
      <c r="B801" t="str">
        <f>IFERROR(IF(ISNUMBER('Revenues &amp; Outlays in GDP'!G807),TEXT('Revenues &amp; Outlays in GDP'!G807, "0.00"),""), "")</f>
        <v/>
      </c>
      <c r="C801" t="str">
        <f>IFERROR(IF(ISNUMBER('Revenues &amp; Outlays in GDP'!C807),TEXT('Revenues &amp; Outlays in GDP'!C807, "0.00"),""), "")</f>
        <v/>
      </c>
      <c r="D801" t="str">
        <f>IFERROR(IF(ISNUMBER('Revenues &amp; Outlays in GDP'!H807),TEXT('Revenues &amp; Outlays in GDP'!H807, "0.00"),""), "")</f>
        <v/>
      </c>
      <c r="E801" t="str">
        <f>IFERROR(IF(ISNUMBER('Revenues &amp; Outlays in GDP'!D807),TEXT('Revenues &amp; Outlays in GDP'!D807, "0.00"),""), "")</f>
        <v/>
      </c>
      <c r="F801" t="str">
        <f>IFERROR(IF(ISNUMBER('Revenues &amp; Outlays in GDP'!B807), 'Revenues &amp; Outlays in GDP'!J807, ""), "")</f>
        <v/>
      </c>
    </row>
    <row r="802" spans="1:6">
      <c r="A802" t="str">
        <f>TEXT(IF('Revenues &amp; Outlays in GDP'!B808&lt;&gt;0,'Revenues &amp; Outlays in GDP'!B808, ""), "mm/dd/yyyy")</f>
        <v/>
      </c>
      <c r="B802" t="str">
        <f>IFERROR(IF(ISNUMBER('Revenues &amp; Outlays in GDP'!G808),TEXT('Revenues &amp; Outlays in GDP'!G808, "0.00"),""), "")</f>
        <v/>
      </c>
      <c r="C802" t="str">
        <f>IFERROR(IF(ISNUMBER('Revenues &amp; Outlays in GDP'!C808),TEXT('Revenues &amp; Outlays in GDP'!C808, "0.00"),""), "")</f>
        <v/>
      </c>
      <c r="D802" t="str">
        <f>IFERROR(IF(ISNUMBER('Revenues &amp; Outlays in GDP'!H808),TEXT('Revenues &amp; Outlays in GDP'!H808, "0.00"),""), "")</f>
        <v/>
      </c>
      <c r="E802" t="str">
        <f>IFERROR(IF(ISNUMBER('Revenues &amp; Outlays in GDP'!D808),TEXT('Revenues &amp; Outlays in GDP'!D808, "0.00"),""), "")</f>
        <v/>
      </c>
      <c r="F802" t="str">
        <f>IFERROR(IF(ISNUMBER('Revenues &amp; Outlays in GDP'!B808), 'Revenues &amp; Outlays in GDP'!J808, ""), "")</f>
        <v/>
      </c>
    </row>
    <row r="803" spans="1:6">
      <c r="A803" t="str">
        <f>TEXT(IF('Revenues &amp; Outlays in GDP'!B809&lt;&gt;0,'Revenues &amp; Outlays in GDP'!B809, ""), "mm/dd/yyyy")</f>
        <v/>
      </c>
      <c r="B803" t="str">
        <f>IFERROR(IF(ISNUMBER('Revenues &amp; Outlays in GDP'!G809),TEXT('Revenues &amp; Outlays in GDP'!G809, "0.00"),""), "")</f>
        <v/>
      </c>
      <c r="C803" t="str">
        <f>IFERROR(IF(ISNUMBER('Revenues &amp; Outlays in GDP'!C809),TEXT('Revenues &amp; Outlays in GDP'!C809, "0.00"),""), "")</f>
        <v/>
      </c>
      <c r="D803" t="str">
        <f>IFERROR(IF(ISNUMBER('Revenues &amp; Outlays in GDP'!H809),TEXT('Revenues &amp; Outlays in GDP'!H809, "0.00"),""), "")</f>
        <v/>
      </c>
      <c r="E803" t="str">
        <f>IFERROR(IF(ISNUMBER('Revenues &amp; Outlays in GDP'!D809),TEXT('Revenues &amp; Outlays in GDP'!D809, "0.00"),""), "")</f>
        <v/>
      </c>
      <c r="F803" t="str">
        <f>IFERROR(IF(ISNUMBER('Revenues &amp; Outlays in GDP'!B809), 'Revenues &amp; Outlays in GDP'!J809, ""), "")</f>
        <v/>
      </c>
    </row>
    <row r="804" spans="1:6">
      <c r="A804" t="str">
        <f>TEXT(IF('Revenues &amp; Outlays in GDP'!B810&lt;&gt;0,'Revenues &amp; Outlays in GDP'!B810, ""), "mm/dd/yyyy")</f>
        <v/>
      </c>
      <c r="B804" t="str">
        <f>IFERROR(IF(ISNUMBER('Revenues &amp; Outlays in GDP'!G810),TEXT('Revenues &amp; Outlays in GDP'!G810, "0.00"),""), "")</f>
        <v/>
      </c>
      <c r="C804" t="str">
        <f>IFERROR(IF(ISNUMBER('Revenues &amp; Outlays in GDP'!C810),TEXT('Revenues &amp; Outlays in GDP'!C810, "0.00"),""), "")</f>
        <v/>
      </c>
      <c r="D804" t="str">
        <f>IFERROR(IF(ISNUMBER('Revenues &amp; Outlays in GDP'!H810),TEXT('Revenues &amp; Outlays in GDP'!H810, "0.00"),""), "")</f>
        <v/>
      </c>
      <c r="E804" t="str">
        <f>IFERROR(IF(ISNUMBER('Revenues &amp; Outlays in GDP'!D810),TEXT('Revenues &amp; Outlays in GDP'!D810, "0.00"),""), "")</f>
        <v/>
      </c>
      <c r="F804" t="str">
        <f>IFERROR(IF(ISNUMBER('Revenues &amp; Outlays in GDP'!B810), 'Revenues &amp; Outlays in GDP'!J810, ""), "")</f>
        <v/>
      </c>
    </row>
    <row r="805" spans="1:6">
      <c r="A805" t="str">
        <f>TEXT(IF('Revenues &amp; Outlays in GDP'!B811&lt;&gt;0,'Revenues &amp; Outlays in GDP'!B811, ""), "mm/dd/yyyy")</f>
        <v/>
      </c>
      <c r="B805" t="str">
        <f>IFERROR(IF(ISNUMBER('Revenues &amp; Outlays in GDP'!G811),TEXT('Revenues &amp; Outlays in GDP'!G811, "0.00"),""), "")</f>
        <v/>
      </c>
      <c r="C805" t="str">
        <f>IFERROR(IF(ISNUMBER('Revenues &amp; Outlays in GDP'!C811),TEXT('Revenues &amp; Outlays in GDP'!C811, "0.00"),""), "")</f>
        <v/>
      </c>
      <c r="D805" t="str">
        <f>IFERROR(IF(ISNUMBER('Revenues &amp; Outlays in GDP'!H811),TEXT('Revenues &amp; Outlays in GDP'!H811, "0.00"),""), "")</f>
        <v/>
      </c>
      <c r="E805" t="str">
        <f>IFERROR(IF(ISNUMBER('Revenues &amp; Outlays in GDP'!D811),TEXT('Revenues &amp; Outlays in GDP'!D811, "0.00"),""), "")</f>
        <v/>
      </c>
      <c r="F805" t="str">
        <f>IFERROR(IF(ISNUMBER('Revenues &amp; Outlays in GDP'!B811), 'Revenues &amp; Outlays in GDP'!J811, ""), "")</f>
        <v/>
      </c>
    </row>
    <row r="806" spans="1:6">
      <c r="A806" t="str">
        <f>TEXT(IF('Revenues &amp; Outlays in GDP'!B812&lt;&gt;0,'Revenues &amp; Outlays in GDP'!B812, ""), "mm/dd/yyyy")</f>
        <v/>
      </c>
      <c r="B806" t="str">
        <f>IFERROR(IF(ISNUMBER('Revenues &amp; Outlays in GDP'!G812),TEXT('Revenues &amp; Outlays in GDP'!G812, "0.00"),""), "")</f>
        <v/>
      </c>
      <c r="C806" t="str">
        <f>IFERROR(IF(ISNUMBER('Revenues &amp; Outlays in GDP'!C812),TEXT('Revenues &amp; Outlays in GDP'!C812, "0.00"),""), "")</f>
        <v/>
      </c>
      <c r="D806" t="str">
        <f>IFERROR(IF(ISNUMBER('Revenues &amp; Outlays in GDP'!H812),TEXT('Revenues &amp; Outlays in GDP'!H812, "0.00"),""), "")</f>
        <v/>
      </c>
      <c r="E806" t="str">
        <f>IFERROR(IF(ISNUMBER('Revenues &amp; Outlays in GDP'!D812),TEXT('Revenues &amp; Outlays in GDP'!D812, "0.00"),""), "")</f>
        <v/>
      </c>
      <c r="F806" t="str">
        <f>IFERROR(IF(ISNUMBER('Revenues &amp; Outlays in GDP'!B812), 'Revenues &amp; Outlays in GDP'!J812, ""), "")</f>
        <v/>
      </c>
    </row>
    <row r="807" spans="1:6">
      <c r="A807" t="str">
        <f>TEXT(IF('Revenues &amp; Outlays in GDP'!B813&lt;&gt;0,'Revenues &amp; Outlays in GDP'!B813, ""), "mm/dd/yyyy")</f>
        <v/>
      </c>
      <c r="B807" t="str">
        <f>IFERROR(IF(ISNUMBER('Revenues &amp; Outlays in GDP'!G813),TEXT('Revenues &amp; Outlays in GDP'!G813, "0.00"),""), "")</f>
        <v/>
      </c>
      <c r="C807" t="str">
        <f>IFERROR(IF(ISNUMBER('Revenues &amp; Outlays in GDP'!C813),TEXT('Revenues &amp; Outlays in GDP'!C813, "0.00"),""), "")</f>
        <v/>
      </c>
      <c r="D807" t="str">
        <f>IFERROR(IF(ISNUMBER('Revenues &amp; Outlays in GDP'!H813),TEXT('Revenues &amp; Outlays in GDP'!H813, "0.00"),""), "")</f>
        <v/>
      </c>
      <c r="E807" t="str">
        <f>IFERROR(IF(ISNUMBER('Revenues &amp; Outlays in GDP'!D813),TEXT('Revenues &amp; Outlays in GDP'!D813, "0.00"),""), "")</f>
        <v/>
      </c>
      <c r="F807" t="str">
        <f>IFERROR(IF(ISNUMBER('Revenues &amp; Outlays in GDP'!B813), 'Revenues &amp; Outlays in GDP'!J813, ""), "")</f>
        <v/>
      </c>
    </row>
    <row r="808" spans="1:6">
      <c r="A808" t="str">
        <f>TEXT(IF('Revenues &amp; Outlays in GDP'!B814&lt;&gt;0,'Revenues &amp; Outlays in GDP'!B814, ""), "mm/dd/yyyy")</f>
        <v/>
      </c>
      <c r="B808" t="str">
        <f>IFERROR(IF(ISNUMBER('Revenues &amp; Outlays in GDP'!G814),TEXT('Revenues &amp; Outlays in GDP'!G814, "0.00"),""), "")</f>
        <v/>
      </c>
      <c r="C808" t="str">
        <f>IFERROR(IF(ISNUMBER('Revenues &amp; Outlays in GDP'!C814),TEXT('Revenues &amp; Outlays in GDP'!C814, "0.00"),""), "")</f>
        <v/>
      </c>
      <c r="D808" t="str">
        <f>IFERROR(IF(ISNUMBER('Revenues &amp; Outlays in GDP'!H814),TEXT('Revenues &amp; Outlays in GDP'!H814, "0.00"),""), "")</f>
        <v/>
      </c>
      <c r="E808" t="str">
        <f>IFERROR(IF(ISNUMBER('Revenues &amp; Outlays in GDP'!D814),TEXT('Revenues &amp; Outlays in GDP'!D814, "0.00"),""), "")</f>
        <v/>
      </c>
      <c r="F808" t="str">
        <f>IFERROR(IF(ISNUMBER('Revenues &amp; Outlays in GDP'!B814), 'Revenues &amp; Outlays in GDP'!J814, ""), "")</f>
        <v/>
      </c>
    </row>
    <row r="809" spans="1:6">
      <c r="A809" t="str">
        <f>TEXT(IF('Revenues &amp; Outlays in GDP'!B815&lt;&gt;0,'Revenues &amp; Outlays in GDP'!B815, ""), "mm/dd/yyyy")</f>
        <v/>
      </c>
      <c r="B809" t="str">
        <f>IFERROR(IF(ISNUMBER('Revenues &amp; Outlays in GDP'!G815),TEXT('Revenues &amp; Outlays in GDP'!G815, "0.00"),""), "")</f>
        <v/>
      </c>
      <c r="C809" t="str">
        <f>IFERROR(IF(ISNUMBER('Revenues &amp; Outlays in GDP'!C815),TEXT('Revenues &amp; Outlays in GDP'!C815, "0.00"),""), "")</f>
        <v/>
      </c>
      <c r="D809" t="str">
        <f>IFERROR(IF(ISNUMBER('Revenues &amp; Outlays in GDP'!H815),TEXT('Revenues &amp; Outlays in GDP'!H815, "0.00"),""), "")</f>
        <v/>
      </c>
      <c r="E809" t="str">
        <f>IFERROR(IF(ISNUMBER('Revenues &amp; Outlays in GDP'!D815),TEXT('Revenues &amp; Outlays in GDP'!D815, "0.00"),""), "")</f>
        <v/>
      </c>
      <c r="F809" t="str">
        <f>IFERROR(IF(ISNUMBER('Revenues &amp; Outlays in GDP'!B815), 'Revenues &amp; Outlays in GDP'!J815, ""), "")</f>
        <v/>
      </c>
    </row>
    <row r="810" spans="1:6">
      <c r="A810" t="str">
        <f>TEXT(IF('Revenues &amp; Outlays in GDP'!B816&lt;&gt;0,'Revenues &amp; Outlays in GDP'!B816, ""), "mm/dd/yyyy")</f>
        <v/>
      </c>
      <c r="B810" t="str">
        <f>IFERROR(IF(ISNUMBER('Revenues &amp; Outlays in GDP'!G816),TEXT('Revenues &amp; Outlays in GDP'!G816, "0.00"),""), "")</f>
        <v/>
      </c>
      <c r="C810" t="str">
        <f>IFERROR(IF(ISNUMBER('Revenues &amp; Outlays in GDP'!C816),TEXT('Revenues &amp; Outlays in GDP'!C816, "0.00"),""), "")</f>
        <v/>
      </c>
      <c r="D810" t="str">
        <f>IFERROR(IF(ISNUMBER('Revenues &amp; Outlays in GDP'!H816),TEXT('Revenues &amp; Outlays in GDP'!H816, "0.00"),""), "")</f>
        <v/>
      </c>
      <c r="E810" t="str">
        <f>IFERROR(IF(ISNUMBER('Revenues &amp; Outlays in GDP'!D816),TEXT('Revenues &amp; Outlays in GDP'!D816, "0.00"),""), "")</f>
        <v/>
      </c>
      <c r="F810" t="str">
        <f>IFERROR(IF(ISNUMBER('Revenues &amp; Outlays in GDP'!B816), 'Revenues &amp; Outlays in GDP'!J816, ""), "")</f>
        <v/>
      </c>
    </row>
    <row r="811" spans="1:6">
      <c r="A811" t="str">
        <f>TEXT(IF('Revenues &amp; Outlays in GDP'!B817&lt;&gt;0,'Revenues &amp; Outlays in GDP'!B817, ""), "mm/dd/yyyy")</f>
        <v/>
      </c>
      <c r="B811" t="str">
        <f>IFERROR(IF(ISNUMBER('Revenues &amp; Outlays in GDP'!G817),TEXT('Revenues &amp; Outlays in GDP'!G817, "0.00"),""), "")</f>
        <v/>
      </c>
      <c r="C811" t="str">
        <f>IFERROR(IF(ISNUMBER('Revenues &amp; Outlays in GDP'!C817),TEXT('Revenues &amp; Outlays in GDP'!C817, "0.00"),""), "")</f>
        <v/>
      </c>
      <c r="D811" t="str">
        <f>IFERROR(IF(ISNUMBER('Revenues &amp; Outlays in GDP'!H817),TEXT('Revenues &amp; Outlays in GDP'!H817, "0.00"),""), "")</f>
        <v/>
      </c>
      <c r="E811" t="str">
        <f>IFERROR(IF(ISNUMBER('Revenues &amp; Outlays in GDP'!D817),TEXT('Revenues &amp; Outlays in GDP'!D817, "0.00"),""), "")</f>
        <v/>
      </c>
      <c r="F811" t="str">
        <f>IFERROR(IF(ISNUMBER('Revenues &amp; Outlays in GDP'!B817), 'Revenues &amp; Outlays in GDP'!J817, ""), "")</f>
        <v/>
      </c>
    </row>
    <row r="812" spans="1:6">
      <c r="A812" t="str">
        <f>TEXT(IF('Revenues &amp; Outlays in GDP'!B818&lt;&gt;0,'Revenues &amp; Outlays in GDP'!B818, ""), "mm/dd/yyyy")</f>
        <v/>
      </c>
      <c r="B812" t="str">
        <f>IFERROR(IF(ISNUMBER('Revenues &amp; Outlays in GDP'!G818),TEXT('Revenues &amp; Outlays in GDP'!G818, "0.00"),""), "")</f>
        <v/>
      </c>
      <c r="C812" t="str">
        <f>IFERROR(IF(ISNUMBER('Revenues &amp; Outlays in GDP'!C818),TEXT('Revenues &amp; Outlays in GDP'!C818, "0.00"),""), "")</f>
        <v/>
      </c>
      <c r="D812" t="str">
        <f>IFERROR(IF(ISNUMBER('Revenues &amp; Outlays in GDP'!H818),TEXT('Revenues &amp; Outlays in GDP'!H818, "0.00"),""), "")</f>
        <v/>
      </c>
      <c r="E812" t="str">
        <f>IFERROR(IF(ISNUMBER('Revenues &amp; Outlays in GDP'!D818),TEXT('Revenues &amp; Outlays in GDP'!D818, "0.00"),""), "")</f>
        <v/>
      </c>
      <c r="F812" t="str">
        <f>IFERROR(IF(ISNUMBER('Revenues &amp; Outlays in GDP'!B818), 'Revenues &amp; Outlays in GDP'!J818, ""), "")</f>
        <v/>
      </c>
    </row>
    <row r="813" spans="1:6">
      <c r="A813" t="str">
        <f>TEXT(IF('Revenues &amp; Outlays in GDP'!B819&lt;&gt;0,'Revenues &amp; Outlays in GDP'!B819, ""), "mm/dd/yyyy")</f>
        <v/>
      </c>
      <c r="B813" t="str">
        <f>IFERROR(IF(ISNUMBER('Revenues &amp; Outlays in GDP'!G819),TEXT('Revenues &amp; Outlays in GDP'!G819, "0.00"),""), "")</f>
        <v/>
      </c>
      <c r="C813" t="str">
        <f>IFERROR(IF(ISNUMBER('Revenues &amp; Outlays in GDP'!C819),TEXT('Revenues &amp; Outlays in GDP'!C819, "0.00"),""), "")</f>
        <v/>
      </c>
      <c r="D813" t="str">
        <f>IFERROR(IF(ISNUMBER('Revenues &amp; Outlays in GDP'!H819),TEXT('Revenues &amp; Outlays in GDP'!H819, "0.00"),""), "")</f>
        <v/>
      </c>
      <c r="E813" t="str">
        <f>IFERROR(IF(ISNUMBER('Revenues &amp; Outlays in GDP'!D819),TEXT('Revenues &amp; Outlays in GDP'!D819, "0.00"),""), "")</f>
        <v/>
      </c>
      <c r="F813" t="str">
        <f>IFERROR(IF(ISNUMBER('Revenues &amp; Outlays in GDP'!B819), 'Revenues &amp; Outlays in GDP'!J819, ""), "")</f>
        <v/>
      </c>
    </row>
    <row r="814" spans="1:6">
      <c r="A814" t="str">
        <f>TEXT(IF('Revenues &amp; Outlays in GDP'!B820&lt;&gt;0,'Revenues &amp; Outlays in GDP'!B820, ""), "mm/dd/yyyy")</f>
        <v/>
      </c>
      <c r="B814" t="str">
        <f>IFERROR(IF(ISNUMBER('Revenues &amp; Outlays in GDP'!G820),TEXT('Revenues &amp; Outlays in GDP'!G820, "0.00"),""), "")</f>
        <v/>
      </c>
      <c r="C814" t="str">
        <f>IFERROR(IF(ISNUMBER('Revenues &amp; Outlays in GDP'!C820),TEXT('Revenues &amp; Outlays in GDP'!C820, "0.00"),""), "")</f>
        <v/>
      </c>
      <c r="D814" t="str">
        <f>IFERROR(IF(ISNUMBER('Revenues &amp; Outlays in GDP'!H820),TEXT('Revenues &amp; Outlays in GDP'!H820, "0.00"),""), "")</f>
        <v/>
      </c>
      <c r="E814" t="str">
        <f>IFERROR(IF(ISNUMBER('Revenues &amp; Outlays in GDP'!D820),TEXT('Revenues &amp; Outlays in GDP'!D820, "0.00"),""), "")</f>
        <v/>
      </c>
      <c r="F814" t="str">
        <f>IFERROR(IF(ISNUMBER('Revenues &amp; Outlays in GDP'!B820), 'Revenues &amp; Outlays in GDP'!J820, ""), "")</f>
        <v/>
      </c>
    </row>
    <row r="815" spans="1:6">
      <c r="A815" t="str">
        <f>TEXT(IF('Revenues &amp; Outlays in GDP'!B821&lt;&gt;0,'Revenues &amp; Outlays in GDP'!B821, ""), "mm/dd/yyyy")</f>
        <v/>
      </c>
      <c r="B815" t="str">
        <f>IFERROR(IF(ISNUMBER('Revenues &amp; Outlays in GDP'!G821),TEXT('Revenues &amp; Outlays in GDP'!G821, "0.00"),""), "")</f>
        <v/>
      </c>
      <c r="C815" t="str">
        <f>IFERROR(IF(ISNUMBER('Revenues &amp; Outlays in GDP'!C821),TEXT('Revenues &amp; Outlays in GDP'!C821, "0.00"),""), "")</f>
        <v/>
      </c>
      <c r="D815" t="str">
        <f>IFERROR(IF(ISNUMBER('Revenues &amp; Outlays in GDP'!H821),TEXT('Revenues &amp; Outlays in GDP'!H821, "0.00"),""), "")</f>
        <v/>
      </c>
      <c r="E815" t="str">
        <f>IFERROR(IF(ISNUMBER('Revenues &amp; Outlays in GDP'!D821),TEXT('Revenues &amp; Outlays in GDP'!D821, "0.00"),""), "")</f>
        <v/>
      </c>
      <c r="F815" t="str">
        <f>IFERROR(IF(ISNUMBER('Revenues &amp; Outlays in GDP'!B821), 'Revenues &amp; Outlays in GDP'!J821, ""), "")</f>
        <v/>
      </c>
    </row>
    <row r="816" spans="1:6">
      <c r="A816" t="str">
        <f>TEXT(IF('Revenues &amp; Outlays in GDP'!B822&lt;&gt;0,'Revenues &amp; Outlays in GDP'!B822, ""), "mm/dd/yyyy")</f>
        <v/>
      </c>
      <c r="B816" t="str">
        <f>IFERROR(IF(ISNUMBER('Revenues &amp; Outlays in GDP'!G822),TEXT('Revenues &amp; Outlays in GDP'!G822, "0.00"),""), "")</f>
        <v/>
      </c>
      <c r="C816" t="str">
        <f>IFERROR(IF(ISNUMBER('Revenues &amp; Outlays in GDP'!C822),TEXT('Revenues &amp; Outlays in GDP'!C822, "0.00"),""), "")</f>
        <v/>
      </c>
      <c r="D816" t="str">
        <f>IFERROR(IF(ISNUMBER('Revenues &amp; Outlays in GDP'!H822),TEXT('Revenues &amp; Outlays in GDP'!H822, "0.00"),""), "")</f>
        <v/>
      </c>
      <c r="E816" t="str">
        <f>IFERROR(IF(ISNUMBER('Revenues &amp; Outlays in GDP'!D822),TEXT('Revenues &amp; Outlays in GDP'!D822, "0.00"),""), "")</f>
        <v/>
      </c>
      <c r="F816" t="str">
        <f>IFERROR(IF(ISNUMBER('Revenues &amp; Outlays in GDP'!B822), 'Revenues &amp; Outlays in GDP'!J822, ""), "")</f>
        <v/>
      </c>
    </row>
    <row r="817" spans="1:6">
      <c r="A817" t="str">
        <f>TEXT(IF('Revenues &amp; Outlays in GDP'!B823&lt;&gt;0,'Revenues &amp; Outlays in GDP'!B823, ""), "mm/dd/yyyy")</f>
        <v/>
      </c>
      <c r="B817" t="str">
        <f>IFERROR(IF(ISNUMBER('Revenues &amp; Outlays in GDP'!G823),TEXT('Revenues &amp; Outlays in GDP'!G823, "0.00"),""), "")</f>
        <v/>
      </c>
      <c r="C817" t="str">
        <f>IFERROR(IF(ISNUMBER('Revenues &amp; Outlays in GDP'!C823),TEXT('Revenues &amp; Outlays in GDP'!C823, "0.00"),""), "")</f>
        <v/>
      </c>
      <c r="D817" t="str">
        <f>IFERROR(IF(ISNUMBER('Revenues &amp; Outlays in GDP'!H823),TEXT('Revenues &amp; Outlays in GDP'!H823, "0.00"),""), "")</f>
        <v/>
      </c>
      <c r="E817" t="str">
        <f>IFERROR(IF(ISNUMBER('Revenues &amp; Outlays in GDP'!D823),TEXT('Revenues &amp; Outlays in GDP'!D823, "0.00"),""), "")</f>
        <v/>
      </c>
      <c r="F817" t="str">
        <f>IFERROR(IF(ISNUMBER('Revenues &amp; Outlays in GDP'!B823), 'Revenues &amp; Outlays in GDP'!J823, ""), "")</f>
        <v/>
      </c>
    </row>
    <row r="818" spans="1:6">
      <c r="A818" t="str">
        <f>TEXT(IF('Revenues &amp; Outlays in GDP'!B824&lt;&gt;0,'Revenues &amp; Outlays in GDP'!B824, ""), "mm/dd/yyyy")</f>
        <v/>
      </c>
      <c r="B818" t="str">
        <f>IFERROR(IF(ISNUMBER('Revenues &amp; Outlays in GDP'!G824),TEXT('Revenues &amp; Outlays in GDP'!G824, "0.00"),""), "")</f>
        <v/>
      </c>
      <c r="C818" t="str">
        <f>IFERROR(IF(ISNUMBER('Revenues &amp; Outlays in GDP'!C824),TEXT('Revenues &amp; Outlays in GDP'!C824, "0.00"),""), "")</f>
        <v/>
      </c>
      <c r="D818" t="str">
        <f>IFERROR(IF(ISNUMBER('Revenues &amp; Outlays in GDP'!H824),TEXT('Revenues &amp; Outlays in GDP'!H824, "0.00"),""), "")</f>
        <v/>
      </c>
      <c r="E818" t="str">
        <f>IFERROR(IF(ISNUMBER('Revenues &amp; Outlays in GDP'!D824),TEXT('Revenues &amp; Outlays in GDP'!D824, "0.00"),""), "")</f>
        <v/>
      </c>
      <c r="F818" t="str">
        <f>IFERROR(IF(ISNUMBER('Revenues &amp; Outlays in GDP'!B824), 'Revenues &amp; Outlays in GDP'!J824, ""), "")</f>
        <v/>
      </c>
    </row>
    <row r="819" spans="1:6">
      <c r="A819" t="str">
        <f>TEXT(IF('Revenues &amp; Outlays in GDP'!B825&lt;&gt;0,'Revenues &amp; Outlays in GDP'!B825, ""), "mm/dd/yyyy")</f>
        <v/>
      </c>
      <c r="B819" t="str">
        <f>IFERROR(IF(ISNUMBER('Revenues &amp; Outlays in GDP'!G825),TEXT('Revenues &amp; Outlays in GDP'!G825, "0.00"),""), "")</f>
        <v/>
      </c>
      <c r="C819" t="str">
        <f>IFERROR(IF(ISNUMBER('Revenues &amp; Outlays in GDP'!C825),TEXT('Revenues &amp; Outlays in GDP'!C825, "0.00"),""), "")</f>
        <v/>
      </c>
      <c r="D819" t="str">
        <f>IFERROR(IF(ISNUMBER('Revenues &amp; Outlays in GDP'!H825),TEXT('Revenues &amp; Outlays in GDP'!H825, "0.00"),""), "")</f>
        <v/>
      </c>
      <c r="E819" t="str">
        <f>IFERROR(IF(ISNUMBER('Revenues &amp; Outlays in GDP'!D825),TEXT('Revenues &amp; Outlays in GDP'!D825, "0.00"),""), "")</f>
        <v/>
      </c>
      <c r="F819" t="str">
        <f>IFERROR(IF(ISNUMBER('Revenues &amp; Outlays in GDP'!B825), 'Revenues &amp; Outlays in GDP'!J825, ""), "")</f>
        <v/>
      </c>
    </row>
    <row r="820" spans="1:6">
      <c r="A820" t="str">
        <f>TEXT(IF('Revenues &amp; Outlays in GDP'!B826&lt;&gt;0,'Revenues &amp; Outlays in GDP'!B826, ""), "mm/dd/yyyy")</f>
        <v/>
      </c>
      <c r="B820" t="str">
        <f>IFERROR(IF(ISNUMBER('Revenues &amp; Outlays in GDP'!G826),TEXT('Revenues &amp; Outlays in GDP'!G826, "0.00"),""), "")</f>
        <v/>
      </c>
      <c r="C820" t="str">
        <f>IFERROR(IF(ISNUMBER('Revenues &amp; Outlays in GDP'!C826),TEXT('Revenues &amp; Outlays in GDP'!C826, "0.00"),""), "")</f>
        <v/>
      </c>
      <c r="D820" t="str">
        <f>IFERROR(IF(ISNUMBER('Revenues &amp; Outlays in GDP'!H826),TEXT('Revenues &amp; Outlays in GDP'!H826, "0.00"),""), "")</f>
        <v/>
      </c>
      <c r="E820" t="str">
        <f>IFERROR(IF(ISNUMBER('Revenues &amp; Outlays in GDP'!D826),TEXT('Revenues &amp; Outlays in GDP'!D826, "0.00"),""), "")</f>
        <v/>
      </c>
      <c r="F820" t="str">
        <f>IFERROR(IF(ISNUMBER('Revenues &amp; Outlays in GDP'!B826), 'Revenues &amp; Outlays in GDP'!J826, ""), "")</f>
        <v/>
      </c>
    </row>
    <row r="821" spans="1:6">
      <c r="A821" t="str">
        <f>TEXT(IF('Revenues &amp; Outlays in GDP'!B827&lt;&gt;0,'Revenues &amp; Outlays in GDP'!B827, ""), "mm/dd/yyyy")</f>
        <v/>
      </c>
      <c r="B821" t="str">
        <f>IFERROR(IF(ISNUMBER('Revenues &amp; Outlays in GDP'!G827),TEXT('Revenues &amp; Outlays in GDP'!G827, "0.00"),""), "")</f>
        <v/>
      </c>
      <c r="C821" t="str">
        <f>IFERROR(IF(ISNUMBER('Revenues &amp; Outlays in GDP'!C827),TEXT('Revenues &amp; Outlays in GDP'!C827, "0.00"),""), "")</f>
        <v/>
      </c>
      <c r="D821" t="str">
        <f>IFERROR(IF(ISNUMBER('Revenues &amp; Outlays in GDP'!H827),TEXT('Revenues &amp; Outlays in GDP'!H827, "0.00"),""), "")</f>
        <v/>
      </c>
      <c r="E821" t="str">
        <f>IFERROR(IF(ISNUMBER('Revenues &amp; Outlays in GDP'!D827),TEXT('Revenues &amp; Outlays in GDP'!D827, "0.00"),""), "")</f>
        <v/>
      </c>
      <c r="F821" t="str">
        <f>IFERROR(IF(ISNUMBER('Revenues &amp; Outlays in GDP'!B827), 'Revenues &amp; Outlays in GDP'!J827, ""), "")</f>
        <v/>
      </c>
    </row>
    <row r="822" spans="1:6">
      <c r="A822" t="str">
        <f>TEXT(IF('Revenues &amp; Outlays in GDP'!B828&lt;&gt;0,'Revenues &amp; Outlays in GDP'!B828, ""), "mm/dd/yyyy")</f>
        <v/>
      </c>
      <c r="B822" t="str">
        <f>IFERROR(IF(ISNUMBER('Revenues &amp; Outlays in GDP'!G828),TEXT('Revenues &amp; Outlays in GDP'!G828, "0.00"),""), "")</f>
        <v/>
      </c>
      <c r="C822" t="str">
        <f>IFERROR(IF(ISNUMBER('Revenues &amp; Outlays in GDP'!C828),TEXT('Revenues &amp; Outlays in GDP'!C828, "0.00"),""), "")</f>
        <v/>
      </c>
      <c r="D822" t="str">
        <f>IFERROR(IF(ISNUMBER('Revenues &amp; Outlays in GDP'!H828),TEXT('Revenues &amp; Outlays in GDP'!H828, "0.00"),""), "")</f>
        <v/>
      </c>
      <c r="E822" t="str">
        <f>IFERROR(IF(ISNUMBER('Revenues &amp; Outlays in GDP'!D828),TEXT('Revenues &amp; Outlays in GDP'!D828, "0.00"),""), "")</f>
        <v/>
      </c>
      <c r="F822" t="str">
        <f>IFERROR(IF(ISNUMBER('Revenues &amp; Outlays in GDP'!B828), 'Revenues &amp; Outlays in GDP'!J828, ""), "")</f>
        <v/>
      </c>
    </row>
    <row r="823" spans="1:6">
      <c r="A823" t="str">
        <f>TEXT(IF('Revenues &amp; Outlays in GDP'!B829&lt;&gt;0,'Revenues &amp; Outlays in GDP'!B829, ""), "mm/dd/yyyy")</f>
        <v/>
      </c>
      <c r="B823" t="str">
        <f>IFERROR(IF(ISNUMBER('Revenues &amp; Outlays in GDP'!G829),TEXT('Revenues &amp; Outlays in GDP'!G829, "0.00"),""), "")</f>
        <v/>
      </c>
      <c r="C823" t="str">
        <f>IFERROR(IF(ISNUMBER('Revenues &amp; Outlays in GDP'!C829),TEXT('Revenues &amp; Outlays in GDP'!C829, "0.00"),""), "")</f>
        <v/>
      </c>
      <c r="D823" t="str">
        <f>IFERROR(IF(ISNUMBER('Revenues &amp; Outlays in GDP'!H829),TEXT('Revenues &amp; Outlays in GDP'!H829, "0.00"),""), "")</f>
        <v/>
      </c>
      <c r="E823" t="str">
        <f>IFERROR(IF(ISNUMBER('Revenues &amp; Outlays in GDP'!D829),TEXT('Revenues &amp; Outlays in GDP'!D829, "0.00"),""), "")</f>
        <v/>
      </c>
      <c r="F823" t="str">
        <f>IFERROR(IF(ISNUMBER('Revenues &amp; Outlays in GDP'!B829), 'Revenues &amp; Outlays in GDP'!J829, ""), "")</f>
        <v/>
      </c>
    </row>
    <row r="824" spans="1:6">
      <c r="A824" t="str">
        <f>TEXT(IF('Revenues &amp; Outlays in GDP'!B830&lt;&gt;0,'Revenues &amp; Outlays in GDP'!B830, ""), "mm/dd/yyyy")</f>
        <v/>
      </c>
      <c r="B824" t="str">
        <f>IFERROR(IF(ISNUMBER('Revenues &amp; Outlays in GDP'!G830),TEXT('Revenues &amp; Outlays in GDP'!G830, "0.00"),""), "")</f>
        <v/>
      </c>
      <c r="C824" t="str">
        <f>IFERROR(IF(ISNUMBER('Revenues &amp; Outlays in GDP'!C830),TEXT('Revenues &amp; Outlays in GDP'!C830, "0.00"),""), "")</f>
        <v/>
      </c>
      <c r="D824" t="str">
        <f>IFERROR(IF(ISNUMBER('Revenues &amp; Outlays in GDP'!H830),TEXT('Revenues &amp; Outlays in GDP'!H830, "0.00"),""), "")</f>
        <v/>
      </c>
      <c r="E824" t="str">
        <f>IFERROR(IF(ISNUMBER('Revenues &amp; Outlays in GDP'!D830),TEXT('Revenues &amp; Outlays in GDP'!D830, "0.00"),""), "")</f>
        <v/>
      </c>
      <c r="F824" t="str">
        <f>IFERROR(IF(ISNUMBER('Revenues &amp; Outlays in GDP'!B830), 'Revenues &amp; Outlays in GDP'!J830, ""), "")</f>
        <v/>
      </c>
    </row>
    <row r="825" spans="1:6">
      <c r="A825" t="str">
        <f>TEXT(IF('Revenues &amp; Outlays in GDP'!B831&lt;&gt;0,'Revenues &amp; Outlays in GDP'!B831, ""), "mm/dd/yyyy")</f>
        <v/>
      </c>
      <c r="B825" t="str">
        <f>IFERROR(IF(ISNUMBER('Revenues &amp; Outlays in GDP'!G831),TEXT('Revenues &amp; Outlays in GDP'!G831, "0.00"),""), "")</f>
        <v/>
      </c>
      <c r="C825" t="str">
        <f>IFERROR(IF(ISNUMBER('Revenues &amp; Outlays in GDP'!C831),TEXT('Revenues &amp; Outlays in GDP'!C831, "0.00"),""), "")</f>
        <v/>
      </c>
      <c r="D825" t="str">
        <f>IFERROR(IF(ISNUMBER('Revenues &amp; Outlays in GDP'!H831),TEXT('Revenues &amp; Outlays in GDP'!H831, "0.00"),""), "")</f>
        <v/>
      </c>
      <c r="E825" t="str">
        <f>IFERROR(IF(ISNUMBER('Revenues &amp; Outlays in GDP'!D831),TEXT('Revenues &amp; Outlays in GDP'!D831, "0.00"),""), "")</f>
        <v/>
      </c>
      <c r="F825" t="str">
        <f>IFERROR(IF(ISNUMBER('Revenues &amp; Outlays in GDP'!B831), 'Revenues &amp; Outlays in GDP'!J831, ""), "")</f>
        <v/>
      </c>
    </row>
    <row r="826" spans="1:6">
      <c r="A826" t="str">
        <f>TEXT(IF('Revenues &amp; Outlays in GDP'!B832&lt;&gt;0,'Revenues &amp; Outlays in GDP'!B832, ""), "mm/dd/yyyy")</f>
        <v/>
      </c>
      <c r="B826" t="str">
        <f>IFERROR(IF(ISNUMBER('Revenues &amp; Outlays in GDP'!G832),TEXT('Revenues &amp; Outlays in GDP'!G832, "0.00"),""), "")</f>
        <v/>
      </c>
      <c r="C826" t="str">
        <f>IFERROR(IF(ISNUMBER('Revenues &amp; Outlays in GDP'!C832),TEXT('Revenues &amp; Outlays in GDP'!C832, "0.00"),""), "")</f>
        <v/>
      </c>
      <c r="D826" t="str">
        <f>IFERROR(IF(ISNUMBER('Revenues &amp; Outlays in GDP'!H832),TEXT('Revenues &amp; Outlays in GDP'!H832, "0.00"),""), "")</f>
        <v/>
      </c>
      <c r="E826" t="str">
        <f>IFERROR(IF(ISNUMBER('Revenues &amp; Outlays in GDP'!D832),TEXT('Revenues &amp; Outlays in GDP'!D832, "0.00"),""), "")</f>
        <v/>
      </c>
      <c r="F826" t="str">
        <f>IFERROR(IF(ISNUMBER('Revenues &amp; Outlays in GDP'!B832), 'Revenues &amp; Outlays in GDP'!J832, ""), "")</f>
        <v/>
      </c>
    </row>
    <row r="827" spans="1:6">
      <c r="A827" t="str">
        <f>TEXT(IF('Revenues &amp; Outlays in GDP'!B833&lt;&gt;0,'Revenues &amp; Outlays in GDP'!B833, ""), "mm/dd/yyyy")</f>
        <v/>
      </c>
      <c r="B827" t="str">
        <f>IFERROR(IF(ISNUMBER('Revenues &amp; Outlays in GDP'!G833),TEXT('Revenues &amp; Outlays in GDP'!G833, "0.00"),""), "")</f>
        <v/>
      </c>
      <c r="C827" t="str">
        <f>IFERROR(IF(ISNUMBER('Revenues &amp; Outlays in GDP'!C833),TEXT('Revenues &amp; Outlays in GDP'!C833, "0.00"),""), "")</f>
        <v/>
      </c>
      <c r="D827" t="str">
        <f>IFERROR(IF(ISNUMBER('Revenues &amp; Outlays in GDP'!H833),TEXT('Revenues &amp; Outlays in GDP'!H833, "0.00"),""), "")</f>
        <v/>
      </c>
      <c r="E827" t="str">
        <f>IFERROR(IF(ISNUMBER('Revenues &amp; Outlays in GDP'!D833),TEXT('Revenues &amp; Outlays in GDP'!D833, "0.00"),""), "")</f>
        <v/>
      </c>
      <c r="F827" t="str">
        <f>IFERROR(IF(ISNUMBER('Revenues &amp; Outlays in GDP'!B833), 'Revenues &amp; Outlays in GDP'!J833, ""), "")</f>
        <v/>
      </c>
    </row>
    <row r="828" spans="1:6">
      <c r="A828" t="str">
        <f>TEXT(IF('Revenues &amp; Outlays in GDP'!B834&lt;&gt;0,'Revenues &amp; Outlays in GDP'!B834, ""), "mm/dd/yyyy")</f>
        <v/>
      </c>
      <c r="B828" t="str">
        <f>IFERROR(IF(ISNUMBER('Revenues &amp; Outlays in GDP'!G834),TEXT('Revenues &amp; Outlays in GDP'!G834, "0.00"),""), "")</f>
        <v/>
      </c>
      <c r="C828" t="str">
        <f>IFERROR(IF(ISNUMBER('Revenues &amp; Outlays in GDP'!C834),TEXT('Revenues &amp; Outlays in GDP'!C834, "0.00"),""), "")</f>
        <v/>
      </c>
      <c r="D828" t="str">
        <f>IFERROR(IF(ISNUMBER('Revenues &amp; Outlays in GDP'!H834),TEXT('Revenues &amp; Outlays in GDP'!H834, "0.00"),""), "")</f>
        <v/>
      </c>
      <c r="E828" t="str">
        <f>IFERROR(IF(ISNUMBER('Revenues &amp; Outlays in GDP'!D834),TEXT('Revenues &amp; Outlays in GDP'!D834, "0.00"),""), "")</f>
        <v/>
      </c>
      <c r="F828" t="str">
        <f>IFERROR(IF(ISNUMBER('Revenues &amp; Outlays in GDP'!B834), 'Revenues &amp; Outlays in GDP'!J834, ""), "")</f>
        <v/>
      </c>
    </row>
    <row r="829" spans="1:6">
      <c r="A829" t="str">
        <f>TEXT(IF('Revenues &amp; Outlays in GDP'!B835&lt;&gt;0,'Revenues &amp; Outlays in GDP'!B835, ""), "mm/dd/yyyy")</f>
        <v/>
      </c>
      <c r="B829" t="str">
        <f>IFERROR(IF(ISNUMBER('Revenues &amp; Outlays in GDP'!G835),TEXT('Revenues &amp; Outlays in GDP'!G835, "0.00"),""), "")</f>
        <v/>
      </c>
      <c r="C829" t="str">
        <f>IFERROR(IF(ISNUMBER('Revenues &amp; Outlays in GDP'!C835),TEXT('Revenues &amp; Outlays in GDP'!C835, "0.00"),""), "")</f>
        <v/>
      </c>
      <c r="D829" t="str">
        <f>IFERROR(IF(ISNUMBER('Revenues &amp; Outlays in GDP'!H835),TEXT('Revenues &amp; Outlays in GDP'!H835, "0.00"),""), "")</f>
        <v/>
      </c>
      <c r="E829" t="str">
        <f>IFERROR(IF(ISNUMBER('Revenues &amp; Outlays in GDP'!D835),TEXT('Revenues &amp; Outlays in GDP'!D835, "0.00"),""), "")</f>
        <v/>
      </c>
      <c r="F829" t="str">
        <f>IFERROR(IF(ISNUMBER('Revenues &amp; Outlays in GDP'!B835), 'Revenues &amp; Outlays in GDP'!J835, ""), "")</f>
        <v/>
      </c>
    </row>
    <row r="830" spans="1:6">
      <c r="A830" t="str">
        <f>TEXT(IF('Revenues &amp; Outlays in GDP'!B836&lt;&gt;0,'Revenues &amp; Outlays in GDP'!B836, ""), "mm/dd/yyyy")</f>
        <v/>
      </c>
      <c r="B830" t="str">
        <f>IFERROR(IF(ISNUMBER('Revenues &amp; Outlays in GDP'!G836),TEXT('Revenues &amp; Outlays in GDP'!G836, "0.00"),""), "")</f>
        <v/>
      </c>
      <c r="C830" t="str">
        <f>IFERROR(IF(ISNUMBER('Revenues &amp; Outlays in GDP'!C836),TEXT('Revenues &amp; Outlays in GDP'!C836, "0.00"),""), "")</f>
        <v/>
      </c>
      <c r="D830" t="str">
        <f>IFERROR(IF(ISNUMBER('Revenues &amp; Outlays in GDP'!H836),TEXT('Revenues &amp; Outlays in GDP'!H836, "0.00"),""), "")</f>
        <v/>
      </c>
      <c r="E830" t="str">
        <f>IFERROR(IF(ISNUMBER('Revenues &amp; Outlays in GDP'!D836),TEXT('Revenues &amp; Outlays in GDP'!D836, "0.00"),""), "")</f>
        <v/>
      </c>
      <c r="F830" t="str">
        <f>IFERROR(IF(ISNUMBER('Revenues &amp; Outlays in GDP'!B836), 'Revenues &amp; Outlays in GDP'!J836, ""), "")</f>
        <v/>
      </c>
    </row>
    <row r="831" spans="1:6">
      <c r="A831" t="str">
        <f>TEXT(IF('Revenues &amp; Outlays in GDP'!B837&lt;&gt;0,'Revenues &amp; Outlays in GDP'!B837, ""), "mm/dd/yyyy")</f>
        <v/>
      </c>
      <c r="B831" t="str">
        <f>IFERROR(IF(ISNUMBER('Revenues &amp; Outlays in GDP'!G837),TEXT('Revenues &amp; Outlays in GDP'!G837, "0.00"),""), "")</f>
        <v/>
      </c>
      <c r="C831" t="str">
        <f>IFERROR(IF(ISNUMBER('Revenues &amp; Outlays in GDP'!C837),TEXT('Revenues &amp; Outlays in GDP'!C837, "0.00"),""), "")</f>
        <v/>
      </c>
      <c r="D831" t="str">
        <f>IFERROR(IF(ISNUMBER('Revenues &amp; Outlays in GDP'!H837),TEXT('Revenues &amp; Outlays in GDP'!H837, "0.00"),""), "")</f>
        <v/>
      </c>
      <c r="E831" t="str">
        <f>IFERROR(IF(ISNUMBER('Revenues &amp; Outlays in GDP'!D837),TEXT('Revenues &amp; Outlays in GDP'!D837, "0.00"),""), "")</f>
        <v/>
      </c>
      <c r="F831" t="str">
        <f>IFERROR(IF(ISNUMBER('Revenues &amp; Outlays in GDP'!B837), 'Revenues &amp; Outlays in GDP'!J837, ""), "")</f>
        <v/>
      </c>
    </row>
    <row r="832" spans="1:6">
      <c r="A832" t="str">
        <f>TEXT(IF('Revenues &amp; Outlays in GDP'!B838&lt;&gt;0,'Revenues &amp; Outlays in GDP'!B838, ""), "mm/dd/yyyy")</f>
        <v/>
      </c>
      <c r="B832" t="str">
        <f>IFERROR(IF(ISNUMBER('Revenues &amp; Outlays in GDP'!G838),TEXT('Revenues &amp; Outlays in GDP'!G838, "0.00"),""), "")</f>
        <v/>
      </c>
      <c r="C832" t="str">
        <f>IFERROR(IF(ISNUMBER('Revenues &amp; Outlays in GDP'!C838),TEXT('Revenues &amp; Outlays in GDP'!C838, "0.00"),""), "")</f>
        <v/>
      </c>
      <c r="D832" t="str">
        <f>IFERROR(IF(ISNUMBER('Revenues &amp; Outlays in GDP'!H838),TEXT('Revenues &amp; Outlays in GDP'!H838, "0.00"),""), "")</f>
        <v/>
      </c>
      <c r="E832" t="str">
        <f>IFERROR(IF(ISNUMBER('Revenues &amp; Outlays in GDP'!D838),TEXT('Revenues &amp; Outlays in GDP'!D838, "0.00"),""), "")</f>
        <v/>
      </c>
      <c r="F832" t="str">
        <f>IFERROR(IF(ISNUMBER('Revenues &amp; Outlays in GDP'!B838), 'Revenues &amp; Outlays in GDP'!J838, ""), "")</f>
        <v/>
      </c>
    </row>
    <row r="833" spans="1:6">
      <c r="A833" t="str">
        <f>TEXT(IF('Revenues &amp; Outlays in GDP'!B839&lt;&gt;0,'Revenues &amp; Outlays in GDP'!B839, ""), "mm/dd/yyyy")</f>
        <v/>
      </c>
      <c r="B833" t="str">
        <f>IFERROR(IF(ISNUMBER('Revenues &amp; Outlays in GDP'!G839),TEXT('Revenues &amp; Outlays in GDP'!G839, "0.00"),""), "")</f>
        <v/>
      </c>
      <c r="C833" t="str">
        <f>IFERROR(IF(ISNUMBER('Revenues &amp; Outlays in GDP'!C839),TEXT('Revenues &amp; Outlays in GDP'!C839, "0.00"),""), "")</f>
        <v/>
      </c>
      <c r="D833" t="str">
        <f>IFERROR(IF(ISNUMBER('Revenues &amp; Outlays in GDP'!H839),TEXT('Revenues &amp; Outlays in GDP'!H839, "0.00"),""), "")</f>
        <v/>
      </c>
      <c r="E833" t="str">
        <f>IFERROR(IF(ISNUMBER('Revenues &amp; Outlays in GDP'!D839),TEXT('Revenues &amp; Outlays in GDP'!D839, "0.00"),""), "")</f>
        <v/>
      </c>
      <c r="F833" t="str">
        <f>IFERROR(IF(ISNUMBER('Revenues &amp; Outlays in GDP'!B839), 'Revenues &amp; Outlays in GDP'!J839, ""), "")</f>
        <v/>
      </c>
    </row>
    <row r="834" spans="1:6">
      <c r="A834" t="str">
        <f>TEXT(IF('Revenues &amp; Outlays in GDP'!B840&lt;&gt;0,'Revenues &amp; Outlays in GDP'!B840, ""), "mm/dd/yyyy")</f>
        <v/>
      </c>
      <c r="B834" t="str">
        <f>IFERROR(IF(ISNUMBER('Revenues &amp; Outlays in GDP'!G840),TEXT('Revenues &amp; Outlays in GDP'!G840, "0.00"),""), "")</f>
        <v/>
      </c>
      <c r="C834" t="str">
        <f>IFERROR(IF(ISNUMBER('Revenues &amp; Outlays in GDP'!C840),TEXT('Revenues &amp; Outlays in GDP'!C840, "0.00"),""), "")</f>
        <v/>
      </c>
      <c r="D834" t="str">
        <f>IFERROR(IF(ISNUMBER('Revenues &amp; Outlays in GDP'!H840),TEXT('Revenues &amp; Outlays in GDP'!H840, "0.00"),""), "")</f>
        <v/>
      </c>
      <c r="E834" t="str">
        <f>IFERROR(IF(ISNUMBER('Revenues &amp; Outlays in GDP'!D840),TEXT('Revenues &amp; Outlays in GDP'!D840, "0.00"),""), "")</f>
        <v/>
      </c>
      <c r="F834" t="str">
        <f>IFERROR(IF(ISNUMBER('Revenues &amp; Outlays in GDP'!B840), 'Revenues &amp; Outlays in GDP'!J840, ""), "")</f>
        <v/>
      </c>
    </row>
    <row r="835" spans="1:6">
      <c r="A835" t="str">
        <f>TEXT(IF('Revenues &amp; Outlays in GDP'!B841&lt;&gt;0,'Revenues &amp; Outlays in GDP'!B841, ""), "mm/dd/yyyy")</f>
        <v/>
      </c>
      <c r="B835" t="str">
        <f>IFERROR(IF(ISNUMBER('Revenues &amp; Outlays in GDP'!G841),TEXT('Revenues &amp; Outlays in GDP'!G841, "0.00"),""), "")</f>
        <v/>
      </c>
      <c r="C835" t="str">
        <f>IFERROR(IF(ISNUMBER('Revenues &amp; Outlays in GDP'!C841),TEXT('Revenues &amp; Outlays in GDP'!C841, "0.00"),""), "")</f>
        <v/>
      </c>
      <c r="D835" t="str">
        <f>IFERROR(IF(ISNUMBER('Revenues &amp; Outlays in GDP'!H841),TEXT('Revenues &amp; Outlays in GDP'!H841, "0.00"),""), "")</f>
        <v/>
      </c>
      <c r="E835" t="str">
        <f>IFERROR(IF(ISNUMBER('Revenues &amp; Outlays in GDP'!D841),TEXT('Revenues &amp; Outlays in GDP'!D841, "0.00"),""), "")</f>
        <v/>
      </c>
      <c r="F835" t="str">
        <f>IFERROR(IF(ISNUMBER('Revenues &amp; Outlays in GDP'!B841), 'Revenues &amp; Outlays in GDP'!J841, ""), "")</f>
        <v/>
      </c>
    </row>
    <row r="836" spans="1:6">
      <c r="A836" t="str">
        <f>TEXT(IF('Revenues &amp; Outlays in GDP'!B842&lt;&gt;0,'Revenues &amp; Outlays in GDP'!B842, ""), "mm/dd/yyyy")</f>
        <v/>
      </c>
      <c r="B836" t="str">
        <f>IFERROR(IF(ISNUMBER('Revenues &amp; Outlays in GDP'!G842),TEXT('Revenues &amp; Outlays in GDP'!G842, "0.00"),""), "")</f>
        <v/>
      </c>
      <c r="C836" t="str">
        <f>IFERROR(IF(ISNUMBER('Revenues &amp; Outlays in GDP'!C842),TEXT('Revenues &amp; Outlays in GDP'!C842, "0.00"),""), "")</f>
        <v/>
      </c>
      <c r="D836" t="str">
        <f>IFERROR(IF(ISNUMBER('Revenues &amp; Outlays in GDP'!H842),TEXT('Revenues &amp; Outlays in GDP'!H842, "0.00"),""), "")</f>
        <v/>
      </c>
      <c r="E836" t="str">
        <f>IFERROR(IF(ISNUMBER('Revenues &amp; Outlays in GDP'!D842),TEXT('Revenues &amp; Outlays in GDP'!D842, "0.00"),""), "")</f>
        <v/>
      </c>
      <c r="F836" t="str">
        <f>IFERROR(IF(ISNUMBER('Revenues &amp; Outlays in GDP'!B842), 'Revenues &amp; Outlays in GDP'!J842, ""), "")</f>
        <v/>
      </c>
    </row>
    <row r="837" spans="1:6">
      <c r="A837" t="str">
        <f>TEXT(IF('Revenues &amp; Outlays in GDP'!B843&lt;&gt;0,'Revenues &amp; Outlays in GDP'!B843, ""), "mm/dd/yyyy")</f>
        <v/>
      </c>
      <c r="B837" t="str">
        <f>IFERROR(IF(ISNUMBER('Revenues &amp; Outlays in GDP'!G843),TEXT('Revenues &amp; Outlays in GDP'!G843, "0.00"),""), "")</f>
        <v/>
      </c>
      <c r="C837" t="str">
        <f>IFERROR(IF(ISNUMBER('Revenues &amp; Outlays in GDP'!C843),TEXT('Revenues &amp; Outlays in GDP'!C843, "0.00"),""), "")</f>
        <v/>
      </c>
      <c r="D837" t="str">
        <f>IFERROR(IF(ISNUMBER('Revenues &amp; Outlays in GDP'!H843),TEXT('Revenues &amp; Outlays in GDP'!H843, "0.00"),""), "")</f>
        <v/>
      </c>
      <c r="E837" t="str">
        <f>IFERROR(IF(ISNUMBER('Revenues &amp; Outlays in GDP'!D843),TEXT('Revenues &amp; Outlays in GDP'!D843, "0.00"),""), "")</f>
        <v/>
      </c>
      <c r="F837" t="str">
        <f>IFERROR(IF(ISNUMBER('Revenues &amp; Outlays in GDP'!B843), 'Revenues &amp; Outlays in GDP'!J843, ""), "")</f>
        <v/>
      </c>
    </row>
    <row r="838" spans="1:6">
      <c r="A838" t="str">
        <f>TEXT(IF('Revenues &amp; Outlays in GDP'!B844&lt;&gt;0,'Revenues &amp; Outlays in GDP'!B844, ""), "mm/dd/yyyy")</f>
        <v/>
      </c>
      <c r="B838" t="str">
        <f>IFERROR(IF(ISNUMBER('Revenues &amp; Outlays in GDP'!G844),TEXT('Revenues &amp; Outlays in GDP'!G844, "0.00"),""), "")</f>
        <v/>
      </c>
      <c r="C838" t="str">
        <f>IFERROR(IF(ISNUMBER('Revenues &amp; Outlays in GDP'!C844),TEXT('Revenues &amp; Outlays in GDP'!C844, "0.00"),""), "")</f>
        <v/>
      </c>
      <c r="D838" t="str">
        <f>IFERROR(IF(ISNUMBER('Revenues &amp; Outlays in GDP'!H844),TEXT('Revenues &amp; Outlays in GDP'!H844, "0.00"),""), "")</f>
        <v/>
      </c>
      <c r="E838" t="str">
        <f>IFERROR(IF(ISNUMBER('Revenues &amp; Outlays in GDP'!D844),TEXT('Revenues &amp; Outlays in GDP'!D844, "0.00"),""), "")</f>
        <v/>
      </c>
      <c r="F838" t="str">
        <f>IFERROR(IF(ISNUMBER('Revenues &amp; Outlays in GDP'!B844), 'Revenues &amp; Outlays in GDP'!J844, ""), "")</f>
        <v/>
      </c>
    </row>
    <row r="839" spans="1:6">
      <c r="A839" t="str">
        <f>TEXT(IF('Revenues &amp; Outlays in GDP'!B845&lt;&gt;0,'Revenues &amp; Outlays in GDP'!B845, ""), "mm/dd/yyyy")</f>
        <v/>
      </c>
      <c r="B839" t="str">
        <f>IFERROR(IF(ISNUMBER('Revenues &amp; Outlays in GDP'!G845),TEXT('Revenues &amp; Outlays in GDP'!G845, "0.00"),""), "")</f>
        <v/>
      </c>
      <c r="C839" t="str">
        <f>IFERROR(IF(ISNUMBER('Revenues &amp; Outlays in GDP'!C845),TEXT('Revenues &amp; Outlays in GDP'!C845, "0.00"),""), "")</f>
        <v/>
      </c>
      <c r="D839" t="str">
        <f>IFERROR(IF(ISNUMBER('Revenues &amp; Outlays in GDP'!H845),TEXT('Revenues &amp; Outlays in GDP'!H845, "0.00"),""), "")</f>
        <v/>
      </c>
      <c r="E839" t="str">
        <f>IFERROR(IF(ISNUMBER('Revenues &amp; Outlays in GDP'!D845),TEXT('Revenues &amp; Outlays in GDP'!D845, "0.00"),""), "")</f>
        <v/>
      </c>
      <c r="F839" t="str">
        <f>IFERROR(IF(ISNUMBER('Revenues &amp; Outlays in GDP'!B845), 'Revenues &amp; Outlays in GDP'!J845, ""), "")</f>
        <v/>
      </c>
    </row>
    <row r="840" spans="1:6">
      <c r="A840" t="str">
        <f>TEXT(IF('Revenues &amp; Outlays in GDP'!B846&lt;&gt;0,'Revenues &amp; Outlays in GDP'!B846, ""), "mm/dd/yyyy")</f>
        <v/>
      </c>
      <c r="B840" t="str">
        <f>IFERROR(IF(ISNUMBER('Revenues &amp; Outlays in GDP'!G846),TEXT('Revenues &amp; Outlays in GDP'!G846, "0.00"),""), "")</f>
        <v/>
      </c>
      <c r="C840" t="str">
        <f>IFERROR(IF(ISNUMBER('Revenues &amp; Outlays in GDP'!C846),TEXT('Revenues &amp; Outlays in GDP'!C846, "0.00"),""), "")</f>
        <v/>
      </c>
      <c r="D840" t="str">
        <f>IFERROR(IF(ISNUMBER('Revenues &amp; Outlays in GDP'!H846),TEXT('Revenues &amp; Outlays in GDP'!H846, "0.00"),""), "")</f>
        <v/>
      </c>
      <c r="E840" t="str">
        <f>IFERROR(IF(ISNUMBER('Revenues &amp; Outlays in GDP'!D846),TEXT('Revenues &amp; Outlays in GDP'!D846, "0.00"),""), "")</f>
        <v/>
      </c>
      <c r="F840" t="str">
        <f>IFERROR(IF(ISNUMBER('Revenues &amp; Outlays in GDP'!B846), 'Revenues &amp; Outlays in GDP'!J846, ""), "")</f>
        <v/>
      </c>
    </row>
    <row r="841" spans="1:6">
      <c r="A841" t="str">
        <f>TEXT(IF('Revenues &amp; Outlays in GDP'!B847&lt;&gt;0,'Revenues &amp; Outlays in GDP'!B847, ""), "mm/dd/yyyy")</f>
        <v/>
      </c>
      <c r="B841" t="str">
        <f>IFERROR(IF(ISNUMBER('Revenues &amp; Outlays in GDP'!G847),TEXT('Revenues &amp; Outlays in GDP'!G847, "0.00"),""), "")</f>
        <v/>
      </c>
      <c r="C841" t="str">
        <f>IFERROR(IF(ISNUMBER('Revenues &amp; Outlays in GDP'!C847),TEXT('Revenues &amp; Outlays in GDP'!C847, "0.00"),""), "")</f>
        <v/>
      </c>
      <c r="D841" t="str">
        <f>IFERROR(IF(ISNUMBER('Revenues &amp; Outlays in GDP'!H847),TEXT('Revenues &amp; Outlays in GDP'!H847, "0.00"),""), "")</f>
        <v/>
      </c>
      <c r="E841" t="str">
        <f>IFERROR(IF(ISNUMBER('Revenues &amp; Outlays in GDP'!D847),TEXT('Revenues &amp; Outlays in GDP'!D847, "0.00"),""), "")</f>
        <v/>
      </c>
      <c r="F841" t="str">
        <f>IFERROR(IF(ISNUMBER('Revenues &amp; Outlays in GDP'!B847), 'Revenues &amp; Outlays in GDP'!J847, ""), "")</f>
        <v/>
      </c>
    </row>
    <row r="842" spans="1:6">
      <c r="A842" t="str">
        <f>TEXT(IF('Revenues &amp; Outlays in GDP'!B848&lt;&gt;0,'Revenues &amp; Outlays in GDP'!B848, ""), "mm/dd/yyyy")</f>
        <v/>
      </c>
      <c r="B842" t="str">
        <f>IFERROR(IF(ISNUMBER('Revenues &amp; Outlays in GDP'!G848),TEXT('Revenues &amp; Outlays in GDP'!G848, "0.00"),""), "")</f>
        <v/>
      </c>
      <c r="C842" t="str">
        <f>IFERROR(IF(ISNUMBER('Revenues &amp; Outlays in GDP'!C848),TEXT('Revenues &amp; Outlays in GDP'!C848, "0.00"),""), "")</f>
        <v/>
      </c>
      <c r="D842" t="str">
        <f>IFERROR(IF(ISNUMBER('Revenues &amp; Outlays in GDP'!H848),TEXT('Revenues &amp; Outlays in GDP'!H848, "0.00"),""), "")</f>
        <v/>
      </c>
      <c r="E842" t="str">
        <f>IFERROR(IF(ISNUMBER('Revenues &amp; Outlays in GDP'!D848),TEXT('Revenues &amp; Outlays in GDP'!D848, "0.00"),""), "")</f>
        <v/>
      </c>
      <c r="F842" t="str">
        <f>IFERROR(IF(ISNUMBER('Revenues &amp; Outlays in GDP'!B848), 'Revenues &amp; Outlays in GDP'!J848, ""), "")</f>
        <v/>
      </c>
    </row>
    <row r="843" spans="1:6">
      <c r="A843" t="str">
        <f>TEXT(IF('Revenues &amp; Outlays in GDP'!B849&lt;&gt;0,'Revenues &amp; Outlays in GDP'!B849, ""), "mm/dd/yyyy")</f>
        <v/>
      </c>
      <c r="B843" t="str">
        <f>IFERROR(IF(ISNUMBER('Revenues &amp; Outlays in GDP'!G849),TEXT('Revenues &amp; Outlays in GDP'!G849, "0.00"),""), "")</f>
        <v/>
      </c>
      <c r="C843" t="str">
        <f>IFERROR(IF(ISNUMBER('Revenues &amp; Outlays in GDP'!C849),TEXT('Revenues &amp; Outlays in GDP'!C849, "0.00"),""), "")</f>
        <v/>
      </c>
      <c r="D843" t="str">
        <f>IFERROR(IF(ISNUMBER('Revenues &amp; Outlays in GDP'!H849),TEXT('Revenues &amp; Outlays in GDP'!H849, "0.00"),""), "")</f>
        <v/>
      </c>
      <c r="E843" t="str">
        <f>IFERROR(IF(ISNUMBER('Revenues &amp; Outlays in GDP'!D849),TEXT('Revenues &amp; Outlays in GDP'!D849, "0.00"),""), "")</f>
        <v/>
      </c>
      <c r="F843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RowHeight="15"/>
  <cols>
    <col min="1" max="1" width="10.42578125" bestFit="1" customWidth="1"/>
    <col min="2" max="2" width="13.140625" bestFit="1" customWidth="1"/>
  </cols>
  <sheetData>
    <row r="1" spans="1:4">
      <c r="A1" t="s">
        <v>103</v>
      </c>
      <c r="B1" t="s">
        <v>129</v>
      </c>
      <c r="C1" t="s">
        <v>130</v>
      </c>
      <c r="D1" t="s">
        <v>312</v>
      </c>
    </row>
    <row r="2" spans="1:4">
      <c r="A2" t="str">
        <f>TEXT(IF('Deficit to GDP'!B7&lt;&gt;0,'Deficit to GDP'!B7, ""), "yyyy")</f>
        <v>1977</v>
      </c>
      <c r="B2" s="10" t="str">
        <f>IFERROR(IF(ISNUMBER('Deficit to GDP'!E7),TEXT('Deficit to GDP'!E7, "0.00"),""), "")</f>
        <v>-2.65</v>
      </c>
      <c r="C2" s="10" t="str">
        <f ca="1">IFERROR(IF(ISNUMBER('Deficit to GDP'!F7),TEXT('Deficit to GDP'!F7,"0.00"), ""), "")</f>
        <v/>
      </c>
      <c r="D2">
        <f>IFERROR(IF(ISNUMBER('Deficit to GDP'!B7),'Deficit to GDP'!H7,""), "")</f>
        <v>0</v>
      </c>
    </row>
    <row r="3" spans="1:4">
      <c r="A3" t="str">
        <f>TEXT(IF('Deficit to GDP'!B8&lt;&gt;0,'Deficit to GDP'!B8, ""), "yyyy")</f>
        <v>1978</v>
      </c>
      <c r="B3" s="10" t="str">
        <f>IFERROR(IF(ISNUMBER('Deficit to GDP'!E8),TEXT('Deficit to GDP'!E8, "0.00"),""), "")</f>
        <v>-2.60</v>
      </c>
      <c r="C3" s="10" t="str">
        <f ca="1">IFERROR(IF(ISNUMBER('Deficit to GDP'!F8),TEXT('Deficit to GDP'!F8,"0.00"), ""), "")</f>
        <v/>
      </c>
      <c r="D3">
        <f>IFERROR(IF(ISNUMBER('Deficit to GDP'!B8),'Deficit to GDP'!H8,""), "")</f>
        <v>0</v>
      </c>
    </row>
    <row r="4" spans="1:4">
      <c r="A4" t="str">
        <f>TEXT(IF('Deficit to GDP'!B9&lt;&gt;0,'Deficit to GDP'!B9, ""), "yyyy")</f>
        <v>1979</v>
      </c>
      <c r="B4" s="10" t="str">
        <f>IFERROR(IF(ISNUMBER('Deficit to GDP'!E9),TEXT('Deficit to GDP'!E9, "0.00"),""), "")</f>
        <v>-1.59</v>
      </c>
      <c r="C4" s="10" t="str">
        <f ca="1">IFERROR(IF(ISNUMBER('Deficit to GDP'!F9),TEXT('Deficit to GDP'!F9,"0.00"), ""), "")</f>
        <v/>
      </c>
      <c r="D4">
        <f>IFERROR(IF(ISNUMBER('Deficit to GDP'!B9),'Deficit to GDP'!H9,""), "")</f>
        <v>0</v>
      </c>
    </row>
    <row r="5" spans="1:4">
      <c r="A5" t="str">
        <f>TEXT(IF('Deficit to GDP'!B10&lt;&gt;0,'Deficit to GDP'!B10, ""), "yyyy")</f>
        <v>1980</v>
      </c>
      <c r="B5" s="10" t="str">
        <f>IFERROR(IF(ISNUMBER('Deficit to GDP'!E10),TEXT('Deficit to GDP'!E10, "0.00"),""), "")</f>
        <v>-2.64</v>
      </c>
      <c r="C5" s="10" t="str">
        <f ca="1">IFERROR(IF(ISNUMBER('Deficit to GDP'!F10),TEXT('Deficit to GDP'!F10,"0.00"), ""), "")</f>
        <v/>
      </c>
      <c r="D5">
        <f>IFERROR(IF(ISNUMBER('Deficit to GDP'!B10),'Deficit to GDP'!H10,""), "")</f>
        <v>1</v>
      </c>
    </row>
    <row r="6" spans="1:4">
      <c r="A6" t="str">
        <f>TEXT(IF('Deficit to GDP'!B11&lt;&gt;0,'Deficit to GDP'!B11, ""), "yyyy")</f>
        <v>1981</v>
      </c>
      <c r="B6" s="10" t="str">
        <f>IFERROR(IF(ISNUMBER('Deficit to GDP'!E11),TEXT('Deficit to GDP'!E11, "0.00"),""), "")</f>
        <v>-2.52</v>
      </c>
      <c r="C6" s="10" t="str">
        <f ca="1">IFERROR(IF(ISNUMBER('Deficit to GDP'!F11),TEXT('Deficit to GDP'!F11,"0.00"), ""), "")</f>
        <v/>
      </c>
      <c r="D6">
        <f>IFERROR(IF(ISNUMBER('Deficit to GDP'!B11),'Deficit to GDP'!H11,""), "")</f>
        <v>1</v>
      </c>
    </row>
    <row r="7" spans="1:4">
      <c r="A7" t="str">
        <f>TEXT(IF('Deficit to GDP'!B12&lt;&gt;0,'Deficit to GDP'!B12, ""), "yyyy")</f>
        <v>1982</v>
      </c>
      <c r="B7" s="10" t="str">
        <f>IFERROR(IF(ISNUMBER('Deficit to GDP'!E12),TEXT('Deficit to GDP'!E12, "0.00"),""), "")</f>
        <v>-3.86</v>
      </c>
      <c r="C7" s="10" t="str">
        <f ca="1">IFERROR(IF(ISNUMBER('Deficit to GDP'!F12),TEXT('Deficit to GDP'!F12,"0.00"), ""), "")</f>
        <v/>
      </c>
      <c r="D7">
        <f>IFERROR(IF(ISNUMBER('Deficit to GDP'!B12),'Deficit to GDP'!H12,""), "")</f>
        <v>1</v>
      </c>
    </row>
    <row r="8" spans="1:4">
      <c r="A8" t="str">
        <f>TEXT(IF('Deficit to GDP'!B13&lt;&gt;0,'Deficit to GDP'!B13, ""), "yyyy")</f>
        <v>1983</v>
      </c>
      <c r="B8" s="10" t="str">
        <f>IFERROR(IF(ISNUMBER('Deficit to GDP'!E13),TEXT('Deficit to GDP'!E13, "0.00"),""), "")</f>
        <v>-5.88</v>
      </c>
      <c r="C8" s="10" t="str">
        <f ca="1">IFERROR(IF(ISNUMBER('Deficit to GDP'!F13),TEXT('Deficit to GDP'!F13,"0.00"), ""), "")</f>
        <v/>
      </c>
      <c r="D8">
        <f>IFERROR(IF(ISNUMBER('Deficit to GDP'!B13),'Deficit to GDP'!H13,""), "")</f>
        <v>0</v>
      </c>
    </row>
    <row r="9" spans="1:4">
      <c r="A9" t="str">
        <f>TEXT(IF('Deficit to GDP'!B14&lt;&gt;0,'Deficit to GDP'!B14, ""), "yyyy")</f>
        <v>1984</v>
      </c>
      <c r="B9" s="10" t="str">
        <f>IFERROR(IF(ISNUMBER('Deficit to GDP'!E14),TEXT('Deficit to GDP'!E14, "0.00"),""), "")</f>
        <v>-4.69</v>
      </c>
      <c r="C9" s="10" t="str">
        <f ca="1">IFERROR(IF(ISNUMBER('Deficit to GDP'!F14),TEXT('Deficit to GDP'!F14,"0.00"), ""), "")</f>
        <v/>
      </c>
      <c r="D9">
        <f>IFERROR(IF(ISNUMBER('Deficit to GDP'!B14),'Deficit to GDP'!H14,""), "")</f>
        <v>0</v>
      </c>
    </row>
    <row r="10" spans="1:4">
      <c r="A10" t="str">
        <f>TEXT(IF('Deficit to GDP'!B15&lt;&gt;0,'Deficit to GDP'!B15, ""), "yyyy")</f>
        <v>1985</v>
      </c>
      <c r="B10" s="10" t="str">
        <f>IFERROR(IF(ISNUMBER('Deficit to GDP'!E15),TEXT('Deficit to GDP'!E15, "0.00"),""), "")</f>
        <v>-4.98</v>
      </c>
      <c r="C10" s="10" t="str">
        <f ca="1">IFERROR(IF(ISNUMBER('Deficit to GDP'!F15),TEXT('Deficit to GDP'!F15,"0.00"), ""), "")</f>
        <v/>
      </c>
      <c r="D10">
        <f>IFERROR(IF(ISNUMBER('Deficit to GDP'!B15),'Deficit to GDP'!H15,""), "")</f>
        <v>0</v>
      </c>
    </row>
    <row r="11" spans="1:4">
      <c r="A11" t="str">
        <f>TEXT(IF('Deficit to GDP'!B16&lt;&gt;0,'Deficit to GDP'!B16, ""), "yyyy")</f>
        <v>1986</v>
      </c>
      <c r="B11" s="10" t="str">
        <f>IFERROR(IF(ISNUMBER('Deficit to GDP'!E16),TEXT('Deficit to GDP'!E16, "0.00"),""), "")</f>
        <v>-4.89</v>
      </c>
      <c r="C11" s="10" t="str">
        <f ca="1">IFERROR(IF(ISNUMBER('Deficit to GDP'!F16),TEXT('Deficit to GDP'!F16,"0.00"), ""), "")</f>
        <v/>
      </c>
      <c r="D11">
        <f>IFERROR(IF(ISNUMBER('Deficit to GDP'!B16),'Deficit to GDP'!H16,""), "")</f>
        <v>0</v>
      </c>
    </row>
    <row r="12" spans="1:4">
      <c r="A12" t="str">
        <f>TEXT(IF('Deficit to GDP'!B17&lt;&gt;0,'Deficit to GDP'!B17, ""), "yyyy")</f>
        <v>1987</v>
      </c>
      <c r="B12" s="10" t="str">
        <f>IFERROR(IF(ISNUMBER('Deficit to GDP'!E17),TEXT('Deficit to GDP'!E17, "0.00"),""), "")</f>
        <v>-3.14</v>
      </c>
      <c r="C12" s="10" t="str">
        <f ca="1">IFERROR(IF(ISNUMBER('Deficit to GDP'!F17),TEXT('Deficit to GDP'!F17,"0.00"), ""), "")</f>
        <v/>
      </c>
      <c r="D12">
        <f>IFERROR(IF(ISNUMBER('Deficit to GDP'!B17),'Deficit to GDP'!H17,""), "")</f>
        <v>0</v>
      </c>
    </row>
    <row r="13" spans="1:4">
      <c r="A13" t="str">
        <f>TEXT(IF('Deficit to GDP'!B18&lt;&gt;0,'Deficit to GDP'!B18, ""), "yyyy")</f>
        <v>1988</v>
      </c>
      <c r="B13" s="10" t="str">
        <f>IFERROR(IF(ISNUMBER('Deficit to GDP'!E18),TEXT('Deficit to GDP'!E18, "0.00"),""), "")</f>
        <v>-3.02</v>
      </c>
      <c r="C13" s="10" t="str">
        <f ca="1">IFERROR(IF(ISNUMBER('Deficit to GDP'!F18),TEXT('Deficit to GDP'!F18,"0.00"), ""), "")</f>
        <v/>
      </c>
      <c r="D13">
        <f>IFERROR(IF(ISNUMBER('Deficit to GDP'!B18),'Deficit to GDP'!H18,""), "")</f>
        <v>0</v>
      </c>
    </row>
    <row r="14" spans="1:4">
      <c r="A14" t="str">
        <f>TEXT(IF('Deficit to GDP'!B19&lt;&gt;0,'Deficit to GDP'!B19, ""), "yyyy")</f>
        <v>1989</v>
      </c>
      <c r="B14" s="10" t="str">
        <f>IFERROR(IF(ISNUMBER('Deficit to GDP'!E19),TEXT('Deficit to GDP'!E19, "0.00"),""), "")</f>
        <v>-2.75</v>
      </c>
      <c r="C14" s="10" t="str">
        <f ca="1">IFERROR(IF(ISNUMBER('Deficit to GDP'!F19),TEXT('Deficit to GDP'!F19,"0.00"), ""), "")</f>
        <v/>
      </c>
      <c r="D14">
        <f>IFERROR(IF(ISNUMBER('Deficit to GDP'!B19),'Deficit to GDP'!H19,""), "")</f>
        <v>0</v>
      </c>
    </row>
    <row r="15" spans="1:4">
      <c r="A15" t="str">
        <f>TEXT(IF('Deficit to GDP'!B20&lt;&gt;0,'Deficit to GDP'!B20, ""), "yyyy")</f>
        <v>1990</v>
      </c>
      <c r="B15" s="10" t="str">
        <f>IFERROR(IF(ISNUMBER('Deficit to GDP'!E20),TEXT('Deficit to GDP'!E20, "0.00"),""), "")</f>
        <v>-3.75</v>
      </c>
      <c r="C15" s="10" t="str">
        <f ca="1">IFERROR(IF(ISNUMBER('Deficit to GDP'!F20),TEXT('Deficit to GDP'!F20,"0.00"), ""), "")</f>
        <v/>
      </c>
      <c r="D15">
        <f>IFERROR(IF(ISNUMBER('Deficit to GDP'!B20),'Deficit to GDP'!H20,""), "")</f>
        <v>1</v>
      </c>
    </row>
    <row r="16" spans="1:4">
      <c r="A16" t="str">
        <f>TEXT(IF('Deficit to GDP'!B21&lt;&gt;0,'Deficit to GDP'!B21, ""), "yyyy")</f>
        <v>1991</v>
      </c>
      <c r="B16" s="10" t="str">
        <f>IFERROR(IF(ISNUMBER('Deficit to GDP'!E21),TEXT('Deficit to GDP'!E21, "0.00"),""), "")</f>
        <v>-4.42</v>
      </c>
      <c r="C16" s="10" t="str">
        <f ca="1">IFERROR(IF(ISNUMBER('Deficit to GDP'!F21),TEXT('Deficit to GDP'!F21,"0.00"), ""), "")</f>
        <v/>
      </c>
      <c r="D16">
        <f>IFERROR(IF(ISNUMBER('Deficit to GDP'!B21),'Deficit to GDP'!H21,""), "")</f>
        <v>1</v>
      </c>
    </row>
    <row r="17" spans="1:4">
      <c r="A17" t="str">
        <f>TEXT(IF('Deficit to GDP'!B22&lt;&gt;0,'Deficit to GDP'!B22, ""), "yyyy")</f>
        <v>1992</v>
      </c>
      <c r="B17" s="10" t="str">
        <f>IFERROR(IF(ISNUMBER('Deficit to GDP'!E22),TEXT('Deficit to GDP'!E22, "0.00"),""), "")</f>
        <v>-4.53</v>
      </c>
      <c r="C17" s="10" t="str">
        <f ca="1">IFERROR(IF(ISNUMBER('Deficit to GDP'!F22),TEXT('Deficit to GDP'!F22,"0.00"), ""), "")</f>
        <v/>
      </c>
      <c r="D17">
        <f>IFERROR(IF(ISNUMBER('Deficit to GDP'!B22),'Deficit to GDP'!H22,""), "")</f>
        <v>0</v>
      </c>
    </row>
    <row r="18" spans="1:4">
      <c r="A18" t="str">
        <f>TEXT(IF('Deficit to GDP'!B23&lt;&gt;0,'Deficit to GDP'!B23, ""), "yyyy")</f>
        <v>1993</v>
      </c>
      <c r="B18" s="10" t="str">
        <f>IFERROR(IF(ISNUMBER('Deficit to GDP'!E23),TEXT('Deficit to GDP'!E23, "0.00"),""), "")</f>
        <v>-3.76</v>
      </c>
      <c r="C18" s="10" t="str">
        <f ca="1">IFERROR(IF(ISNUMBER('Deficit to GDP'!F23),TEXT('Deficit to GDP'!F23,"0.00"), ""), "")</f>
        <v/>
      </c>
      <c r="D18">
        <f>IFERROR(IF(ISNUMBER('Deficit to GDP'!B23),'Deficit to GDP'!H23,""), "")</f>
        <v>0</v>
      </c>
    </row>
    <row r="19" spans="1:4">
      <c r="A19" t="str">
        <f>TEXT(IF('Deficit to GDP'!B24&lt;&gt;0,'Deficit to GDP'!B24, ""), "yyyy")</f>
        <v>1994</v>
      </c>
      <c r="B19" s="10" t="str">
        <f>IFERROR(IF(ISNUMBER('Deficit to GDP'!E24),TEXT('Deficit to GDP'!E24, "0.00"),""), "")</f>
        <v>-2.83</v>
      </c>
      <c r="C19" s="10" t="str">
        <f ca="1">IFERROR(IF(ISNUMBER('Deficit to GDP'!F24),TEXT('Deficit to GDP'!F24,"0.00"), ""), "")</f>
        <v/>
      </c>
      <c r="D19">
        <f>IFERROR(IF(ISNUMBER('Deficit to GDP'!B24),'Deficit to GDP'!H24,""), "")</f>
        <v>0</v>
      </c>
    </row>
    <row r="20" spans="1:4">
      <c r="A20" t="str">
        <f>TEXT(IF('Deficit to GDP'!B25&lt;&gt;0,'Deficit to GDP'!B25, ""), "yyyy")</f>
        <v>1995</v>
      </c>
      <c r="B20" s="10" t="str">
        <f>IFERROR(IF(ISNUMBER('Deficit to GDP'!E25),TEXT('Deficit to GDP'!E25, "0.00"),""), "")</f>
        <v>-2.17</v>
      </c>
      <c r="C20" s="10" t="str">
        <f ca="1">IFERROR(IF(ISNUMBER('Deficit to GDP'!F25),TEXT('Deficit to GDP'!F25,"0.00"), ""), "")</f>
        <v/>
      </c>
      <c r="D20">
        <f>IFERROR(IF(ISNUMBER('Deficit to GDP'!B25),'Deficit to GDP'!H25,""), "")</f>
        <v>0</v>
      </c>
    </row>
    <row r="21" spans="1:4">
      <c r="A21" t="str">
        <f>TEXT(IF('Deficit to GDP'!B26&lt;&gt;0,'Deficit to GDP'!B26, ""), "yyyy")</f>
        <v>1996</v>
      </c>
      <c r="B21" s="10" t="str">
        <f>IFERROR(IF(ISNUMBER('Deficit to GDP'!E26),TEXT('Deficit to GDP'!E26, "0.00"),""), "")</f>
        <v>-1.35</v>
      </c>
      <c r="C21" s="10" t="str">
        <f ca="1">IFERROR(IF(ISNUMBER('Deficit to GDP'!F26),TEXT('Deficit to GDP'!F26,"0.00"), ""), "")</f>
        <v/>
      </c>
      <c r="D21">
        <f>IFERROR(IF(ISNUMBER('Deficit to GDP'!B26),'Deficit to GDP'!H26,""), "")</f>
        <v>0</v>
      </c>
    </row>
    <row r="22" spans="1:4">
      <c r="A22" t="str">
        <f>TEXT(IF('Deficit to GDP'!B27&lt;&gt;0,'Deficit to GDP'!B27, ""), "yyyy")</f>
        <v>1997</v>
      </c>
      <c r="B22" s="10" t="str">
        <f>IFERROR(IF(ISNUMBER('Deficit to GDP'!E27),TEXT('Deficit to GDP'!E27, "0.00"),""), "")</f>
        <v>-0.26</v>
      </c>
      <c r="C22" s="10" t="str">
        <f ca="1">IFERROR(IF(ISNUMBER('Deficit to GDP'!F27),TEXT('Deficit to GDP'!F27,"0.00"), ""), "")</f>
        <v/>
      </c>
      <c r="D22">
        <f>IFERROR(IF(ISNUMBER('Deficit to GDP'!B27),'Deficit to GDP'!H27,""), "")</f>
        <v>0</v>
      </c>
    </row>
    <row r="23" spans="1:4">
      <c r="A23" t="str">
        <f>TEXT(IF('Deficit to GDP'!B28&lt;&gt;0,'Deficit to GDP'!B28, ""), "yyyy")</f>
        <v>1998</v>
      </c>
      <c r="B23" s="10" t="str">
        <f>IFERROR(IF(ISNUMBER('Deficit to GDP'!E28),TEXT('Deficit to GDP'!E28, "0.00"),""), "")</f>
        <v>0.78</v>
      </c>
      <c r="C23" s="10" t="str">
        <f ca="1">IFERROR(IF(ISNUMBER('Deficit to GDP'!F28),TEXT('Deficit to GDP'!F28,"0.00"), ""), "")</f>
        <v/>
      </c>
      <c r="D23">
        <f>IFERROR(IF(ISNUMBER('Deficit to GDP'!B28),'Deficit to GDP'!H28,""), "")</f>
        <v>0</v>
      </c>
    </row>
    <row r="24" spans="1:4">
      <c r="A24" t="str">
        <f>TEXT(IF('Deficit to GDP'!B29&lt;&gt;0,'Deficit to GDP'!B29, ""), "yyyy")</f>
        <v>1999</v>
      </c>
      <c r="B24" s="10" t="str">
        <f>IFERROR(IF(ISNUMBER('Deficit to GDP'!E29),TEXT('Deficit to GDP'!E29, "0.00"),""), "")</f>
        <v>1.33</v>
      </c>
      <c r="C24" s="10" t="str">
        <f ca="1">IFERROR(IF(ISNUMBER('Deficit to GDP'!F29),TEXT('Deficit to GDP'!F29,"0.00"), ""), "")</f>
        <v/>
      </c>
      <c r="D24">
        <f>IFERROR(IF(ISNUMBER('Deficit to GDP'!B29),'Deficit to GDP'!H29,""), "")</f>
        <v>0</v>
      </c>
    </row>
    <row r="25" spans="1:4">
      <c r="A25" t="str">
        <f>TEXT(IF('Deficit to GDP'!B30&lt;&gt;0,'Deficit to GDP'!B30, ""), "yyyy")</f>
        <v>2000</v>
      </c>
      <c r="B25" s="10" t="str">
        <f>IFERROR(IF(ISNUMBER('Deficit to GDP'!E30),TEXT('Deficit to GDP'!E30, "0.00"),""), "")</f>
        <v>2.34</v>
      </c>
      <c r="C25" s="10" t="str">
        <f ca="1">IFERROR(IF(ISNUMBER('Deficit to GDP'!F30),TEXT('Deficit to GDP'!F30,"0.00"), ""), "")</f>
        <v/>
      </c>
      <c r="D25">
        <f>IFERROR(IF(ISNUMBER('Deficit to GDP'!B30),'Deficit to GDP'!H30,""), "")</f>
        <v>0</v>
      </c>
    </row>
    <row r="26" spans="1:4">
      <c r="A26" t="str">
        <f>TEXT(IF('Deficit to GDP'!B31&lt;&gt;0,'Deficit to GDP'!B31, ""), "yyyy")</f>
        <v>2001</v>
      </c>
      <c r="B26" s="10" t="str">
        <f>IFERROR(IF(ISNUMBER('Deficit to GDP'!E31),TEXT('Deficit to GDP'!E31, "0.00"),""), "")</f>
        <v>1.22</v>
      </c>
      <c r="C26" s="10" t="str">
        <f ca="1">IFERROR(IF(ISNUMBER('Deficit to GDP'!F31),TEXT('Deficit to GDP'!F31,"0.00"), ""), "")</f>
        <v/>
      </c>
      <c r="D26">
        <f>IFERROR(IF(ISNUMBER('Deficit to GDP'!B31),'Deficit to GDP'!H31,""), "")</f>
        <v>1</v>
      </c>
    </row>
    <row r="27" spans="1:4">
      <c r="A27" t="str">
        <f>TEXT(IF('Deficit to GDP'!B32&lt;&gt;0,'Deficit to GDP'!B32, ""), "yyyy")</f>
        <v>2002</v>
      </c>
      <c r="B27" s="10" t="str">
        <f>IFERROR(IF(ISNUMBER('Deficit to GDP'!E32),TEXT('Deficit to GDP'!E32, "0.00"),""), "")</f>
        <v>-1.46</v>
      </c>
      <c r="C27" s="10" t="str">
        <f ca="1">IFERROR(IF(ISNUMBER('Deficit to GDP'!F32),TEXT('Deficit to GDP'!F32,"0.00"), ""), "")</f>
        <v/>
      </c>
      <c r="D27">
        <f>IFERROR(IF(ISNUMBER('Deficit to GDP'!B32),'Deficit to GDP'!H32,""), "")</f>
        <v>0</v>
      </c>
    </row>
    <row r="28" spans="1:4">
      <c r="A28" t="str">
        <f>TEXT(IF('Deficit to GDP'!B33&lt;&gt;0,'Deficit to GDP'!B33, ""), "yyyy")</f>
        <v>2003</v>
      </c>
      <c r="B28" s="10" t="str">
        <f>IFERROR(IF(ISNUMBER('Deficit to GDP'!E33),TEXT('Deficit to GDP'!E33, "0.00"),""), "")</f>
        <v>-3.35</v>
      </c>
      <c r="C28" s="10" t="str">
        <f ca="1">IFERROR(IF(ISNUMBER('Deficit to GDP'!F33),TEXT('Deficit to GDP'!F33,"0.00"), ""), "")</f>
        <v/>
      </c>
      <c r="D28">
        <f>IFERROR(IF(ISNUMBER('Deficit to GDP'!B33),'Deficit to GDP'!H33,""), "")</f>
        <v>0</v>
      </c>
    </row>
    <row r="29" spans="1:4">
      <c r="A29" t="str">
        <f>TEXT(IF('Deficit to GDP'!B34&lt;&gt;0,'Deficit to GDP'!B34, ""), "yyyy")</f>
        <v>2004</v>
      </c>
      <c r="B29" s="10" t="str">
        <f>IFERROR(IF(ISNUMBER('Deficit to GDP'!E34),TEXT('Deficit to GDP'!E34, "0.00"),""), "")</f>
        <v>-3.43</v>
      </c>
      <c r="C29" s="10" t="str">
        <f ca="1">IFERROR(IF(ISNUMBER('Deficit to GDP'!F34),TEXT('Deficit to GDP'!F34,"0.00"), ""), "")</f>
        <v/>
      </c>
      <c r="D29">
        <f>IFERROR(IF(ISNUMBER('Deficit to GDP'!B34),'Deficit to GDP'!H34,""), "")</f>
        <v>0</v>
      </c>
    </row>
    <row r="30" spans="1:4">
      <c r="A30" t="str">
        <f>TEXT(IF('Deficit to GDP'!B35&lt;&gt;0,'Deficit to GDP'!B35, ""), "yyyy")</f>
        <v>2005</v>
      </c>
      <c r="B30" s="10" t="str">
        <f>IFERROR(IF(ISNUMBER('Deficit to GDP'!E35),TEXT('Deficit to GDP'!E35, "0.00"),""), "")</f>
        <v>-2.48</v>
      </c>
      <c r="C30" s="10" t="str">
        <f ca="1">IFERROR(IF(ISNUMBER('Deficit to GDP'!F35),TEXT('Deficit to GDP'!F35,"0.00"), ""), "")</f>
        <v/>
      </c>
      <c r="D30">
        <f>IFERROR(IF(ISNUMBER('Deficit to GDP'!B35),'Deficit to GDP'!H35,""), "")</f>
        <v>0</v>
      </c>
    </row>
    <row r="31" spans="1:4">
      <c r="A31" t="str">
        <f>TEXT(IF('Deficit to GDP'!B36&lt;&gt;0,'Deficit to GDP'!B36, ""), "yyyy")</f>
        <v>2006</v>
      </c>
      <c r="B31" s="10" t="str">
        <f>IFERROR(IF(ISNUMBER('Deficit to GDP'!E36),TEXT('Deficit to GDP'!E36, "0.00"),""), "")</f>
        <v>-1.82</v>
      </c>
      <c r="C31" s="10" t="str">
        <f ca="1">IFERROR(IF(ISNUMBER('Deficit to GDP'!F36),TEXT('Deficit to GDP'!F36,"0.00"), ""), "")</f>
        <v/>
      </c>
      <c r="D31">
        <f>IFERROR(IF(ISNUMBER('Deficit to GDP'!B36),'Deficit to GDP'!H36,""), "")</f>
        <v>0</v>
      </c>
    </row>
    <row r="32" spans="1:4">
      <c r="A32" t="str">
        <f>TEXT(IF('Deficit to GDP'!B37&lt;&gt;0,'Deficit to GDP'!B37, ""), "yyyy")</f>
        <v>2007</v>
      </c>
      <c r="B32" s="10" t="str">
        <f>IFERROR(IF(ISNUMBER('Deficit to GDP'!E37),TEXT('Deficit to GDP'!E37, "0.00"),""), "")</f>
        <v>-1.13</v>
      </c>
      <c r="C32" s="10" t="str">
        <f ca="1">IFERROR(IF(ISNUMBER('Deficit to GDP'!F37),TEXT('Deficit to GDP'!F37,"0.00"), ""), "")</f>
        <v/>
      </c>
      <c r="D32">
        <f>IFERROR(IF(ISNUMBER('Deficit to GDP'!B37),'Deficit to GDP'!H37,""), "")</f>
        <v>0</v>
      </c>
    </row>
    <row r="33" spans="1:4">
      <c r="A33" t="str">
        <f>TEXT(IF('Deficit to GDP'!B38&lt;&gt;0,'Deficit to GDP'!B38, ""), "yyyy")</f>
        <v>2008</v>
      </c>
      <c r="B33" s="10" t="str">
        <f>IFERROR(IF(ISNUMBER('Deficit to GDP'!E38),TEXT('Deficit to GDP'!E38, "0.00"),""), "")</f>
        <v>-3.11</v>
      </c>
      <c r="C33" s="10" t="str">
        <f ca="1">IFERROR(IF(ISNUMBER('Deficit to GDP'!F38),TEXT('Deficit to GDP'!F38,"0.00"), ""), "")</f>
        <v/>
      </c>
      <c r="D33">
        <f>IFERROR(IF(ISNUMBER('Deficit to GDP'!B38),'Deficit to GDP'!H38,""), "")</f>
        <v>1</v>
      </c>
    </row>
    <row r="34" spans="1:4">
      <c r="A34" t="str">
        <f>TEXT(IF('Deficit to GDP'!B39&lt;&gt;0,'Deficit to GDP'!B39, ""), "yyyy")</f>
        <v>2009</v>
      </c>
      <c r="B34" s="10" t="str">
        <f>IFERROR(IF(ISNUMBER('Deficit to GDP'!E39),TEXT('Deficit to GDP'!E39, "0.00"),""), "")</f>
        <v>-9.79</v>
      </c>
      <c r="C34" s="10" t="str">
        <f ca="1">IFERROR(IF(ISNUMBER('Deficit to GDP'!F39),TEXT('Deficit to GDP'!F39,"0.00"), ""), "")</f>
        <v/>
      </c>
      <c r="D34">
        <f>IFERROR(IF(ISNUMBER('Deficit to GDP'!B39),'Deficit to GDP'!H39,""), "")</f>
        <v>1</v>
      </c>
    </row>
    <row r="35" spans="1:4">
      <c r="A35" t="str">
        <f>TEXT(IF('Deficit to GDP'!B40&lt;&gt;0,'Deficit to GDP'!B40, ""), "yyyy")</f>
        <v>2010</v>
      </c>
      <c r="B35" s="10" t="str">
        <f>IFERROR(IF(ISNUMBER('Deficit to GDP'!E40),TEXT('Deficit to GDP'!E40, "0.00"),""), "")</f>
        <v>-8.72</v>
      </c>
      <c r="C35" s="10" t="str">
        <f ca="1">IFERROR(IF(ISNUMBER('Deficit to GDP'!F40),TEXT('Deficit to GDP'!F40,"0.00"), ""), "")</f>
        <v/>
      </c>
      <c r="D35">
        <f>IFERROR(IF(ISNUMBER('Deficit to GDP'!B40),'Deficit to GDP'!H40,""), "")</f>
        <v>0</v>
      </c>
    </row>
    <row r="36" spans="1:4">
      <c r="A36" t="str">
        <f>TEXT(IF('Deficit to GDP'!B41&lt;&gt;0,'Deficit to GDP'!B41, ""), "yyyy")</f>
        <v>2011</v>
      </c>
      <c r="B36" s="10" t="str">
        <f>IFERROR(IF(ISNUMBER('Deficit to GDP'!E41),TEXT('Deficit to GDP'!E41, "0.00"),""), "")</f>
        <v>-8.44</v>
      </c>
      <c r="C36" s="10" t="str">
        <f ca="1">IFERROR(IF(ISNUMBER('Deficit to GDP'!F41),TEXT('Deficit to GDP'!F41,"0.00"), ""), "")</f>
        <v/>
      </c>
      <c r="D36">
        <f>IFERROR(IF(ISNUMBER('Deficit to GDP'!B41),'Deficit to GDP'!H41,""), "")</f>
        <v>0</v>
      </c>
    </row>
    <row r="37" spans="1:4">
      <c r="A37" t="str">
        <f>TEXT(IF('Deficit to GDP'!B42&lt;&gt;0,'Deficit to GDP'!B42, ""), "yyyy")</f>
        <v>2012</v>
      </c>
      <c r="B37" s="10" t="str">
        <f>IFERROR(IF(ISNUMBER('Deficit to GDP'!E42),TEXT('Deficit to GDP'!E42, "0.00"),""), "")</f>
        <v>-6.77</v>
      </c>
      <c r="C37" s="10" t="str">
        <f ca="1">IFERROR(IF(ISNUMBER('Deficit to GDP'!F42),TEXT('Deficit to GDP'!F42,"0.00"), ""), "")</f>
        <v/>
      </c>
      <c r="D37">
        <f>IFERROR(IF(ISNUMBER('Deficit to GDP'!B42),'Deficit to GDP'!H42,""), "")</f>
        <v>0</v>
      </c>
    </row>
    <row r="38" spans="1:4">
      <c r="A38" t="str">
        <f>TEXT(IF('Deficit to GDP'!B43&lt;&gt;0,'Deficit to GDP'!B43, ""), "yyyy")</f>
        <v>2013</v>
      </c>
      <c r="B38" s="10" t="str">
        <f>IFERROR(IF(ISNUMBER('Deficit to GDP'!E43),TEXT('Deficit to GDP'!E43, "0.00"),""), "")</f>
        <v>-4.09</v>
      </c>
      <c r="C38" s="10" t="str">
        <f ca="1">IFERROR(IF(ISNUMBER('Deficit to GDP'!F43),TEXT('Deficit to GDP'!F43,"0.00"), ""), "")</f>
        <v/>
      </c>
      <c r="D38">
        <f>IFERROR(IF(ISNUMBER('Deficit to GDP'!B43),'Deficit to GDP'!H43,""), "")</f>
        <v>0</v>
      </c>
    </row>
    <row r="39" spans="1:4">
      <c r="A39" t="str">
        <f>TEXT(IF('Deficit to GDP'!B44&lt;&gt;0,'Deficit to GDP'!B44, ""), "yyyy")</f>
        <v>2014</v>
      </c>
      <c r="B39" s="10" t="str">
        <f>IFERROR(IF(ISNUMBER('Deficit to GDP'!E44),TEXT('Deficit to GDP'!E44, "0.00"),""), "")</f>
        <v>-2.80</v>
      </c>
      <c r="C39" s="10" t="str">
        <f ca="1">IFERROR(IF(ISNUMBER('Deficit to GDP'!F44),TEXT('Deficit to GDP'!F44,"0.00"), ""), "")</f>
        <v/>
      </c>
      <c r="D39">
        <f>IFERROR(IF(ISNUMBER('Deficit to GDP'!B44),'Deficit to GDP'!H44,""), "")</f>
        <v>0</v>
      </c>
    </row>
    <row r="40" spans="1:4">
      <c r="A40" t="str">
        <f>TEXT(IF('Deficit to GDP'!B45&lt;&gt;0,'Deficit to GDP'!B45, ""), "yyyy")</f>
        <v>2015</v>
      </c>
      <c r="B40" s="10" t="str">
        <f>IFERROR(IF(ISNUMBER('Deficit to GDP'!E45),TEXT('Deficit to GDP'!E45, "0.00"),""), "")</f>
        <v>-2.42</v>
      </c>
      <c r="C40" s="10" t="str">
        <f ca="1">IFERROR(IF(ISNUMBER('Deficit to GDP'!F45),TEXT('Deficit to GDP'!F45,"0.00"), ""), "")</f>
        <v/>
      </c>
      <c r="D40">
        <f>IFERROR(IF(ISNUMBER('Deficit to GDP'!B45),'Deficit to GDP'!H45,""), "")</f>
        <v>0</v>
      </c>
    </row>
    <row r="41" spans="1:4">
      <c r="A41" t="str">
        <f>TEXT(IF('Deficit to GDP'!B46&lt;&gt;0,'Deficit to GDP'!B46, ""), "yyyy")</f>
        <v>2016</v>
      </c>
      <c r="B41" s="10" t="str">
        <f>IFERROR(IF(ISNUMBER('Deficit to GDP'!E46),TEXT('Deficit to GDP'!E46, "0.00"),""), "")</f>
        <v/>
      </c>
      <c r="C41" s="10" t="str">
        <f ca="1">IFERROR(IF(ISNUMBER('Deficit to GDP'!F46),TEXT('Deficit to GDP'!F46,"0.00"), ""), "")</f>
        <v/>
      </c>
      <c r="D41">
        <f>IFERROR(IF(ISNUMBER('Deficit to GDP'!B46),'Deficit to GDP'!H46,""), "")</f>
        <v>0</v>
      </c>
    </row>
    <row r="42" spans="1:4">
      <c r="A42" t="str">
        <f>TEXT(IF('Deficit to GDP'!B47&lt;&gt;0,'Deficit to GDP'!B47, ""), "yyyy")</f>
        <v>2017</v>
      </c>
      <c r="B42" s="10" t="str">
        <f>IFERROR(IF(ISNUMBER('Deficit to GDP'!E47),TEXT('Deficit to GDP'!E47, "0.00"),""), "")</f>
        <v/>
      </c>
      <c r="C42" s="10" t="str">
        <f ca="1">IFERROR(IF(ISNUMBER('Deficit to GDP'!F47),TEXT('Deficit to GDP'!F47,"0.00"), ""), "")</f>
        <v/>
      </c>
      <c r="D42">
        <f>IFERROR(IF(ISNUMBER('Deficit to GDP'!B47),'Deficit to GDP'!H47,""), "")</f>
        <v>0</v>
      </c>
    </row>
    <row r="43" spans="1:4">
      <c r="A43" t="str">
        <f>TEXT(IF('Deficit to GDP'!B48&lt;&gt;0,'Deficit to GDP'!B48, ""), "yyyy")</f>
        <v>2018</v>
      </c>
      <c r="B43" s="10" t="str">
        <f>IFERROR(IF(ISNUMBER('Deficit to GDP'!E48),TEXT('Deficit to GDP'!E48, "0.00"),""), "")</f>
        <v/>
      </c>
      <c r="C43" s="10" t="str">
        <f ca="1">IFERROR(IF(ISNUMBER('Deficit to GDP'!F48),TEXT('Deficit to GDP'!F48,"0.00"), ""), "")</f>
        <v>-3.80</v>
      </c>
      <c r="D43">
        <f>IFERROR(IF(ISNUMBER('Deficit to GDP'!B48),'Deficit to GDP'!H48,""), "")</f>
        <v>0</v>
      </c>
    </row>
    <row r="44" spans="1:4">
      <c r="A44" t="str">
        <f>TEXT(IF('Deficit to GDP'!B49&lt;&gt;0,'Deficit to GDP'!B49, ""), "yyyy")</f>
        <v>2019</v>
      </c>
      <c r="B44" s="10" t="str">
        <f>IFERROR(IF(ISNUMBER('Deficit to GDP'!E49),TEXT('Deficit to GDP'!E49, "0.00"),""), "")</f>
        <v/>
      </c>
      <c r="C44" s="10" t="str">
        <f ca="1">IFERROR(IF(ISNUMBER('Deficit to GDP'!F49),TEXT('Deficit to GDP'!F49,"0.00"), ""), "")</f>
        <v>-4.20</v>
      </c>
      <c r="D44">
        <f>IFERROR(IF(ISNUMBER('Deficit to GDP'!B49),'Deficit to GDP'!H49,""), "")</f>
        <v>0</v>
      </c>
    </row>
    <row r="45" spans="1:4">
      <c r="A45" t="str">
        <f>TEXT(IF('Deficit to GDP'!B50&lt;&gt;0,'Deficit to GDP'!B50, ""), "yyyy")</f>
        <v>2020</v>
      </c>
      <c r="B45" s="10" t="str">
        <f>IFERROR(IF(ISNUMBER('Deficit to GDP'!E50),TEXT('Deficit to GDP'!E50, "0.00"),""), "")</f>
        <v/>
      </c>
      <c r="C45" s="10" t="str">
        <f ca="1">IFERROR(IF(ISNUMBER('Deficit to GDP'!F50),TEXT('Deficit to GDP'!F50,"0.00"), ""), "")</f>
        <v>-4.10</v>
      </c>
      <c r="D45">
        <f>IFERROR(IF(ISNUMBER('Deficit to GDP'!B50),'Deficit to GDP'!H50,""), "")</f>
        <v>0</v>
      </c>
    </row>
    <row r="46" spans="1:4">
      <c r="A46" t="str">
        <f>TEXT(IF('Deficit to GDP'!B51&lt;&gt;0,'Deficit to GDP'!B51, ""), "yyyy")</f>
        <v>2021</v>
      </c>
      <c r="B46" s="10" t="str">
        <f>IFERROR(IF(ISNUMBER('Deficit to GDP'!E51),TEXT('Deficit to GDP'!E51, "0.00"),""), "")</f>
        <v/>
      </c>
      <c r="C46" s="10" t="str">
        <f ca="1">IFERROR(IF(ISNUMBER('Deficit to GDP'!F51),TEXT('Deficit to GDP'!F51,"0.00"), ""), "")</f>
        <v>-4.20</v>
      </c>
      <c r="D46">
        <f>IFERROR(IF(ISNUMBER('Deficit to GDP'!B51),'Deficit to GDP'!H51,""), "")</f>
        <v>0</v>
      </c>
    </row>
    <row r="47" spans="1:4">
      <c r="A47" t="str">
        <f>TEXT(IF('Deficit to GDP'!B52&lt;&gt;0,'Deficit to GDP'!B52, ""), "yyyy")</f>
        <v>2022</v>
      </c>
      <c r="B47" s="10" t="str">
        <f>IFERROR(IF(ISNUMBER('Deficit to GDP'!E52),TEXT('Deficit to GDP'!E52, "0.00"),""), "")</f>
        <v/>
      </c>
      <c r="C47" s="10" t="str">
        <f ca="1">IFERROR(IF(ISNUMBER('Deficit to GDP'!F52),TEXT('Deficit to GDP'!F52,"0.00"), ""), "")</f>
        <v>-4.70</v>
      </c>
      <c r="D47">
        <f>IFERROR(IF(ISNUMBER('Deficit to GDP'!B52),'Deficit to GDP'!H52,""), "")</f>
        <v>0</v>
      </c>
    </row>
    <row r="48" spans="1:4">
      <c r="A48" t="str">
        <f>TEXT(IF('Deficit to GDP'!B53&lt;&gt;0,'Deficit to GDP'!B53, ""), "yyyy")</f>
        <v>2023</v>
      </c>
      <c r="B48" s="10" t="str">
        <f>IFERROR(IF(ISNUMBER('Deficit to GDP'!E53),TEXT('Deficit to GDP'!E53, "0.00"),""), "")</f>
        <v/>
      </c>
      <c r="C48" s="10" t="str">
        <f ca="1">IFERROR(IF(ISNUMBER('Deficit to GDP'!F53),TEXT('Deficit to GDP'!F53,"0.00"), ""), "")</f>
        <v>-4.60</v>
      </c>
      <c r="D48">
        <f>IFERROR(IF(ISNUMBER('Deficit to GDP'!B53),'Deficit to GDP'!H53,""), "")</f>
        <v>0</v>
      </c>
    </row>
    <row r="49" spans="1:4">
      <c r="A49" t="str">
        <f>TEXT(IF('Deficit to GDP'!B54&lt;&gt;0,'Deficit to GDP'!B54, ""), "yyyy")</f>
        <v>2024</v>
      </c>
      <c r="B49" s="10" t="str">
        <f>IFERROR(IF(ISNUMBER('Deficit to GDP'!E54),TEXT('Deficit to GDP'!E54, "0.00"),""), "")</f>
        <v/>
      </c>
      <c r="C49" s="10" t="str">
        <f ca="1">IFERROR(IF(ISNUMBER('Deficit to GDP'!F54),TEXT('Deficit to GDP'!F54,"0.00"), ""), "")</f>
        <v>-4.30</v>
      </c>
      <c r="D49">
        <f>IFERROR(IF(ISNUMBER('Deficit to GDP'!B54),'Deficit to GDP'!H54,""), "")</f>
        <v>0</v>
      </c>
    </row>
    <row r="50" spans="1:4">
      <c r="A50" t="str">
        <f>TEXT(IF('Deficit to GDP'!B55&lt;&gt;0,'Deficit to GDP'!B55, ""), "yyyy")</f>
        <v>2025</v>
      </c>
      <c r="B50" s="10" t="str">
        <f>IFERROR(IF(ISNUMBER('Deficit to GDP'!E55),TEXT('Deficit to GDP'!E55, "0.00"),""), "")</f>
        <v/>
      </c>
      <c r="C50" s="10" t="str">
        <f ca="1">IFERROR(IF(ISNUMBER('Deficit to GDP'!F55),TEXT('Deficit to GDP'!F55,"0.00"), ""), "")</f>
        <v>-4.50</v>
      </c>
      <c r="D50">
        <f>IFERROR(IF(ISNUMBER('Deficit to GDP'!B55),'Deficit to GDP'!H55,""), "")</f>
        <v>0</v>
      </c>
    </row>
    <row r="51" spans="1:4">
      <c r="A51" t="str">
        <f>TEXT(IF('Deficit to GDP'!B56&lt;&gt;0,'Deficit to GDP'!B56, ""), "yyyy")</f>
        <v>2026</v>
      </c>
      <c r="B51" s="10" t="str">
        <f>IFERROR(IF(ISNUMBER('Deficit to GDP'!E56),TEXT('Deficit to GDP'!E56, "0.00"),""), "")</f>
        <v/>
      </c>
      <c r="C51" s="10" t="str">
        <f ca="1">IFERROR(IF(ISNUMBER('Deficit to GDP'!F56),TEXT('Deficit to GDP'!F56,"0.00"), ""), "")</f>
        <v>-4.40</v>
      </c>
      <c r="D51">
        <f>IFERROR(IF(ISNUMBER('Deficit to GDP'!B56),'Deficit to GDP'!H56,""), "")</f>
        <v>0</v>
      </c>
    </row>
    <row r="52" spans="1:4">
      <c r="A52" t="str">
        <f>TEXT(IF('Deficit to GDP'!B57&lt;&gt;0,'Deficit to GDP'!B57, ""), "yyyy")</f>
        <v/>
      </c>
      <c r="B52" s="10" t="str">
        <f>IFERROR(IF(ISNUMBER('Deficit to GDP'!E57),TEXT('Deficit to GDP'!E57, "0.00"),""), "")</f>
        <v/>
      </c>
      <c r="C52" s="10" t="str">
        <f>IFERROR(IF(ISNUMBER('Deficit to GDP'!F57),TEXT('Deficit to GDP'!F57,"0.00"), ""), "")</f>
        <v/>
      </c>
      <c r="D52" t="str">
        <f>IFERROR(IF(ISNUMBER('Deficit to GDP'!B57),'Deficit to GDP'!H57,""), "")</f>
        <v/>
      </c>
    </row>
    <row r="53" spans="1:4">
      <c r="A53" t="str">
        <f>TEXT(IF('Deficit to GDP'!B58&lt;&gt;0,'Deficit to GDP'!B58, ""), "yyyy")</f>
        <v/>
      </c>
      <c r="B53" s="10" t="str">
        <f>IFERROR(IF(ISNUMBER('Deficit to GDP'!E58),TEXT('Deficit to GDP'!E58, "0.00"),""), "")</f>
        <v/>
      </c>
      <c r="C53" s="10" t="str">
        <f>IFERROR(IF(ISNUMBER('Deficit to GDP'!F58),TEXT('Deficit to GDP'!F58,"0.00"), ""), "")</f>
        <v/>
      </c>
      <c r="D53" t="str">
        <f>IFERROR(IF(ISNUMBER('Deficit to GDP'!B58),'Deficit to GDP'!H58,""), "")</f>
        <v/>
      </c>
    </row>
    <row r="54" spans="1:4">
      <c r="A54" t="str">
        <f>TEXT(IF('Deficit to GDP'!B59&lt;&gt;0,'Deficit to GDP'!B59, ""), "yyyy")</f>
        <v/>
      </c>
      <c r="B54" s="10" t="str">
        <f>IFERROR(IF(ISNUMBER('Deficit to GDP'!E59),TEXT('Deficit to GDP'!E59, "0.00"),""), "")</f>
        <v/>
      </c>
      <c r="C54" s="10" t="str">
        <f>IFERROR(IF(ISNUMBER('Deficit to GDP'!F59),TEXT('Deficit to GDP'!F59,"0.00"), ""), "")</f>
        <v/>
      </c>
      <c r="D54" t="str">
        <f>IFERROR(IF(ISNUMBER('Deficit to GDP'!B59),'Deficit to GDP'!H59,""), "")</f>
        <v/>
      </c>
    </row>
    <row r="55" spans="1:4">
      <c r="A55" t="str">
        <f>TEXT(IF('Deficit to GDP'!B60&lt;&gt;0,'Deficit to GDP'!B60, ""), "yyyy")</f>
        <v/>
      </c>
      <c r="B55" s="10" t="str">
        <f>IFERROR(IF(ISNUMBER('Deficit to GDP'!E60),TEXT('Deficit to GDP'!E60, "0.00"),""), "")</f>
        <v/>
      </c>
      <c r="C55" s="10" t="str">
        <f>IFERROR(IF(ISNUMBER('Deficit to GDP'!F60),TEXT('Deficit to GDP'!F60,"0.00"), ""), "")</f>
        <v/>
      </c>
      <c r="D55" t="str">
        <f>IFERROR(IF(ISNUMBER('Deficit to GDP'!B60),'Deficit to GDP'!H60,""), "")</f>
        <v/>
      </c>
    </row>
    <row r="56" spans="1:4">
      <c r="A56" t="str">
        <f>TEXT(IF('Deficit to GDP'!B61&lt;&gt;0,'Deficit to GDP'!B61, ""), "yyyy")</f>
        <v/>
      </c>
      <c r="B56" s="10" t="str">
        <f>IFERROR(IF(ISNUMBER('Deficit to GDP'!E61),TEXT('Deficit to GDP'!E61, "0.00"),""), "")</f>
        <v/>
      </c>
      <c r="C56" s="10" t="str">
        <f>IFERROR(IF(ISNUMBER('Deficit to GDP'!F61),TEXT('Deficit to GDP'!F61,"0.00"), ""), "")</f>
        <v/>
      </c>
      <c r="D56" t="str">
        <f>IFERROR(IF(ISNUMBER('Deficit to GDP'!B61),'Deficit to GDP'!H61,""), "")</f>
        <v/>
      </c>
    </row>
    <row r="57" spans="1:4">
      <c r="A57" t="str">
        <f>TEXT(IF('Deficit to GDP'!B62&lt;&gt;0,'Deficit to GDP'!B62, ""), "yyyy")</f>
        <v/>
      </c>
      <c r="B57" s="10" t="str">
        <f>IFERROR(IF(ISNUMBER('Deficit to GDP'!E62),TEXT('Deficit to GDP'!E62, "0.00"),""), "")</f>
        <v/>
      </c>
      <c r="C57" s="10" t="str">
        <f>IFERROR(IF(ISNUMBER('Deficit to GDP'!F62),TEXT('Deficit to GDP'!F62,"0.00"), ""), "")</f>
        <v/>
      </c>
      <c r="D57" t="str">
        <f>IFERROR(IF(ISNUMBER('Deficit to GDP'!B62),'Deficit to GDP'!H62,""), "")</f>
        <v/>
      </c>
    </row>
    <row r="58" spans="1:4">
      <c r="A58" t="str">
        <f>TEXT(IF('Deficit to GDP'!B63&lt;&gt;0,'Deficit to GDP'!B63, ""), "yyyy")</f>
        <v/>
      </c>
      <c r="B58" s="10" t="str">
        <f>IFERROR(IF(ISNUMBER('Deficit to GDP'!E63),TEXT('Deficit to GDP'!E63, "0.00"),""), "")</f>
        <v/>
      </c>
      <c r="C58" s="10" t="str">
        <f>IFERROR(IF(ISNUMBER('Deficit to GDP'!F63),TEXT('Deficit to GDP'!F63,"0.00"), ""), "")</f>
        <v/>
      </c>
      <c r="D58" t="str">
        <f>IFERROR(IF(ISNUMBER('Deficit to GDP'!B63),'Deficit to GDP'!H63,""), "")</f>
        <v/>
      </c>
    </row>
    <row r="59" spans="1:4">
      <c r="A59" t="str">
        <f>TEXT(IF('Deficit to GDP'!B64&lt;&gt;0,'Deficit to GDP'!B64, ""), "yyyy")</f>
        <v/>
      </c>
      <c r="B59" s="10" t="str">
        <f>IFERROR(IF(ISNUMBER('Deficit to GDP'!E64),TEXT('Deficit to GDP'!E64, "0.00"),""), "")</f>
        <v/>
      </c>
      <c r="C59" s="10" t="str">
        <f>IFERROR(IF(ISNUMBER('Deficit to GDP'!F64),TEXT('Deficit to GDP'!F64,"0.00"), ""), "")</f>
        <v/>
      </c>
      <c r="D59" t="str">
        <f>IFERROR(IF(ISNUMBER('Deficit to GDP'!B64),'Deficit to GDP'!H64,""), "")</f>
        <v/>
      </c>
    </row>
    <row r="60" spans="1:4">
      <c r="A60" t="str">
        <f>TEXT(IF('Deficit to GDP'!B65&lt;&gt;0,'Deficit to GDP'!B65, ""), "yyyy")</f>
        <v/>
      </c>
      <c r="B60" s="10" t="str">
        <f>IFERROR(IF(ISNUMBER('Deficit to GDP'!E65),TEXT('Deficit to GDP'!E65, "0.00"),""), "")</f>
        <v/>
      </c>
      <c r="C60" s="10" t="str">
        <f>IFERROR(IF(ISNUMBER('Deficit to GDP'!F65),TEXT('Deficit to GDP'!F65,"0.00"), ""), "")</f>
        <v/>
      </c>
      <c r="D60" t="str">
        <f>IFERROR(IF(ISNUMBER('Deficit to GDP'!B65),'Deficit to GDP'!H65,""), "")</f>
        <v/>
      </c>
    </row>
    <row r="61" spans="1:4">
      <c r="A61" t="str">
        <f>TEXT(IF('Deficit to GDP'!B66&lt;&gt;0,'Deficit to GDP'!B66, ""), "yyyy")</f>
        <v/>
      </c>
      <c r="B61" s="10" t="str">
        <f>IFERROR(IF(ISNUMBER('Deficit to GDP'!E66),TEXT('Deficit to GDP'!E66, "0.00"),""), "")</f>
        <v/>
      </c>
      <c r="C61" s="10" t="str">
        <f>IFERROR(IF(ISNUMBER('Deficit to GDP'!F66),TEXT('Deficit to GDP'!F66,"0.00"), ""), "")</f>
        <v/>
      </c>
      <c r="D61" t="str">
        <f>IFERROR(IF(ISNUMBER('Deficit to GDP'!B66),'Deficit to GDP'!H66,""), "")</f>
        <v/>
      </c>
    </row>
    <row r="62" spans="1:4">
      <c r="A62" t="str">
        <f>TEXT(IF('Deficit to GDP'!B67&lt;&gt;0,'Deficit to GDP'!B67, ""), "yyyy")</f>
        <v/>
      </c>
      <c r="B62" s="10" t="str">
        <f>IFERROR(IF(ISNUMBER('Deficit to GDP'!E67),TEXT('Deficit to GDP'!E67, "0.00"),""), "")</f>
        <v/>
      </c>
      <c r="C62" s="10" t="str">
        <f>IFERROR(IF(ISNUMBER('Deficit to GDP'!F67),TEXT('Deficit to GDP'!F67,"0.00"), ""), "")</f>
        <v/>
      </c>
      <c r="D62" t="str">
        <f>IFERROR(IF(ISNUMBER('Deficit to GDP'!B67),'Deficit to GDP'!H67,""), "")</f>
        <v/>
      </c>
    </row>
    <row r="63" spans="1:4">
      <c r="A63" t="str">
        <f>TEXT(IF('Deficit to GDP'!B68&lt;&gt;0,'Deficit to GDP'!B68, ""), "yyyy")</f>
        <v/>
      </c>
      <c r="B63" s="10" t="str">
        <f>IFERROR(IF(ISNUMBER('Deficit to GDP'!E68),TEXT('Deficit to GDP'!E68, "0.00"),""), "")</f>
        <v/>
      </c>
      <c r="C63" s="10" t="str">
        <f>IFERROR(IF(ISNUMBER('Deficit to GDP'!F68),TEXT('Deficit to GDP'!F68,"0.00"), ""), "")</f>
        <v/>
      </c>
      <c r="D63" t="str">
        <f>IFERROR(IF(ISNUMBER('Deficit to GDP'!B68),'Deficit to GDP'!H68,""), "")</f>
        <v/>
      </c>
    </row>
    <row r="64" spans="1:4">
      <c r="A64" t="str">
        <f>TEXT(IF('Deficit to GDP'!B69&lt;&gt;0,'Deficit to GDP'!B69, ""), "yyyy")</f>
        <v/>
      </c>
      <c r="B64" s="10" t="str">
        <f>IFERROR(IF(ISNUMBER('Deficit to GDP'!E69),TEXT('Deficit to GDP'!E69, "0.00"),""), "")</f>
        <v/>
      </c>
      <c r="C64" s="10" t="str">
        <f>IFERROR(IF(ISNUMBER('Deficit to GDP'!F69),TEXT('Deficit to GDP'!F69,"0.00"), ""), "")</f>
        <v/>
      </c>
      <c r="D64" t="str">
        <f>IFERROR(IF(ISNUMBER('Deficit to GDP'!B69),'Deficit to GDP'!H69,""), "")</f>
        <v/>
      </c>
    </row>
    <row r="65" spans="1:4">
      <c r="A65" t="str">
        <f>TEXT(IF('Deficit to GDP'!B70&lt;&gt;0,'Deficit to GDP'!B70, ""), "yyyy")</f>
        <v/>
      </c>
      <c r="B65" s="10" t="str">
        <f>IFERROR(IF(ISNUMBER('Deficit to GDP'!E70),TEXT('Deficit to GDP'!E70, "0.00"),""), "")</f>
        <v/>
      </c>
      <c r="C65" s="10" t="str">
        <f>IFERROR(IF(ISNUMBER('Deficit to GDP'!F70),TEXT('Deficit to GDP'!F70,"0.00"), ""), "")</f>
        <v/>
      </c>
      <c r="D65" t="str">
        <f>IFERROR(IF(ISNUMBER('Deficit to GDP'!B70),'Deficit to GDP'!H70,""), "")</f>
        <v/>
      </c>
    </row>
    <row r="66" spans="1:4">
      <c r="A66" t="str">
        <f>TEXT(IF('Deficit to GDP'!B71&lt;&gt;0,'Deficit to GDP'!B71, ""), "yyyy")</f>
        <v/>
      </c>
      <c r="B66" s="10" t="str">
        <f>IFERROR(IF(ISNUMBER('Deficit to GDP'!E71),TEXT('Deficit to GDP'!E71, "0.00"),""), "")</f>
        <v/>
      </c>
      <c r="C66" s="10" t="str">
        <f>IFERROR(IF(ISNUMBER('Deficit to GDP'!F71),TEXT('Deficit to GDP'!F71,"0.00"), ""), "")</f>
        <v/>
      </c>
      <c r="D66" t="str">
        <f>IFERROR(IF(ISNUMBER('Deficit to GDP'!B71),'Deficit to GDP'!H71,""), "")</f>
        <v/>
      </c>
    </row>
    <row r="67" spans="1:4">
      <c r="A67" t="str">
        <f>TEXT(IF('Deficit to GDP'!B72&lt;&gt;0,'Deficit to GDP'!B72, ""), "yyyy")</f>
        <v/>
      </c>
      <c r="B67" s="10" t="str">
        <f>IFERROR(IF(ISNUMBER('Deficit to GDP'!E72),TEXT('Deficit to GDP'!E72, "0.00"),""), "")</f>
        <v/>
      </c>
      <c r="C67" s="10" t="str">
        <f>IFERROR(IF(ISNUMBER('Deficit to GDP'!F72),TEXT('Deficit to GDP'!F72,"0.00"), ""), "")</f>
        <v/>
      </c>
      <c r="D67" t="str">
        <f>IFERROR(IF(ISNUMBER('Deficit to GDP'!B72),'Deficit to GDP'!H72,""), "")</f>
        <v/>
      </c>
    </row>
    <row r="68" spans="1:4">
      <c r="A68" t="str">
        <f>TEXT(IF('Deficit to GDP'!B73&lt;&gt;0,'Deficit to GDP'!B73, ""), "yyyy")</f>
        <v/>
      </c>
      <c r="B68" s="10" t="str">
        <f>IFERROR(IF(ISNUMBER('Deficit to GDP'!E73),TEXT('Deficit to GDP'!E73, "0.00"),""), "")</f>
        <v/>
      </c>
      <c r="C68" s="10" t="str">
        <f>IFERROR(IF(ISNUMBER('Deficit to GDP'!F73),TEXT('Deficit to GDP'!F73,"0.00"), ""), "")</f>
        <v/>
      </c>
      <c r="D68" t="str">
        <f>IFERROR(IF(ISNUMBER('Deficit to GDP'!B73),'Deficit to GDP'!H73,""), "")</f>
        <v/>
      </c>
    </row>
    <row r="69" spans="1:4">
      <c r="A69" t="str">
        <f>TEXT(IF('Deficit to GDP'!B74&lt;&gt;0,'Deficit to GDP'!B74, ""), "yyyy")</f>
        <v/>
      </c>
      <c r="B69" s="10" t="str">
        <f>IFERROR(IF(ISNUMBER('Deficit to GDP'!E74),TEXT('Deficit to GDP'!E74, "0.00"),""), "")</f>
        <v/>
      </c>
      <c r="C69" s="10" t="str">
        <f>IFERROR(IF(ISNUMBER('Deficit to GDP'!F74),TEXT('Deficit to GDP'!F74,"0.00"), ""), "")</f>
        <v/>
      </c>
      <c r="D69" t="str">
        <f>IFERROR(IF(ISNUMBER('Deficit to GDP'!B74),'Deficit to GDP'!H74,""), "")</f>
        <v/>
      </c>
    </row>
    <row r="70" spans="1:4">
      <c r="A70" t="str">
        <f>TEXT(IF('Deficit to GDP'!B75&lt;&gt;0,'Deficit to GDP'!B75, ""), "yyyy")</f>
        <v/>
      </c>
      <c r="B70" s="10" t="str">
        <f>IFERROR(IF(ISNUMBER('Deficit to GDP'!E75),TEXT('Deficit to GDP'!E75, "0.00"),""), "")</f>
        <v/>
      </c>
      <c r="C70" s="10" t="str">
        <f>IFERROR(IF(ISNUMBER('Deficit to GDP'!F75),TEXT('Deficit to GDP'!F75,"0.00"), ""), "")</f>
        <v/>
      </c>
      <c r="D70" t="str">
        <f>IFERROR(IF(ISNUMBER('Deficit to GDP'!B75),'Deficit to GDP'!H75,""), "")</f>
        <v/>
      </c>
    </row>
    <row r="71" spans="1:4">
      <c r="A71" t="str">
        <f>TEXT(IF('Deficit to GDP'!B76&lt;&gt;0,'Deficit to GDP'!B76, ""), "yyyy")</f>
        <v/>
      </c>
      <c r="B71" s="10" t="str">
        <f>IFERROR(IF(ISNUMBER('Deficit to GDP'!E76),TEXT('Deficit to GDP'!E76, "0.00"),""), "")</f>
        <v/>
      </c>
      <c r="C71" s="10" t="str">
        <f>IFERROR(IF(ISNUMBER('Deficit to GDP'!F76),TEXT('Deficit to GDP'!F76,"0.00"), ""), "")</f>
        <v/>
      </c>
      <c r="D71" t="str">
        <f>IFERROR(IF(ISNUMBER('Deficit to GDP'!B76),'Deficit to GDP'!H76,""), "")</f>
        <v/>
      </c>
    </row>
    <row r="72" spans="1:4">
      <c r="A72" t="str">
        <f>TEXT(IF('Deficit to GDP'!B77&lt;&gt;0,'Deficit to GDP'!B77, ""), "yyyy")</f>
        <v/>
      </c>
      <c r="B72" s="10" t="str">
        <f>IFERROR(IF(ISNUMBER('Deficit to GDP'!E77),TEXT('Deficit to GDP'!E77, "0.00"),""), "")</f>
        <v/>
      </c>
      <c r="C72" s="10" t="str">
        <f>IFERROR(IF(ISNUMBER('Deficit to GDP'!F77),TEXT('Deficit to GDP'!F77,"0.00"), ""), "")</f>
        <v/>
      </c>
      <c r="D72" t="str">
        <f>IFERROR(IF(ISNUMBER('Deficit to GDP'!B77),'Deficit to GDP'!H77,""), "")</f>
        <v/>
      </c>
    </row>
    <row r="73" spans="1:4">
      <c r="A73" t="str">
        <f>TEXT(IF('Deficit to GDP'!B78&lt;&gt;0,'Deficit to GDP'!B78, ""), "yyyy")</f>
        <v/>
      </c>
      <c r="B73" s="10" t="str">
        <f>IFERROR(IF(ISNUMBER('Deficit to GDP'!E78),TEXT('Deficit to GDP'!E78, "0.00"),""), "")</f>
        <v/>
      </c>
      <c r="C73" s="10" t="str">
        <f>IFERROR(IF(ISNUMBER('Deficit to GDP'!F78),TEXT('Deficit to GDP'!F78,"0.00"), ""), "")</f>
        <v/>
      </c>
      <c r="D73" t="str">
        <f>IFERROR(IF(ISNUMBER('Deficit to GDP'!B78),'Deficit to GDP'!H78,""), "")</f>
        <v/>
      </c>
    </row>
    <row r="74" spans="1:4">
      <c r="A74" t="str">
        <f>TEXT(IF('Deficit to GDP'!B79&lt;&gt;0,'Deficit to GDP'!B79, ""), "yyyy")</f>
        <v/>
      </c>
      <c r="B74" s="10" t="str">
        <f>IFERROR(IF(ISNUMBER('Deficit to GDP'!E79),TEXT('Deficit to GDP'!E79, "0.00"),""), "")</f>
        <v/>
      </c>
      <c r="C74" s="10" t="str">
        <f>IFERROR(IF(ISNUMBER('Deficit to GDP'!F79),TEXT('Deficit to GDP'!F79,"0.00"), ""), "")</f>
        <v/>
      </c>
      <c r="D74" t="str">
        <f>IFERROR(IF(ISNUMBER('Deficit to GDP'!B79),'Deficit to GDP'!H79,""), "")</f>
        <v/>
      </c>
    </row>
    <row r="75" spans="1:4">
      <c r="A75" t="str">
        <f>TEXT(IF('Deficit to GDP'!B80&lt;&gt;0,'Deficit to GDP'!B80, ""), "yyyy")</f>
        <v/>
      </c>
      <c r="B75" s="10" t="str">
        <f>IFERROR(IF(ISNUMBER('Deficit to GDP'!E80),TEXT('Deficit to GDP'!E80, "0.00"),""), "")</f>
        <v/>
      </c>
      <c r="C75" s="10" t="str">
        <f>IFERROR(IF(ISNUMBER('Deficit to GDP'!F80),TEXT('Deficit to GDP'!F80,"0.00"), ""), "")</f>
        <v/>
      </c>
      <c r="D75" t="str">
        <f>IFERROR(IF(ISNUMBER('Deficit to GDP'!B80),'Deficit to GDP'!H80,""), "")</f>
        <v/>
      </c>
    </row>
    <row r="76" spans="1:4">
      <c r="A76" t="str">
        <f>TEXT(IF('Deficit to GDP'!B81&lt;&gt;0,'Deficit to GDP'!B81, ""), "yyyy")</f>
        <v/>
      </c>
      <c r="B76" s="10" t="str">
        <f>IFERROR(IF(ISNUMBER('Deficit to GDP'!E81),TEXT('Deficit to GDP'!E81, "0.00"),""), "")</f>
        <v/>
      </c>
      <c r="C76" s="10" t="str">
        <f>IFERROR(IF(ISNUMBER('Deficit to GDP'!F81),TEXT('Deficit to GDP'!F81,"0.00"), ""), "")</f>
        <v/>
      </c>
      <c r="D76" t="str">
        <f>IFERROR(IF(ISNUMBER('Deficit to GDP'!B81),'Deficit to GDP'!H81,""), "")</f>
        <v/>
      </c>
    </row>
    <row r="77" spans="1:4">
      <c r="A77" t="str">
        <f>TEXT(IF('Deficit to GDP'!B82&lt;&gt;0,'Deficit to GDP'!B82, ""), "yyyy")</f>
        <v/>
      </c>
      <c r="B77" s="10" t="str">
        <f>IFERROR(IF(ISNUMBER('Deficit to GDP'!E82),TEXT('Deficit to GDP'!E82, "0.00"),""), "")</f>
        <v/>
      </c>
      <c r="C77" s="10" t="str">
        <f>IFERROR(IF(ISNUMBER('Deficit to GDP'!F82),TEXT('Deficit to GDP'!F82,"0.00"), ""), "")</f>
        <v/>
      </c>
      <c r="D77" t="str">
        <f>IFERROR(IF(ISNUMBER('Deficit to GDP'!B82),'Deficit to GDP'!H82,""), "")</f>
        <v/>
      </c>
    </row>
    <row r="78" spans="1:4">
      <c r="A78" t="str">
        <f>TEXT(IF('Deficit to GDP'!B83&lt;&gt;0,'Deficit to GDP'!B83, ""), "yyyy")</f>
        <v/>
      </c>
      <c r="B78" s="10" t="str">
        <f>IFERROR(IF(ISNUMBER('Deficit to GDP'!E83),TEXT('Deficit to GDP'!E83, "0.00"),""), "")</f>
        <v/>
      </c>
      <c r="C78" s="10" t="str">
        <f>IFERROR(IF(ISNUMBER('Deficit to GDP'!F83),TEXT('Deficit to GDP'!F83,"0.00"), ""), "")</f>
        <v/>
      </c>
      <c r="D78" t="str">
        <f>IFERROR(IF(ISNUMBER('Deficit to GDP'!B83),'Deficit to GDP'!H83,""), "")</f>
        <v/>
      </c>
    </row>
    <row r="79" spans="1:4">
      <c r="A79" t="str">
        <f>TEXT(IF('Deficit to GDP'!B84&lt;&gt;0,'Deficit to GDP'!B84, ""), "yyyy")</f>
        <v/>
      </c>
      <c r="B79" s="10" t="str">
        <f>IFERROR(IF(ISNUMBER('Deficit to GDP'!E84),TEXT('Deficit to GDP'!E84, "0.00"),""), "")</f>
        <v/>
      </c>
      <c r="C79" s="10" t="str">
        <f>IFERROR(IF(ISNUMBER('Deficit to GDP'!F84),TEXT('Deficit to GDP'!F84,"0.00"), ""), "")</f>
        <v/>
      </c>
      <c r="D79" t="str">
        <f>IFERROR(IF(ISNUMBER('Deficit to GDP'!B84),'Deficit to GDP'!H84,""), "")</f>
        <v/>
      </c>
    </row>
    <row r="80" spans="1:4">
      <c r="A80" t="str">
        <f>TEXT(IF('Deficit to GDP'!B85&lt;&gt;0,'Deficit to GDP'!B85, ""), "yyyy")</f>
        <v/>
      </c>
      <c r="B80" s="10" t="str">
        <f>IFERROR(IF(ISNUMBER('Deficit to GDP'!E85),TEXT('Deficit to GDP'!E85, "0.00"),""), "")</f>
        <v/>
      </c>
      <c r="C80" s="10" t="str">
        <f>IFERROR(IF(ISNUMBER('Deficit to GDP'!F85),TEXT('Deficit to GDP'!F85,"0.00"), ""), "")</f>
        <v/>
      </c>
      <c r="D80" t="str">
        <f>IFERROR(IF(ISNUMBER('Deficit to GDP'!B85),'Deficit to GDP'!H85,""), "")</f>
        <v/>
      </c>
    </row>
    <row r="81" spans="1:4">
      <c r="A81" t="str">
        <f>TEXT(IF('Deficit to GDP'!B86&lt;&gt;0,'Deficit to GDP'!B86, ""), "yyyy")</f>
        <v/>
      </c>
      <c r="B81" s="10" t="str">
        <f>IFERROR(IF(ISNUMBER('Deficit to GDP'!E86),TEXT('Deficit to GDP'!E86, "0.00"),""), "")</f>
        <v/>
      </c>
      <c r="C81" s="10" t="str">
        <f>IFERROR(IF(ISNUMBER('Deficit to GDP'!F86),TEXT('Deficit to GDP'!F86,"0.00"), ""), "")</f>
        <v/>
      </c>
      <c r="D81" t="str">
        <f>IFERROR(IF(ISNUMBER('Deficit to GDP'!B86),'Deficit to GDP'!H86,""), "")</f>
        <v/>
      </c>
    </row>
    <row r="82" spans="1:4">
      <c r="A82" t="str">
        <f>TEXT(IF('Deficit to GDP'!B87&lt;&gt;0,'Deficit to GDP'!B87, ""), "yyyy")</f>
        <v/>
      </c>
      <c r="B82" s="10" t="str">
        <f>IFERROR(IF(ISNUMBER('Deficit to GDP'!E87),TEXT('Deficit to GDP'!E87, "0.00"),""), "")</f>
        <v/>
      </c>
      <c r="C82" s="10" t="str">
        <f>IFERROR(IF(ISNUMBER('Deficit to GDP'!F87),TEXT('Deficit to GDP'!F87,"0.00"), ""), "")</f>
        <v/>
      </c>
      <c r="D82" t="str">
        <f>IFERROR(IF(ISNUMBER('Deficit to GDP'!B87),'Deficit to GDP'!H87,""), "")</f>
        <v/>
      </c>
    </row>
    <row r="83" spans="1:4">
      <c r="A83" t="str">
        <f>TEXT(IF('Deficit to GDP'!B88&lt;&gt;0,'Deficit to GDP'!B88, ""), "yyyy")</f>
        <v/>
      </c>
      <c r="B83" s="10" t="str">
        <f>IFERROR(IF(ISNUMBER('Deficit to GDP'!E88),TEXT('Deficit to GDP'!E88, "0.00"),""), "")</f>
        <v/>
      </c>
      <c r="C83" s="10" t="str">
        <f>IFERROR(IF(ISNUMBER('Deficit to GDP'!F88),TEXT('Deficit to GDP'!F88,"0.00"), ""), "")</f>
        <v/>
      </c>
      <c r="D83" t="str">
        <f>IFERROR(IF(ISNUMBER('Deficit to GDP'!B88),'Deficit to GDP'!H88,""), "")</f>
        <v/>
      </c>
    </row>
    <row r="84" spans="1:4">
      <c r="A84" t="str">
        <f>TEXT(IF('Deficit to GDP'!B89&lt;&gt;0,'Deficit to GDP'!B89, ""), "yyyy")</f>
        <v/>
      </c>
      <c r="B84" s="10" t="str">
        <f>IFERROR(IF(ISNUMBER('Deficit to GDP'!E89),TEXT('Deficit to GDP'!E89, "0.00"),""), "")</f>
        <v/>
      </c>
      <c r="C84" s="10" t="str">
        <f>IFERROR(IF(ISNUMBER('Deficit to GDP'!F89),TEXT('Deficit to GDP'!F89,"0.00"), ""), "")</f>
        <v/>
      </c>
      <c r="D84" t="str">
        <f>IFERROR(IF(ISNUMBER('Deficit to GDP'!B89),'Deficit to GDP'!H89,""), "")</f>
        <v/>
      </c>
    </row>
    <row r="85" spans="1:4">
      <c r="A85" t="str">
        <f>TEXT(IF('Deficit to GDP'!B90&lt;&gt;0,'Deficit to GDP'!B90, ""), "yyyy")</f>
        <v/>
      </c>
      <c r="B85" s="10" t="str">
        <f>IFERROR(IF(ISNUMBER('Deficit to GDP'!E90),TEXT('Deficit to GDP'!E90, "0.00"),""), "")</f>
        <v/>
      </c>
      <c r="C85" s="10" t="str">
        <f>IFERROR(IF(ISNUMBER('Deficit to GDP'!F90),TEXT('Deficit to GDP'!F90,"0.00"), ""), "")</f>
        <v/>
      </c>
      <c r="D85" t="str">
        <f>IFERROR(IF(ISNUMBER('Deficit to GDP'!B90),'Deficit to GDP'!H90,""), "")</f>
        <v/>
      </c>
    </row>
    <row r="86" spans="1:4">
      <c r="A86" t="str">
        <f>TEXT(IF('Deficit to GDP'!B91&lt;&gt;0,'Deficit to GDP'!B91, ""), "yyyy")</f>
        <v/>
      </c>
      <c r="B86" s="10" t="str">
        <f>IFERROR(IF(ISNUMBER('Deficit to GDP'!E91),TEXT('Deficit to GDP'!E91, "0.00"),""), "")</f>
        <v/>
      </c>
      <c r="C86" s="10" t="str">
        <f>IFERROR(IF(ISNUMBER('Deficit to GDP'!F91),TEXT('Deficit to GDP'!F91,"0.00"), ""), "")</f>
        <v/>
      </c>
      <c r="D86" t="str">
        <f>IFERROR(IF(ISNUMBER('Deficit to GDP'!B91),'Deficit to GDP'!H91,""), "")</f>
        <v/>
      </c>
    </row>
    <row r="87" spans="1:4">
      <c r="A87" t="str">
        <f>TEXT(IF('Deficit to GDP'!B92&lt;&gt;0,'Deficit to GDP'!B92, ""), "yyyy")</f>
        <v/>
      </c>
      <c r="B87" s="10" t="str">
        <f>IFERROR(IF(ISNUMBER('Deficit to GDP'!E92),TEXT('Deficit to GDP'!E92, "0.00"),""), "")</f>
        <v/>
      </c>
      <c r="C87" s="10" t="str">
        <f>IFERROR(IF(ISNUMBER('Deficit to GDP'!F92),TEXT('Deficit to GDP'!F92,"0.00"), ""), "")</f>
        <v/>
      </c>
      <c r="D87" t="str">
        <f>IFERROR(IF(ISNUMBER('Deficit to GDP'!B92),'Deficit to GDP'!H92,""), "")</f>
        <v/>
      </c>
    </row>
    <row r="88" spans="1:4">
      <c r="A88" t="str">
        <f>TEXT(IF('Deficit to GDP'!B93&lt;&gt;0,'Deficit to GDP'!B93, ""), "yyyy")</f>
        <v/>
      </c>
      <c r="B88" s="10" t="str">
        <f>IFERROR(IF(ISNUMBER('Deficit to GDP'!E93),TEXT('Deficit to GDP'!E93, "0.00"),""), "")</f>
        <v/>
      </c>
      <c r="C88" s="10" t="str">
        <f>IFERROR(IF(ISNUMBER('Deficit to GDP'!F93),TEXT('Deficit to GDP'!F93,"0.00"), ""), "")</f>
        <v/>
      </c>
      <c r="D88" t="str">
        <f>IFERROR(IF(ISNUMBER('Deficit to GDP'!B93),'Deficit to GDP'!H93,""), "")</f>
        <v/>
      </c>
    </row>
    <row r="89" spans="1:4">
      <c r="A89" t="str">
        <f>TEXT(IF('Deficit to GDP'!B94&lt;&gt;0,'Deficit to GDP'!B94, ""), "yyyy")</f>
        <v/>
      </c>
      <c r="B89" s="10" t="str">
        <f>IFERROR(IF(ISNUMBER('Deficit to GDP'!E94),TEXT('Deficit to GDP'!E94, "0.00"),""), "")</f>
        <v/>
      </c>
      <c r="C89" s="10" t="str">
        <f>IFERROR(IF(ISNUMBER('Deficit to GDP'!F94),TEXT('Deficit to GDP'!F94,"0.00"), ""), "")</f>
        <v/>
      </c>
      <c r="D89" t="str">
        <f>IFERROR(IF(ISNUMBER('Deficit to GDP'!B94),'Deficit to GDP'!H94,""), "")</f>
        <v/>
      </c>
    </row>
    <row r="90" spans="1:4">
      <c r="A90" t="str">
        <f>TEXT(IF('Deficit to GDP'!B95&lt;&gt;0,'Deficit to GDP'!B95, ""), "yyyy")</f>
        <v/>
      </c>
      <c r="B90" s="10" t="str">
        <f>IFERROR(IF(ISNUMBER('Deficit to GDP'!E95),TEXT('Deficit to GDP'!E95, "0.00"),""), "")</f>
        <v/>
      </c>
      <c r="C90" s="10" t="str">
        <f>IFERROR(IF(ISNUMBER('Deficit to GDP'!F95),TEXT('Deficit to GDP'!F95,"0.00"), ""), "")</f>
        <v/>
      </c>
      <c r="D90" t="str">
        <f>IFERROR(IF(ISNUMBER('Deficit to GDP'!B95),'Deficit to GDP'!H95,""), "")</f>
        <v/>
      </c>
    </row>
    <row r="91" spans="1:4">
      <c r="A91" t="str">
        <f>TEXT(IF('Deficit to GDP'!B96&lt;&gt;0,'Deficit to GDP'!B96, ""), "yyyy")</f>
        <v/>
      </c>
      <c r="B91" s="10" t="str">
        <f>IFERROR(IF(ISNUMBER('Deficit to GDP'!E96),TEXT('Deficit to GDP'!E96, "0.00"),""), "")</f>
        <v/>
      </c>
      <c r="C91" s="10" t="str">
        <f>IFERROR(IF(ISNUMBER('Deficit to GDP'!F96),TEXT('Deficit to GDP'!F96,"0.00"), ""), "")</f>
        <v/>
      </c>
      <c r="D91" t="str">
        <f>IFERROR(IF(ISNUMBER('Deficit to GDP'!B96),'Deficit to GDP'!H96,""), "")</f>
        <v/>
      </c>
    </row>
    <row r="92" spans="1:4">
      <c r="A92" t="str">
        <f>TEXT(IF('Deficit to GDP'!B97&lt;&gt;0,'Deficit to GDP'!B97, ""), "yyyy")</f>
        <v/>
      </c>
      <c r="B92" s="10" t="str">
        <f>IFERROR(IF(ISNUMBER('Deficit to GDP'!E97),TEXT('Deficit to GDP'!E97, "0.00"),""), "")</f>
        <v/>
      </c>
      <c r="C92" s="10" t="str">
        <f>IFERROR(IF(ISNUMBER('Deficit to GDP'!F97),TEXT('Deficit to GDP'!F97,"0.00"), ""), "")</f>
        <v/>
      </c>
      <c r="D92" t="str">
        <f>IFERROR(IF(ISNUMBER('Deficit to GDP'!B97),'Deficit to GDP'!H97,""), "")</f>
        <v/>
      </c>
    </row>
    <row r="93" spans="1:4">
      <c r="A93" t="str">
        <f>TEXT(IF('Deficit to GDP'!B98&lt;&gt;0,'Deficit to GDP'!B98, ""), "yyyy")</f>
        <v/>
      </c>
      <c r="B93" s="10" t="str">
        <f>IFERROR(IF(ISNUMBER('Deficit to GDP'!E98),TEXT('Deficit to GDP'!E98, "0.00"),""), "")</f>
        <v/>
      </c>
      <c r="C93" s="10" t="str">
        <f>IFERROR(IF(ISNUMBER('Deficit to GDP'!F98),TEXT('Deficit to GDP'!F98,"0.00"), ""), "")</f>
        <v/>
      </c>
      <c r="D93" t="str">
        <f>IFERROR(IF(ISNUMBER('Deficit to GDP'!B98),'Deficit to GDP'!H98,""), "")</f>
        <v/>
      </c>
    </row>
    <row r="94" spans="1:4">
      <c r="A94" t="str">
        <f>TEXT(IF('Deficit to GDP'!B99&lt;&gt;0,'Deficit to GDP'!B99, ""), "yyyy")</f>
        <v/>
      </c>
      <c r="B94" s="10" t="str">
        <f>IFERROR(IF(ISNUMBER('Deficit to GDP'!E99),TEXT('Deficit to GDP'!E99, "0.00"),""), "")</f>
        <v/>
      </c>
      <c r="C94" s="10" t="str">
        <f>IFERROR(IF(ISNUMBER('Deficit to GDP'!F99),TEXT('Deficit to GDP'!F99,"0.00"), ""), "")</f>
        <v/>
      </c>
      <c r="D94" t="str">
        <f>IFERROR(IF(ISNUMBER('Deficit to GDP'!B99),'Deficit to GDP'!H99,""), "")</f>
        <v/>
      </c>
    </row>
    <row r="95" spans="1:4">
      <c r="A95" t="str">
        <f>TEXT(IF('Deficit to GDP'!B100&lt;&gt;0,'Deficit to GDP'!B100, ""), "yyyy")</f>
        <v/>
      </c>
      <c r="B95" s="10" t="str">
        <f>IFERROR(IF(ISNUMBER('Deficit to GDP'!E100),TEXT('Deficit to GDP'!E100, "0.00"),""), "")</f>
        <v/>
      </c>
      <c r="C95" s="10" t="str">
        <f>IFERROR(IF(ISNUMBER('Deficit to GDP'!F100),TEXT('Deficit to GDP'!F100,"0.00"), ""), "")</f>
        <v/>
      </c>
      <c r="D95" t="str">
        <f>IFERROR(IF(ISNUMBER('Deficit to GDP'!B100),'Deficit to GDP'!H100,""), "")</f>
        <v/>
      </c>
    </row>
    <row r="96" spans="1:4">
      <c r="A96" t="str">
        <f>TEXT(IF('Deficit to GDP'!B101&lt;&gt;0,'Deficit to GDP'!B101, ""), "yyyy")</f>
        <v/>
      </c>
      <c r="B96" s="10" t="str">
        <f>IFERROR(IF(ISNUMBER('Deficit to GDP'!E101),TEXT('Deficit to GDP'!E101, "0.00"),""), "")</f>
        <v/>
      </c>
      <c r="C96" s="10" t="str">
        <f>IFERROR(IF(ISNUMBER('Deficit to GDP'!F101),TEXT('Deficit to GDP'!F101,"0.00"), ""), "")</f>
        <v/>
      </c>
      <c r="D96" t="str">
        <f>IFERROR(IF(ISNUMBER('Deficit to GDP'!B101),'Deficit to GDP'!H101,""), "")</f>
        <v/>
      </c>
    </row>
    <row r="97" spans="1:4">
      <c r="A97" t="str">
        <f>TEXT(IF('Deficit to GDP'!B102&lt;&gt;0,'Deficit to GDP'!B102, ""), "yyyy")</f>
        <v/>
      </c>
      <c r="B97" s="10" t="str">
        <f>IFERROR(IF(ISNUMBER('Deficit to GDP'!E102),TEXT('Deficit to GDP'!E102, "0.00"),""), "")</f>
        <v/>
      </c>
      <c r="C97" s="10" t="str">
        <f>IFERROR(IF(ISNUMBER('Deficit to GDP'!F102),TEXT('Deficit to GDP'!F102,"0.00"), ""), "")</f>
        <v/>
      </c>
      <c r="D97" t="str">
        <f>IFERROR(IF(ISNUMBER('Deficit to GDP'!B102),'Deficit to GDP'!H102,""), "")</f>
        <v/>
      </c>
    </row>
    <row r="98" spans="1:4">
      <c r="A98" t="str">
        <f>TEXT(IF('Deficit to GDP'!B103&lt;&gt;0,'Deficit to GDP'!B103, ""), "yyyy")</f>
        <v/>
      </c>
      <c r="B98" s="10" t="str">
        <f>IFERROR(IF(ISNUMBER('Deficit to GDP'!E103),TEXT('Deficit to GDP'!E103, "0.00"),""), "")</f>
        <v/>
      </c>
      <c r="C98" s="10" t="str">
        <f>IFERROR(IF(ISNUMBER('Deficit to GDP'!F103),TEXT('Deficit to GDP'!F103,"0.00"), ""), "")</f>
        <v/>
      </c>
      <c r="D98" t="str">
        <f>IFERROR(IF(ISNUMBER('Deficit to GDP'!B103),'Deficit to GDP'!H103,""), "")</f>
        <v/>
      </c>
    </row>
    <row r="99" spans="1:4">
      <c r="A99" t="str">
        <f>TEXT(IF('Deficit to GDP'!B104&lt;&gt;0,'Deficit to GDP'!B104, ""), "yyyy")</f>
        <v/>
      </c>
      <c r="B99" s="10" t="str">
        <f>IFERROR(IF(ISNUMBER('Deficit to GDP'!E104),TEXT('Deficit to GDP'!E104, "0.00"),""), "")</f>
        <v/>
      </c>
      <c r="C99" s="10" t="str">
        <f>IFERROR(IF(ISNUMBER('Deficit to GDP'!F104),TEXT('Deficit to GDP'!F104,"0.00"), ""), "")</f>
        <v/>
      </c>
      <c r="D99" t="str">
        <f>IFERROR(IF(ISNUMBER('Deficit to GDP'!B104),'Deficit to GDP'!H104,""), "")</f>
        <v/>
      </c>
    </row>
    <row r="100" spans="1:4">
      <c r="A100" t="str">
        <f>TEXT(IF('Deficit to GDP'!B105&lt;&gt;0,'Deficit to GDP'!B105, ""), "yyyy")</f>
        <v/>
      </c>
      <c r="B100" s="10" t="str">
        <f>IFERROR(IF(ISNUMBER('Deficit to GDP'!E105),TEXT('Deficit to GDP'!E105, "0.00"),""), "")</f>
        <v/>
      </c>
      <c r="C100" s="10" t="str">
        <f>IFERROR(IF(ISNUMBER('Deficit to GDP'!F105),TEXT('Deficit to GDP'!F105,"0.00"), ""), "")</f>
        <v/>
      </c>
      <c r="D100" t="str">
        <f>IFERROR(IF(ISNUMBER('Deficit to GDP'!B105),'Deficit to GDP'!H105,""), "")</f>
        <v/>
      </c>
    </row>
    <row r="101" spans="1:4">
      <c r="A101" t="str">
        <f>TEXT(IF('Deficit to GDP'!B106&lt;&gt;0,'Deficit to GDP'!B106, ""), "yyyy")</f>
        <v/>
      </c>
      <c r="B101" s="10" t="str">
        <f>IFERROR(IF(ISNUMBER('Deficit to GDP'!E106),TEXT('Deficit to GDP'!E106, "0.00"),""), "")</f>
        <v/>
      </c>
      <c r="C101" s="10" t="str">
        <f>IFERROR(IF(ISNUMBER('Deficit to GDP'!F106),TEXT('Deficit to GDP'!F106,"0.00"), ""), "")</f>
        <v/>
      </c>
      <c r="D101" t="str">
        <f>IFERROR(IF(ISNUMBER('Deficit to GDP'!B106),'Deficit to GDP'!H106,""), "")</f>
        <v/>
      </c>
    </row>
    <row r="102" spans="1:4">
      <c r="A102" t="str">
        <f>TEXT(IF('Deficit to GDP'!B107&lt;&gt;0,'Deficit to GDP'!B107, ""), "yyyy")</f>
        <v/>
      </c>
      <c r="B102" s="10" t="str">
        <f>IFERROR(IF(ISNUMBER('Deficit to GDP'!E107),TEXT('Deficit to GDP'!E107, "0.00"),""), "")</f>
        <v/>
      </c>
      <c r="C102" s="10" t="str">
        <f>IFERROR(IF(ISNUMBER('Deficit to GDP'!F107),TEXT('Deficit to GDP'!F107,"0.00"), ""), "")</f>
        <v/>
      </c>
      <c r="D102" t="str">
        <f>IFERROR(IF(ISNUMBER('Deficit to GDP'!B107),'Deficit to GDP'!H107,""), "")</f>
        <v/>
      </c>
    </row>
    <row r="103" spans="1:4">
      <c r="A103" t="str">
        <f>TEXT(IF('Deficit to GDP'!B108&lt;&gt;0,'Deficit to GDP'!B108, ""), "yyyy")</f>
        <v/>
      </c>
      <c r="B103" s="10" t="str">
        <f>IFERROR(IF(ISNUMBER('Deficit to GDP'!E108),TEXT('Deficit to GDP'!E108, "0.00"),""), "")</f>
        <v/>
      </c>
      <c r="C103" s="10" t="str">
        <f>IFERROR(IF(ISNUMBER('Deficit to GDP'!F108),TEXT('Deficit to GDP'!F108,"0.00"), ""), "")</f>
        <v/>
      </c>
      <c r="D103" t="str">
        <f>IFERROR(IF(ISNUMBER('Deficit to GDP'!B108),'Deficit to GDP'!H108,""), "")</f>
        <v/>
      </c>
    </row>
    <row r="104" spans="1:4">
      <c r="A104" t="str">
        <f>TEXT(IF('Deficit to GDP'!B109&lt;&gt;0,'Deficit to GDP'!B109, ""), "yyyy")</f>
        <v/>
      </c>
      <c r="B104" s="10" t="str">
        <f>IFERROR(IF(ISNUMBER('Deficit to GDP'!E109),TEXT('Deficit to GDP'!E109, "0.00"),""), "")</f>
        <v/>
      </c>
      <c r="C104" s="10" t="str">
        <f>IFERROR(IF(ISNUMBER('Deficit to GDP'!F109),TEXT('Deficit to GDP'!F109,"0.00"), ""), "")</f>
        <v/>
      </c>
      <c r="D104" t="str">
        <f>IFERROR(IF(ISNUMBER('Deficit to GDP'!B109),'Deficit to GDP'!H109,""), "")</f>
        <v/>
      </c>
    </row>
    <row r="105" spans="1:4">
      <c r="A105" t="str">
        <f>TEXT(IF('Deficit to GDP'!B110&lt;&gt;0,'Deficit to GDP'!B110, ""), "yyyy")</f>
        <v/>
      </c>
      <c r="B105" s="10" t="str">
        <f>IFERROR(IF(ISNUMBER('Deficit to GDP'!E110),TEXT('Deficit to GDP'!E110, "0.00"),""), "")</f>
        <v/>
      </c>
      <c r="C105" s="10" t="str">
        <f>IFERROR(IF(ISNUMBER('Deficit to GDP'!F110),TEXT('Deficit to GDP'!F110,"0.00"), ""), "")</f>
        <v/>
      </c>
      <c r="D105" t="str">
        <f>IFERROR(IF(ISNUMBER('Deficit to GDP'!B110),'Deficit to GDP'!H110,""), "")</f>
        <v/>
      </c>
    </row>
    <row r="106" spans="1:4">
      <c r="A106" t="str">
        <f>TEXT(IF('Deficit to GDP'!B111&lt;&gt;0,'Deficit to GDP'!B111, ""), "yyyy")</f>
        <v/>
      </c>
      <c r="B106" s="10" t="str">
        <f>IFERROR(IF(ISNUMBER('Deficit to GDP'!E111),TEXT('Deficit to GDP'!E111, "0.00"),""), "")</f>
        <v/>
      </c>
      <c r="C106" s="10" t="str">
        <f>IFERROR(IF(ISNUMBER('Deficit to GDP'!F111),TEXT('Deficit to GDP'!F111,"0.00"), ""), "")</f>
        <v/>
      </c>
      <c r="D106" t="str">
        <f>IFERROR(IF(ISNUMBER('Deficit to GDP'!B111),'Deficit to GDP'!H111,""), "")</f>
        <v/>
      </c>
    </row>
    <row r="107" spans="1:4">
      <c r="A107" t="str">
        <f>TEXT(IF('Deficit to GDP'!B112&lt;&gt;0,'Deficit to GDP'!B112, ""), "yyyy")</f>
        <v/>
      </c>
      <c r="B107" s="10" t="str">
        <f>IFERROR(IF(ISNUMBER('Deficit to GDP'!E112),TEXT('Deficit to GDP'!E112, "0.00"),""), "")</f>
        <v/>
      </c>
      <c r="C107" s="10" t="str">
        <f>IFERROR(IF(ISNUMBER('Deficit to GDP'!F112),TEXT('Deficit to GDP'!F112,"0.00"), ""), "")</f>
        <v/>
      </c>
      <c r="D107" t="str">
        <f>IFERROR(IF(ISNUMBER('Deficit to GDP'!B112),'Deficit to GDP'!H112,""), "")</f>
        <v/>
      </c>
    </row>
    <row r="108" spans="1:4">
      <c r="A108" t="str">
        <f>TEXT(IF('Deficit to GDP'!B113&lt;&gt;0,'Deficit to GDP'!B113, ""), "yyyy")</f>
        <v/>
      </c>
      <c r="B108" s="10" t="str">
        <f>IFERROR(IF(ISNUMBER('Deficit to GDP'!E113),TEXT('Deficit to GDP'!E113, "0.00"),""), "")</f>
        <v/>
      </c>
      <c r="C108" s="10" t="str">
        <f>IFERROR(IF(ISNUMBER('Deficit to GDP'!F113),TEXT('Deficit to GDP'!F113,"0.00"), ""), "")</f>
        <v/>
      </c>
      <c r="D108" t="str">
        <f>IFERROR(IF(ISNUMBER('Deficit to GDP'!B113),'Deficit to GDP'!H113,""), "")</f>
        <v/>
      </c>
    </row>
    <row r="109" spans="1:4">
      <c r="A109" t="str">
        <f>TEXT(IF('Deficit to GDP'!B114&lt;&gt;0,'Deficit to GDP'!B114, ""), "yyyy")</f>
        <v/>
      </c>
      <c r="B109" s="10" t="str">
        <f>IFERROR(IF(ISNUMBER('Deficit to GDP'!E114),TEXT('Deficit to GDP'!E114, "0.00"),""), "")</f>
        <v/>
      </c>
      <c r="C109" s="10" t="str">
        <f>IFERROR(IF(ISNUMBER('Deficit to GDP'!F114),TEXT('Deficit to GDP'!F114,"0.00"), ""), "")</f>
        <v/>
      </c>
      <c r="D109" t="str">
        <f>IFERROR(IF(ISNUMBER('Deficit to GDP'!B114),'Deficit to GDP'!H114,""), "")</f>
        <v/>
      </c>
    </row>
    <row r="110" spans="1:4">
      <c r="A110" t="str">
        <f>TEXT(IF('Deficit to GDP'!B115&lt;&gt;0,'Deficit to GDP'!B115, ""), "yyyy")</f>
        <v/>
      </c>
      <c r="B110" s="10" t="str">
        <f>IFERROR(IF(ISNUMBER('Deficit to GDP'!E115),TEXT('Deficit to GDP'!E115, "0.00"),""), "")</f>
        <v/>
      </c>
      <c r="C110" s="10" t="str">
        <f>IFERROR(IF(ISNUMBER('Deficit to GDP'!F115),TEXT('Deficit to GDP'!F115,"0.00"), ""), "")</f>
        <v/>
      </c>
      <c r="D110" t="str">
        <f>IFERROR(IF(ISNUMBER('Deficit to GDP'!B115),'Deficit to GDP'!H115,""), "")</f>
        <v/>
      </c>
    </row>
    <row r="111" spans="1:4">
      <c r="A111" t="str">
        <f>TEXT(IF('Deficit to GDP'!B116&lt;&gt;0,'Deficit to GDP'!B116, ""), "yyyy")</f>
        <v/>
      </c>
      <c r="B111" s="10" t="str">
        <f>IFERROR(IF(ISNUMBER('Deficit to GDP'!E116),TEXT('Deficit to GDP'!E116, "0.00"),""), "")</f>
        <v/>
      </c>
      <c r="C111" s="10" t="str">
        <f>IFERROR(IF(ISNUMBER('Deficit to GDP'!F116),TEXT('Deficit to GDP'!F116,"0.00"), ""), "")</f>
        <v/>
      </c>
      <c r="D111" t="str">
        <f>IFERROR(IF(ISNUMBER('Deficit to GDP'!B116),'Deficit to GDP'!H116,""), "")</f>
        <v/>
      </c>
    </row>
    <row r="112" spans="1:4">
      <c r="A112" t="str">
        <f>TEXT(IF('Deficit to GDP'!B117&lt;&gt;0,'Deficit to GDP'!B117, ""), "yyyy")</f>
        <v/>
      </c>
      <c r="B112" s="10" t="str">
        <f>IFERROR(IF(ISNUMBER('Deficit to GDP'!E117),TEXT('Deficit to GDP'!E117, "0.00"),""), "")</f>
        <v/>
      </c>
      <c r="C112" s="10" t="str">
        <f>IFERROR(IF(ISNUMBER('Deficit to GDP'!F117),TEXT('Deficit to GDP'!F117,"0.00"), ""), "")</f>
        <v/>
      </c>
      <c r="D112" t="str">
        <f>IFERROR(IF(ISNUMBER('Deficit to GDP'!B117),'Deficit to GDP'!H117,""), "")</f>
        <v/>
      </c>
    </row>
    <row r="113" spans="1:4">
      <c r="A113" t="str">
        <f>TEXT(IF('Deficit to GDP'!B118&lt;&gt;0,'Deficit to GDP'!B118, ""), "yyyy")</f>
        <v/>
      </c>
      <c r="B113" s="10" t="str">
        <f>IFERROR(IF(ISNUMBER('Deficit to GDP'!E118),TEXT('Deficit to GDP'!E118, "0.00"),""), "")</f>
        <v/>
      </c>
      <c r="C113" s="10" t="str">
        <f>IFERROR(IF(ISNUMBER('Deficit to GDP'!F118),TEXT('Deficit to GDP'!F118,"0.00"), ""), "")</f>
        <v/>
      </c>
      <c r="D113" t="str">
        <f>IFERROR(IF(ISNUMBER('Deficit to GDP'!B118),'Deficit to GDP'!H118,""), "")</f>
        <v/>
      </c>
    </row>
    <row r="114" spans="1:4">
      <c r="A114" t="str">
        <f>TEXT(IF('Deficit to GDP'!B119&lt;&gt;0,'Deficit to GDP'!B119, ""), "yyyy")</f>
        <v/>
      </c>
      <c r="B114" s="10" t="str">
        <f>IFERROR(IF(ISNUMBER('Deficit to GDP'!E119),TEXT('Deficit to GDP'!E119, "0.00"),""), "")</f>
        <v/>
      </c>
      <c r="C114" s="10" t="str">
        <f>IFERROR(IF(ISNUMBER('Deficit to GDP'!F119),TEXT('Deficit to GDP'!F119,"0.00"), ""), "")</f>
        <v/>
      </c>
      <c r="D114" t="str">
        <f>IFERROR(IF(ISNUMBER('Deficit to GDP'!B119),'Deficit to GDP'!H119,""), "")</f>
        <v/>
      </c>
    </row>
    <row r="115" spans="1:4">
      <c r="A115" t="str">
        <f>TEXT(IF('Deficit to GDP'!B120&lt;&gt;0,'Deficit to GDP'!B120, ""), "yyyy")</f>
        <v/>
      </c>
      <c r="B115" s="10" t="str">
        <f>IFERROR(IF(ISNUMBER('Deficit to GDP'!E120),TEXT('Deficit to GDP'!E120, "0.00"),""), "")</f>
        <v/>
      </c>
      <c r="C115" s="10" t="str">
        <f>IFERROR(IF(ISNUMBER('Deficit to GDP'!F120),TEXT('Deficit to GDP'!F120,"0.00"), ""), "")</f>
        <v/>
      </c>
      <c r="D115" t="str">
        <f>IFERROR(IF(ISNUMBER('Deficit to GDP'!B120),'Deficit to GDP'!H120,""), "")</f>
        <v/>
      </c>
    </row>
    <row r="116" spans="1:4">
      <c r="A116" t="str">
        <f>TEXT(IF('Deficit to GDP'!B121&lt;&gt;0,'Deficit to GDP'!B121, ""), "yyyy")</f>
        <v/>
      </c>
      <c r="B116" s="10" t="str">
        <f>IFERROR(IF(ISNUMBER('Deficit to GDP'!E121),TEXT('Deficit to GDP'!E121, "0.00"),""), "")</f>
        <v/>
      </c>
      <c r="C116" s="10" t="str">
        <f>IFERROR(IF(ISNUMBER('Deficit to GDP'!F121),TEXT('Deficit to GDP'!F121,"0.00"), ""), "")</f>
        <v/>
      </c>
      <c r="D116" t="str">
        <f>IFERROR(IF(ISNUMBER('Deficit to GDP'!B121),'Deficit to GDP'!H121,""), "")</f>
        <v/>
      </c>
    </row>
    <row r="117" spans="1:4">
      <c r="A117" t="str">
        <f>TEXT(IF('Deficit to GDP'!B122&lt;&gt;0,'Deficit to GDP'!B122, ""), "yyyy")</f>
        <v/>
      </c>
      <c r="B117" s="10" t="str">
        <f>IFERROR(IF(ISNUMBER('Deficit to GDP'!E122),TEXT('Deficit to GDP'!E122, "0.00"),""), "")</f>
        <v/>
      </c>
      <c r="C117" s="10" t="str">
        <f>IFERROR(IF(ISNUMBER('Deficit to GDP'!F122),TEXT('Deficit to GDP'!F122,"0.00"), ""), "")</f>
        <v/>
      </c>
      <c r="D117" t="str">
        <f>IFERROR(IF(ISNUMBER('Deficit to GDP'!B122),'Deficit to GDP'!H122,""), "")</f>
        <v/>
      </c>
    </row>
    <row r="118" spans="1:4">
      <c r="A118" t="str">
        <f>TEXT(IF('Deficit to GDP'!B123&lt;&gt;0,'Deficit to GDP'!B123, ""), "yyyy")</f>
        <v/>
      </c>
      <c r="B118" s="10" t="str">
        <f>IFERROR(IF(ISNUMBER('Deficit to GDP'!E123),TEXT('Deficit to GDP'!E123, "0.00"),""), "")</f>
        <v/>
      </c>
      <c r="C118" s="10" t="str">
        <f>IFERROR(IF(ISNUMBER('Deficit to GDP'!F123),TEXT('Deficit to GDP'!F123,"0.00"), ""), "")</f>
        <v/>
      </c>
      <c r="D118" t="str">
        <f>IFERROR(IF(ISNUMBER('Deficit to GDP'!B123),'Deficit to GDP'!H123,""), "")</f>
        <v/>
      </c>
    </row>
    <row r="119" spans="1:4">
      <c r="A119" t="str">
        <f>TEXT(IF('Deficit to GDP'!B124&lt;&gt;0,'Deficit to GDP'!B124, ""), "yyyy")</f>
        <v/>
      </c>
      <c r="B119" s="10" t="str">
        <f>IFERROR(IF(ISNUMBER('Deficit to GDP'!E124),TEXT('Deficit to GDP'!E124, "0.00"),""), "")</f>
        <v/>
      </c>
      <c r="C119" s="10" t="str">
        <f>IFERROR(IF(ISNUMBER('Deficit to GDP'!F124),TEXT('Deficit to GDP'!F124,"0.00"), ""), "")</f>
        <v/>
      </c>
      <c r="D119" t="str">
        <f>IFERROR(IF(ISNUMBER('Deficit to GDP'!B124),'Deficit to GDP'!H124,""), "")</f>
        <v/>
      </c>
    </row>
    <row r="120" spans="1:4">
      <c r="A120" t="str">
        <f>TEXT(IF('Deficit to GDP'!B125&lt;&gt;0,'Deficit to GDP'!B125, ""), "yyyy")</f>
        <v/>
      </c>
      <c r="B120" s="10" t="str">
        <f>IFERROR(IF(ISNUMBER('Deficit to GDP'!E125),TEXT('Deficit to GDP'!E125, "0.00"),""), "")</f>
        <v/>
      </c>
      <c r="C120" s="10" t="str">
        <f>IFERROR(IF(ISNUMBER('Deficit to GDP'!F125),TEXT('Deficit to GDP'!F125,"0.00"), ""), "")</f>
        <v/>
      </c>
      <c r="D120" t="str">
        <f>IFERROR(IF(ISNUMBER('Deficit to GDP'!B125),'Deficit to GDP'!H125,""), "")</f>
        <v/>
      </c>
    </row>
    <row r="121" spans="1:4">
      <c r="A121" t="str">
        <f>TEXT(IF('Deficit to GDP'!B126&lt;&gt;0,'Deficit to GDP'!B126, ""), "yyyy")</f>
        <v/>
      </c>
      <c r="B121" s="10" t="str">
        <f>IFERROR(IF(ISNUMBER('Deficit to GDP'!E126),TEXT('Deficit to GDP'!E126, "0.00"),""), "")</f>
        <v/>
      </c>
      <c r="C121" s="10" t="str">
        <f>IFERROR(IF(ISNUMBER('Deficit to GDP'!F126),TEXT('Deficit to GDP'!F126,"0.00"), ""), "")</f>
        <v/>
      </c>
      <c r="D121" t="str">
        <f>IFERROR(IF(ISNUMBER('Deficit to GDP'!B126),'Deficit to GDP'!H126,""), "")</f>
        <v/>
      </c>
    </row>
    <row r="122" spans="1:4">
      <c r="A122" t="str">
        <f>TEXT(IF('Deficit to GDP'!B127&lt;&gt;0,'Deficit to GDP'!B127, ""), "yyyy")</f>
        <v/>
      </c>
      <c r="B122" s="10" t="str">
        <f>IFERROR(IF(ISNUMBER('Deficit to GDP'!E127),TEXT('Deficit to GDP'!E127, "0.00"),""), "")</f>
        <v/>
      </c>
      <c r="C122" s="10" t="str">
        <f>IFERROR(IF(ISNUMBER('Deficit to GDP'!F127),TEXT('Deficit to GDP'!F127,"0.00"), ""), "")</f>
        <v/>
      </c>
      <c r="D122" t="str">
        <f>IFERROR(IF(ISNUMBER('Deficit to GDP'!B127),'Deficit to GDP'!H127,""), "")</f>
        <v/>
      </c>
    </row>
    <row r="123" spans="1:4">
      <c r="A123" t="str">
        <f>TEXT(IF('Deficit to GDP'!B128&lt;&gt;0,'Deficit to GDP'!B128, ""), "yyyy")</f>
        <v/>
      </c>
      <c r="B123" s="10" t="str">
        <f>IFERROR(IF(ISNUMBER('Deficit to GDP'!E128),TEXT('Deficit to GDP'!E128, "0.00"),""), "")</f>
        <v/>
      </c>
      <c r="C123" s="10" t="str">
        <f>IFERROR(IF(ISNUMBER('Deficit to GDP'!F128),TEXT('Deficit to GDP'!F128,"0.00"), ""), "")</f>
        <v/>
      </c>
      <c r="D123" t="str">
        <f>IFERROR(IF(ISNUMBER('Deficit to GDP'!B128),'Deficit to GDP'!H128,""), "")</f>
        <v/>
      </c>
    </row>
    <row r="124" spans="1:4">
      <c r="A124" t="str">
        <f>TEXT(IF('Deficit to GDP'!B129&lt;&gt;0,'Deficit to GDP'!B129, ""), "yyyy")</f>
        <v/>
      </c>
      <c r="B124" s="10" t="str">
        <f>IFERROR(IF(ISNUMBER('Deficit to GDP'!E129),TEXT('Deficit to GDP'!E129, "0.00"),""), "")</f>
        <v/>
      </c>
      <c r="C124" s="10" t="str">
        <f>IFERROR(IF(ISNUMBER('Deficit to GDP'!F129),TEXT('Deficit to GDP'!F129,"0.00"), ""), "")</f>
        <v/>
      </c>
      <c r="D124" t="str">
        <f>IFERROR(IF(ISNUMBER('Deficit to GDP'!B129),'Deficit to GDP'!H129,""), "")</f>
        <v/>
      </c>
    </row>
    <row r="125" spans="1:4">
      <c r="A125" t="str">
        <f>TEXT(IF('Deficit to GDP'!B130&lt;&gt;0,'Deficit to GDP'!B130, ""), "yyyy")</f>
        <v/>
      </c>
      <c r="B125" s="10" t="str">
        <f>IFERROR(IF(ISNUMBER('Deficit to GDP'!E130),TEXT('Deficit to GDP'!E130, "0.00"),""), "")</f>
        <v/>
      </c>
      <c r="C125" s="10" t="str">
        <f>IFERROR(IF(ISNUMBER('Deficit to GDP'!F130),TEXT('Deficit to GDP'!F130,"0.00"), ""), "")</f>
        <v/>
      </c>
      <c r="D125" t="str">
        <f>IFERROR(IF(ISNUMBER('Deficit to GDP'!B130),'Deficit to GDP'!H130,""), "")</f>
        <v/>
      </c>
    </row>
    <row r="126" spans="1:4">
      <c r="A126" t="str">
        <f>TEXT(IF('Deficit to GDP'!B131&lt;&gt;0,'Deficit to GDP'!B131, ""), "yyyy")</f>
        <v/>
      </c>
      <c r="B126" s="10" t="str">
        <f>IFERROR(IF(ISNUMBER('Deficit to GDP'!E131),TEXT('Deficit to GDP'!E131, "0.00"),""), "")</f>
        <v/>
      </c>
      <c r="C126" s="10" t="str">
        <f>IFERROR(IF(ISNUMBER('Deficit to GDP'!F131),TEXT('Deficit to GDP'!F131,"0.00"), ""), "")</f>
        <v/>
      </c>
      <c r="D126" t="str">
        <f>IFERROR(IF(ISNUMBER('Deficit to GDP'!B131),'Deficit to GDP'!H131,""), "")</f>
        <v/>
      </c>
    </row>
    <row r="127" spans="1:4">
      <c r="A127" t="str">
        <f>TEXT(IF('Deficit to GDP'!B132&lt;&gt;0,'Deficit to GDP'!B132, ""), "yyyy")</f>
        <v/>
      </c>
      <c r="B127" s="10" t="str">
        <f>IFERROR(IF(ISNUMBER('Deficit to GDP'!E132),TEXT('Deficit to GDP'!E132, "0.00"),""), "")</f>
        <v/>
      </c>
      <c r="C127" s="10" t="str">
        <f>IFERROR(IF(ISNUMBER('Deficit to GDP'!F132),TEXT('Deficit to GDP'!F132,"0.00"), ""), "")</f>
        <v/>
      </c>
      <c r="D127" t="str">
        <f>IFERROR(IF(ISNUMBER('Deficit to GDP'!B132),'Deficit to GDP'!H132,""), "")</f>
        <v/>
      </c>
    </row>
    <row r="128" spans="1:4">
      <c r="A128" t="str">
        <f>TEXT(IF('Deficit to GDP'!B133&lt;&gt;0,'Deficit to GDP'!B133, ""), "yyyy")</f>
        <v/>
      </c>
      <c r="B128" s="10" t="str">
        <f>IFERROR(IF(ISNUMBER('Deficit to GDP'!E133),TEXT('Deficit to GDP'!E133, "0.00"),""), "")</f>
        <v/>
      </c>
      <c r="C128" s="10" t="str">
        <f>IFERROR(IF(ISNUMBER('Deficit to GDP'!F133),TEXT('Deficit to GDP'!F133,"0.00"), ""), "")</f>
        <v/>
      </c>
      <c r="D128" t="str">
        <f>IFERROR(IF(ISNUMBER('Deficit to GDP'!B133),'Deficit to GDP'!H133,""), "")</f>
        <v/>
      </c>
    </row>
    <row r="129" spans="1:4">
      <c r="A129" t="str">
        <f>TEXT(IF('Deficit to GDP'!B134&lt;&gt;0,'Deficit to GDP'!B134, ""), "yyyy")</f>
        <v/>
      </c>
      <c r="B129" s="10" t="str">
        <f>IFERROR(IF(ISNUMBER('Deficit to GDP'!E134),TEXT('Deficit to GDP'!E134, "0.00"),""), "")</f>
        <v/>
      </c>
      <c r="C129" s="10" t="str">
        <f>IFERROR(IF(ISNUMBER('Deficit to GDP'!F134),TEXT('Deficit to GDP'!F134,"0.00"), ""), "")</f>
        <v/>
      </c>
      <c r="D129" t="str">
        <f>IFERROR(IF(ISNUMBER('Deficit to GDP'!B134),'Deficit to GDP'!H134,""), "")</f>
        <v/>
      </c>
    </row>
    <row r="130" spans="1:4">
      <c r="A130" t="str">
        <f>TEXT(IF('Deficit to GDP'!B135&lt;&gt;0,'Deficit to GDP'!B135, ""), "yyyy")</f>
        <v/>
      </c>
      <c r="B130" s="10" t="str">
        <f>IFERROR(IF(ISNUMBER('Deficit to GDP'!E135),TEXT('Deficit to GDP'!E135, "0.00"),""), "")</f>
        <v/>
      </c>
      <c r="C130" s="10" t="str">
        <f>IFERROR(IF(ISNUMBER('Deficit to GDP'!F135),TEXT('Deficit to GDP'!F135,"0.00"), ""), "")</f>
        <v/>
      </c>
      <c r="D130" t="str">
        <f>IFERROR(IF(ISNUMBER('Deficit to GDP'!B135),'Deficit to GDP'!H135,""), "")</f>
        <v/>
      </c>
    </row>
    <row r="131" spans="1:4">
      <c r="A131" t="str">
        <f>TEXT(IF('Deficit to GDP'!B136&lt;&gt;0,'Deficit to GDP'!B136, ""), "yyyy")</f>
        <v/>
      </c>
      <c r="B131" s="10" t="str">
        <f>IFERROR(IF(ISNUMBER('Deficit to GDP'!E136),TEXT('Deficit to GDP'!E136, "0.00"),""), "")</f>
        <v/>
      </c>
      <c r="C131" s="10" t="str">
        <f>IFERROR(IF(ISNUMBER('Deficit to GDP'!F136),TEXT('Deficit to GDP'!F136,"0.00"), ""), "")</f>
        <v/>
      </c>
      <c r="D131" t="str">
        <f>IFERROR(IF(ISNUMBER('Deficit to GDP'!B136),'Deficit to GDP'!H136,""), "")</f>
        <v/>
      </c>
    </row>
    <row r="132" spans="1:4">
      <c r="A132" t="str">
        <f>TEXT(IF('Deficit to GDP'!B137&lt;&gt;0,'Deficit to GDP'!B137, ""), "yyyy")</f>
        <v/>
      </c>
      <c r="B132" s="10" t="str">
        <f>IFERROR(IF(ISNUMBER('Deficit to GDP'!E137),TEXT('Deficit to GDP'!E137, "0.00"),""), "")</f>
        <v/>
      </c>
      <c r="C132" s="10" t="str">
        <f>IFERROR(IF(ISNUMBER('Deficit to GDP'!F137),TEXT('Deficit to GDP'!F137,"0.00"), ""), "")</f>
        <v/>
      </c>
      <c r="D132" t="str">
        <f>IFERROR(IF(ISNUMBER('Deficit to GDP'!B137),'Deficit to GDP'!H137,""), "")</f>
        <v/>
      </c>
    </row>
    <row r="133" spans="1:4">
      <c r="A133" t="str">
        <f>TEXT(IF('Deficit to GDP'!B138&lt;&gt;0,'Deficit to GDP'!B138, ""), "yyyy")</f>
        <v/>
      </c>
      <c r="B133" s="10" t="str">
        <f>IFERROR(IF(ISNUMBER('Deficit to GDP'!E138),TEXT('Deficit to GDP'!E138, "0.00"),""), "")</f>
        <v/>
      </c>
      <c r="C133" s="10" t="str">
        <f>IFERROR(IF(ISNUMBER('Deficit to GDP'!F138),TEXT('Deficit to GDP'!F138,"0.00"), ""), "")</f>
        <v/>
      </c>
      <c r="D133" t="str">
        <f>IFERROR(IF(ISNUMBER('Deficit to GDP'!B138),'Deficit to GDP'!H138,""), "")</f>
        <v/>
      </c>
    </row>
    <row r="134" spans="1:4">
      <c r="A134" t="str">
        <f>TEXT(IF('Deficit to GDP'!B139&lt;&gt;0,'Deficit to GDP'!B139, ""), "yyyy")</f>
        <v/>
      </c>
      <c r="B134" s="10" t="str">
        <f>IFERROR(IF(ISNUMBER('Deficit to GDP'!E139),TEXT('Deficit to GDP'!E139, "0.00"),""), "")</f>
        <v/>
      </c>
      <c r="C134" s="10" t="str">
        <f>IFERROR(IF(ISNUMBER('Deficit to GDP'!F139),TEXT('Deficit to GDP'!F139,"0.00"), ""), "")</f>
        <v/>
      </c>
      <c r="D134" t="str">
        <f>IFERROR(IF(ISNUMBER('Deficit to GDP'!B139),'Deficit to GDP'!H139,""), "")</f>
        <v/>
      </c>
    </row>
    <row r="135" spans="1:4">
      <c r="A135" t="str">
        <f>TEXT(IF('Deficit to GDP'!B140&lt;&gt;0,'Deficit to GDP'!B140, ""), "yyyy")</f>
        <v/>
      </c>
      <c r="B135" s="10" t="str">
        <f>IFERROR(IF(ISNUMBER('Deficit to GDP'!E140),TEXT('Deficit to GDP'!E140, "0.00"),""), "")</f>
        <v/>
      </c>
      <c r="C135" s="10" t="str">
        <f>IFERROR(IF(ISNUMBER('Deficit to GDP'!F140),TEXT('Deficit to GDP'!F140,"0.00"), ""), "")</f>
        <v/>
      </c>
      <c r="D135" t="str">
        <f>IFERROR(IF(ISNUMBER('Deficit to GDP'!B140),'Deficit to GDP'!H140,""), "")</f>
        <v/>
      </c>
    </row>
    <row r="136" spans="1:4">
      <c r="A136" t="str">
        <f>TEXT(IF('Deficit to GDP'!B141&lt;&gt;0,'Deficit to GDP'!B141, ""), "yyyy")</f>
        <v/>
      </c>
      <c r="B136" s="10" t="str">
        <f>IFERROR(IF(ISNUMBER('Deficit to GDP'!E141),TEXT('Deficit to GDP'!E141, "0.00"),""), "")</f>
        <v/>
      </c>
      <c r="C136" s="10" t="str">
        <f>IFERROR(IF(ISNUMBER('Deficit to GDP'!F141),TEXT('Deficit to GDP'!F141,"0.00"), ""), "")</f>
        <v/>
      </c>
      <c r="D136" t="str">
        <f>IFERROR(IF(ISNUMBER('Deficit to GDP'!B141),'Deficit to GDP'!H141,""), "")</f>
        <v/>
      </c>
    </row>
    <row r="137" spans="1:4">
      <c r="A137" t="str">
        <f>TEXT(IF('Deficit to GDP'!B142&lt;&gt;0,'Deficit to GDP'!B142, ""), "yyyy")</f>
        <v/>
      </c>
      <c r="B137" s="10" t="str">
        <f>IFERROR(IF(ISNUMBER('Deficit to GDP'!E142),TEXT('Deficit to GDP'!E142, "0.00"),""), "")</f>
        <v/>
      </c>
      <c r="C137" s="10" t="str">
        <f>IFERROR(IF(ISNUMBER('Deficit to GDP'!F142),TEXT('Deficit to GDP'!F142,"0.00"), ""), "")</f>
        <v/>
      </c>
      <c r="D137" t="str">
        <f>IFERROR(IF(ISNUMBER('Deficit to GDP'!B142),'Deficit to GDP'!H142,""), "")</f>
        <v/>
      </c>
    </row>
    <row r="138" spans="1:4">
      <c r="A138" t="str">
        <f>TEXT(IF('Deficit to GDP'!B143&lt;&gt;0,'Deficit to GDP'!B143, ""), "yyyy")</f>
        <v/>
      </c>
      <c r="B138" s="10" t="str">
        <f>IFERROR(IF(ISNUMBER('Deficit to GDP'!E143),TEXT('Deficit to GDP'!E143, "0.00"),""), "")</f>
        <v/>
      </c>
      <c r="C138" s="10" t="str">
        <f>IFERROR(IF(ISNUMBER('Deficit to GDP'!F143),TEXT('Deficit to GDP'!F143,"0.00"), ""), "")</f>
        <v/>
      </c>
      <c r="D138" t="str">
        <f>IFERROR(IF(ISNUMBER('Deficit to GDP'!B143),'Deficit to GDP'!H143,""), "")</f>
        <v/>
      </c>
    </row>
    <row r="139" spans="1:4">
      <c r="A139" t="str">
        <f>TEXT(IF('Deficit to GDP'!B144&lt;&gt;0,'Deficit to GDP'!B144, ""), "yyyy")</f>
        <v/>
      </c>
      <c r="B139" s="10" t="str">
        <f>IFERROR(IF(ISNUMBER('Deficit to GDP'!E144),TEXT('Deficit to GDP'!E144, "0.00"),""), "")</f>
        <v/>
      </c>
      <c r="C139" s="10" t="str">
        <f>IFERROR(IF(ISNUMBER('Deficit to GDP'!F144),TEXT('Deficit to GDP'!F144,"0.00"), ""), "")</f>
        <v/>
      </c>
      <c r="D139" t="str">
        <f>IFERROR(IF(ISNUMBER('Deficit to GDP'!B144),'Deficit to GDP'!H144,""), "")</f>
        <v/>
      </c>
    </row>
    <row r="140" spans="1:4">
      <c r="A140" t="str">
        <f>TEXT(IF('Deficit to GDP'!B145&lt;&gt;0,'Deficit to GDP'!B145, ""), "yyyy")</f>
        <v/>
      </c>
      <c r="B140" s="10" t="str">
        <f>IFERROR(IF(ISNUMBER('Deficit to GDP'!E145),TEXT('Deficit to GDP'!E145, "0.00"),""), "")</f>
        <v/>
      </c>
      <c r="C140" s="10" t="str">
        <f>IFERROR(IF(ISNUMBER('Deficit to GDP'!F145),TEXT('Deficit to GDP'!F145,"0.00"), ""), "")</f>
        <v/>
      </c>
      <c r="D140" t="str">
        <f>IFERROR(IF(ISNUMBER('Deficit to GDP'!B145),'Deficit to GDP'!H145,""), "")</f>
        <v/>
      </c>
    </row>
    <row r="141" spans="1:4">
      <c r="A141" t="str">
        <f>TEXT(IF('Deficit to GDP'!B146&lt;&gt;0,'Deficit to GDP'!B146, ""), "yyyy")</f>
        <v/>
      </c>
      <c r="B141" s="10" t="str">
        <f>IFERROR(IF(ISNUMBER('Deficit to GDP'!E146),TEXT('Deficit to GDP'!E146, "0.00"),""), "")</f>
        <v/>
      </c>
      <c r="C141" s="10" t="str">
        <f>IFERROR(IF(ISNUMBER('Deficit to GDP'!F146),TEXT('Deficit to GDP'!F146,"0.00"), ""), "")</f>
        <v/>
      </c>
      <c r="D141" t="str">
        <f>IFERROR(IF(ISNUMBER('Deficit to GDP'!B146),'Deficit to GDP'!H146,""), "")</f>
        <v/>
      </c>
    </row>
    <row r="142" spans="1:4">
      <c r="A142" t="str">
        <f>TEXT(IF('Deficit to GDP'!B147&lt;&gt;0,'Deficit to GDP'!B147, ""), "yyyy")</f>
        <v/>
      </c>
      <c r="B142" s="10" t="str">
        <f>IFERROR(IF(ISNUMBER('Deficit to GDP'!E147),TEXT('Deficit to GDP'!E147, "0.00"),""), "")</f>
        <v/>
      </c>
      <c r="C142" s="10" t="str">
        <f>IFERROR(IF(ISNUMBER('Deficit to GDP'!F147),TEXT('Deficit to GDP'!F147,"0.00"), ""), "")</f>
        <v/>
      </c>
      <c r="D142" t="str">
        <f>IFERROR(IF(ISNUMBER('Deficit to GDP'!B147),'Deficit to GDP'!H147,""), "")</f>
        <v/>
      </c>
    </row>
    <row r="143" spans="1:4">
      <c r="A143" t="str">
        <f>TEXT(IF('Deficit to GDP'!B148&lt;&gt;0,'Deficit to GDP'!B148, ""), "yyyy")</f>
        <v/>
      </c>
      <c r="B143" s="10" t="str">
        <f>IFERROR(IF(ISNUMBER('Deficit to GDP'!E148),TEXT('Deficit to GDP'!E148, "0.00"),""), "")</f>
        <v/>
      </c>
      <c r="C143" s="10" t="str">
        <f>IFERROR(IF(ISNUMBER('Deficit to GDP'!F148),TEXT('Deficit to GDP'!F148,"0.00"), ""), "")</f>
        <v/>
      </c>
      <c r="D143" t="str">
        <f>IFERROR(IF(ISNUMBER('Deficit to GDP'!B148),'Deficit to GDP'!H148,""), "")</f>
        <v/>
      </c>
    </row>
    <row r="144" spans="1:4">
      <c r="A144" t="str">
        <f>TEXT(IF('Deficit to GDP'!B149&lt;&gt;0,'Deficit to GDP'!B149, ""), "yyyy")</f>
        <v/>
      </c>
      <c r="B144" s="10" t="str">
        <f>IFERROR(IF(ISNUMBER('Deficit to GDP'!E149),TEXT('Deficit to GDP'!E149, "0.00"),""), "")</f>
        <v/>
      </c>
      <c r="C144" s="10" t="str">
        <f>IFERROR(IF(ISNUMBER('Deficit to GDP'!F149),TEXT('Deficit to GDP'!F149,"0.00"), ""), "")</f>
        <v/>
      </c>
      <c r="D144" t="str">
        <f>IFERROR(IF(ISNUMBER('Deficit to GDP'!B149),'Deficit to GDP'!H149,""), "")</f>
        <v/>
      </c>
    </row>
    <row r="145" spans="1:4">
      <c r="A145" t="str">
        <f>TEXT(IF('Deficit to GDP'!B150&lt;&gt;0,'Deficit to GDP'!B150, ""), "yyyy")</f>
        <v/>
      </c>
      <c r="B145" s="10" t="str">
        <f>IFERROR(IF(ISNUMBER('Deficit to GDP'!E150),TEXT('Deficit to GDP'!E150, "0.00"),""), "")</f>
        <v/>
      </c>
      <c r="C145" s="10" t="str">
        <f>IFERROR(IF(ISNUMBER('Deficit to GDP'!F150),TEXT('Deficit to GDP'!F150,"0.00"), ""), "")</f>
        <v/>
      </c>
      <c r="D145" t="str">
        <f>IFERROR(IF(ISNUMBER('Deficit to GDP'!B150),'Deficit to GDP'!H150,""), "")</f>
        <v/>
      </c>
    </row>
    <row r="146" spans="1:4">
      <c r="A146" t="str">
        <f>TEXT(IF('Deficit to GDP'!B151&lt;&gt;0,'Deficit to GDP'!B151, ""), "yyyy")</f>
        <v/>
      </c>
      <c r="B146" s="10" t="str">
        <f>IFERROR(IF(ISNUMBER('Deficit to GDP'!E151),TEXT('Deficit to GDP'!E151, "0.00"),""), "")</f>
        <v/>
      </c>
      <c r="C146" s="10" t="str">
        <f>IFERROR(IF(ISNUMBER('Deficit to GDP'!F151),TEXT('Deficit to GDP'!F151,"0.00"), ""), "")</f>
        <v/>
      </c>
      <c r="D146" t="str">
        <f>IFERROR(IF(ISNUMBER('Deficit to GDP'!B151),'Deficit to GDP'!H151,""), "")</f>
        <v/>
      </c>
    </row>
    <row r="147" spans="1:4">
      <c r="A147" t="str">
        <f>TEXT(IF('Deficit to GDP'!B152&lt;&gt;0,'Deficit to GDP'!B152, ""), "yyyy")</f>
        <v/>
      </c>
      <c r="B147" s="10" t="str">
        <f>IFERROR(IF(ISNUMBER('Deficit to GDP'!E152),TEXT('Deficit to GDP'!E152, "0.00"),""), "")</f>
        <v/>
      </c>
      <c r="C147" s="10" t="str">
        <f>IFERROR(IF(ISNUMBER('Deficit to GDP'!F152),TEXT('Deficit to GDP'!F152,"0.00"), ""), "")</f>
        <v/>
      </c>
      <c r="D147" t="str">
        <f>IFERROR(IF(ISNUMBER('Deficit to GDP'!B152),'Deficit to GDP'!H152,""), "")</f>
        <v/>
      </c>
    </row>
    <row r="148" spans="1:4">
      <c r="A148" t="str">
        <f>TEXT(IF('Deficit to GDP'!B153&lt;&gt;0,'Deficit to GDP'!B153, ""), "yyyy")</f>
        <v/>
      </c>
      <c r="B148" s="10" t="str">
        <f>IFERROR(IF(ISNUMBER('Deficit to GDP'!E153),TEXT('Deficit to GDP'!E153, "0.00"),""), "")</f>
        <v/>
      </c>
      <c r="C148" s="10" t="str">
        <f>IFERROR(IF(ISNUMBER('Deficit to GDP'!F153),TEXT('Deficit to GDP'!F153,"0.00"), ""), "")</f>
        <v/>
      </c>
      <c r="D148" t="str">
        <f>IFERROR(IF(ISNUMBER('Deficit to GDP'!B153),'Deficit to GDP'!H153,""), "")</f>
        <v/>
      </c>
    </row>
    <row r="149" spans="1:4">
      <c r="A149" t="str">
        <f>TEXT(IF('Deficit to GDP'!B154&lt;&gt;0,'Deficit to GDP'!B154, ""), "yyyy")</f>
        <v/>
      </c>
      <c r="B149" s="10" t="str">
        <f>IFERROR(IF(ISNUMBER('Deficit to GDP'!E154),TEXT('Deficit to GDP'!E154, "0.00"),""), "")</f>
        <v/>
      </c>
      <c r="C149" s="10" t="str">
        <f>IFERROR(IF(ISNUMBER('Deficit to GDP'!F154),TEXT('Deficit to GDP'!F154,"0.00"), ""), "")</f>
        <v/>
      </c>
      <c r="D149" t="str">
        <f>IFERROR(IF(ISNUMBER('Deficit to GDP'!B154),'Deficit to GDP'!H154,""), "")</f>
        <v/>
      </c>
    </row>
    <row r="150" spans="1:4">
      <c r="A150" t="str">
        <f>TEXT(IF('Deficit to GDP'!B155&lt;&gt;0,'Deficit to GDP'!B155, ""), "yyyy")</f>
        <v/>
      </c>
      <c r="B150" s="10" t="str">
        <f>IFERROR(IF(ISNUMBER('Deficit to GDP'!E155),TEXT('Deficit to GDP'!E155, "0.00"),""), "")</f>
        <v/>
      </c>
      <c r="C150" s="10" t="str">
        <f>IFERROR(IF(ISNUMBER('Deficit to GDP'!F155),TEXT('Deficit to GDP'!F155,"0.00"), ""), "")</f>
        <v/>
      </c>
      <c r="D150" t="str">
        <f>IFERROR(IF(ISNUMBER('Deficit to GDP'!B155),'Deficit to GDP'!H155,""), "")</f>
        <v/>
      </c>
    </row>
    <row r="151" spans="1:4">
      <c r="A151" t="str">
        <f>TEXT(IF('Deficit to GDP'!B156&lt;&gt;0,'Deficit to GDP'!B156, ""), "yyyy")</f>
        <v/>
      </c>
      <c r="B151" s="10" t="str">
        <f>IFERROR(IF(ISNUMBER('Deficit to GDP'!E156),TEXT('Deficit to GDP'!E156, "0.00"),""), "")</f>
        <v/>
      </c>
      <c r="C151" s="10" t="str">
        <f>IFERROR(IF(ISNUMBER('Deficit to GDP'!F156),TEXT('Deficit to GDP'!F156,"0.00"), ""), "")</f>
        <v/>
      </c>
      <c r="D151" t="str">
        <f>IFERROR(IF(ISNUMBER('Deficit to GDP'!B156),'Deficit to GDP'!H156,""), "")</f>
        <v/>
      </c>
    </row>
    <row r="152" spans="1:4">
      <c r="A152" t="str">
        <f>TEXT(IF('Deficit to GDP'!B157&lt;&gt;0,'Deficit to GDP'!B157, ""), "yyyy")</f>
        <v/>
      </c>
      <c r="B152" s="10" t="str">
        <f>IFERROR(IF(ISNUMBER('Deficit to GDP'!E157),TEXT('Deficit to GDP'!E157, "0.00"),""), "")</f>
        <v/>
      </c>
      <c r="C152" s="10" t="str">
        <f>IFERROR(IF(ISNUMBER('Deficit to GDP'!F157),TEXT('Deficit to GDP'!F157,"0.00"), ""), "")</f>
        <v/>
      </c>
      <c r="D152" t="str">
        <f>IFERROR(IF(ISNUMBER('Deficit to GDP'!B157),'Deficit to GDP'!H157,""), "")</f>
        <v/>
      </c>
    </row>
    <row r="153" spans="1:4">
      <c r="A153" t="str">
        <f>TEXT(IF('Deficit to GDP'!B158&lt;&gt;0,'Deficit to GDP'!B158, ""), "yyyy")</f>
        <v/>
      </c>
      <c r="B153" s="10" t="str">
        <f>IFERROR(IF(ISNUMBER('Deficit to GDP'!E158),TEXT('Deficit to GDP'!E158, "0.00"),""), "")</f>
        <v/>
      </c>
      <c r="C153" s="10" t="str">
        <f>IFERROR(IF(ISNUMBER('Deficit to GDP'!F158),TEXT('Deficit to GDP'!F158,"0.00"), ""), "")</f>
        <v/>
      </c>
      <c r="D153" t="str">
        <f>IFERROR(IF(ISNUMBER('Deficit to GDP'!B158),'Deficit to GDP'!H158,""), "")</f>
        <v/>
      </c>
    </row>
    <row r="154" spans="1:4">
      <c r="A154" t="str">
        <f>TEXT(IF('Deficit to GDP'!B159&lt;&gt;0,'Deficit to GDP'!B159, ""), "yyyy")</f>
        <v/>
      </c>
      <c r="B154" s="10" t="str">
        <f>IFERROR(IF(ISNUMBER('Deficit to GDP'!E159),TEXT('Deficit to GDP'!E159, "0.00"),""), "")</f>
        <v/>
      </c>
      <c r="C154" s="10" t="str">
        <f>IFERROR(IF(ISNUMBER('Deficit to GDP'!F159),TEXT('Deficit to GDP'!F159,"0.00"), ""), "")</f>
        <v/>
      </c>
      <c r="D154" t="str">
        <f>IFERROR(IF(ISNUMBER('Deficit to GDP'!B159),'Deficit to GDP'!H159,""), "")</f>
        <v/>
      </c>
    </row>
    <row r="155" spans="1:4">
      <c r="A155" t="str">
        <f>TEXT(IF('Deficit to GDP'!B160&lt;&gt;0,'Deficit to GDP'!B160, ""), "yyyy")</f>
        <v/>
      </c>
      <c r="B155" s="10" t="str">
        <f>IFERROR(IF(ISNUMBER('Deficit to GDP'!E160),TEXT('Deficit to GDP'!E160, "0.00"),""), "")</f>
        <v/>
      </c>
      <c r="C155" s="10" t="str">
        <f>IFERROR(IF(ISNUMBER('Deficit to GDP'!F160),TEXT('Deficit to GDP'!F160,"0.00"), ""), "")</f>
        <v/>
      </c>
      <c r="D155" t="str">
        <f>IFERROR(IF(ISNUMBER('Deficit to GDP'!B160),'Deficit to GDP'!H160,""), "")</f>
        <v/>
      </c>
    </row>
    <row r="156" spans="1:4">
      <c r="A156" t="str">
        <f>TEXT(IF('Deficit to GDP'!B161&lt;&gt;0,'Deficit to GDP'!B161, ""), "yyyy")</f>
        <v/>
      </c>
      <c r="B156" s="10" t="str">
        <f>IFERROR(IF(ISNUMBER('Deficit to GDP'!E161),TEXT('Deficit to GDP'!E161, "0.00"),""), "")</f>
        <v/>
      </c>
      <c r="C156" s="10" t="str">
        <f>IFERROR(IF(ISNUMBER('Deficit to GDP'!F161),TEXT('Deficit to GDP'!F161,"0.00"), ""), "")</f>
        <v/>
      </c>
      <c r="D156" t="str">
        <f>IFERROR(IF(ISNUMBER('Deficit to GDP'!B161),'Deficit to GDP'!H161,""), "")</f>
        <v/>
      </c>
    </row>
    <row r="157" spans="1:4">
      <c r="A157" t="str">
        <f>TEXT(IF('Deficit to GDP'!B162&lt;&gt;0,'Deficit to GDP'!B162, ""), "yyyy")</f>
        <v/>
      </c>
      <c r="B157" s="10" t="str">
        <f>IFERROR(IF(ISNUMBER('Deficit to GDP'!E162),TEXT('Deficit to GDP'!E162, "0.00"),""), "")</f>
        <v/>
      </c>
      <c r="C157" s="10" t="str">
        <f>IFERROR(IF(ISNUMBER('Deficit to GDP'!F162),TEXT('Deficit to GDP'!F162,"0.00"), ""), "")</f>
        <v/>
      </c>
      <c r="D157" t="str">
        <f>IFERROR(IF(ISNUMBER('Deficit to GDP'!B162),'Deficit to GDP'!H162,""), "")</f>
        <v/>
      </c>
    </row>
    <row r="158" spans="1:4">
      <c r="A158" t="str">
        <f>TEXT(IF('Deficit to GDP'!B163&lt;&gt;0,'Deficit to GDP'!B163, ""), "yyyy")</f>
        <v/>
      </c>
      <c r="B158" s="10" t="str">
        <f>IFERROR(IF(ISNUMBER('Deficit to GDP'!E163),TEXT('Deficit to GDP'!E163, "0.00"),""), "")</f>
        <v/>
      </c>
      <c r="C158" s="10" t="str">
        <f>IFERROR(IF(ISNUMBER('Deficit to GDP'!F163),TEXT('Deficit to GDP'!F163,"0.00"), ""), "")</f>
        <v/>
      </c>
      <c r="D158" t="str">
        <f>IFERROR(IF(ISNUMBER('Deficit to GDP'!B163),'Deficit to GDP'!H163,""), "")</f>
        <v/>
      </c>
    </row>
    <row r="159" spans="1:4">
      <c r="A159" t="str">
        <f>TEXT(IF('Deficit to GDP'!B164&lt;&gt;0,'Deficit to GDP'!B164, ""), "yyyy")</f>
        <v/>
      </c>
      <c r="B159" s="10" t="str">
        <f>IFERROR(IF(ISNUMBER('Deficit to GDP'!E164),TEXT('Deficit to GDP'!E164, "0.00"),""), "")</f>
        <v/>
      </c>
      <c r="C159" s="10" t="str">
        <f>IFERROR(IF(ISNUMBER('Deficit to GDP'!F164),TEXT('Deficit to GDP'!F164,"0.00"), ""), "")</f>
        <v/>
      </c>
      <c r="D159" t="str">
        <f>IFERROR(IF(ISNUMBER('Deficit to GDP'!B164),'Deficit to GDP'!H164,""), "")</f>
        <v/>
      </c>
    </row>
    <row r="160" spans="1:4">
      <c r="A160" t="str">
        <f>TEXT(IF('Deficit to GDP'!B165&lt;&gt;0,'Deficit to GDP'!B165, ""), "yyyy")</f>
        <v/>
      </c>
      <c r="B160" s="10" t="str">
        <f>IFERROR(IF(ISNUMBER('Deficit to GDP'!E165),TEXT('Deficit to GDP'!E165, "0.00"),""), "")</f>
        <v/>
      </c>
      <c r="C160" s="10" t="str">
        <f>IFERROR(IF(ISNUMBER('Deficit to GDP'!F165),TEXT('Deficit to GDP'!F165,"0.00"), ""), "")</f>
        <v/>
      </c>
      <c r="D160" t="str">
        <f>IFERROR(IF(ISNUMBER('Deficit to GDP'!B165),'Deficit to GDP'!H165,""), "")</f>
        <v/>
      </c>
    </row>
    <row r="161" spans="1:4">
      <c r="A161" t="str">
        <f>TEXT(IF('Deficit to GDP'!B166&lt;&gt;0,'Deficit to GDP'!B166, ""), "yyyy")</f>
        <v/>
      </c>
      <c r="B161" s="10" t="str">
        <f>IFERROR(IF(ISNUMBER('Deficit to GDP'!E166),TEXT('Deficit to GDP'!E166, "0.00"),""), "")</f>
        <v/>
      </c>
      <c r="C161" s="10" t="str">
        <f>IFERROR(IF(ISNUMBER('Deficit to GDP'!F166),TEXT('Deficit to GDP'!F166,"0.00"), ""), "")</f>
        <v/>
      </c>
      <c r="D161" t="str">
        <f>IFERROR(IF(ISNUMBER('Deficit to GDP'!B166),'Deficit to GDP'!H166,""), "")</f>
        <v/>
      </c>
    </row>
    <row r="162" spans="1:4">
      <c r="A162" t="str">
        <f>TEXT(IF('Deficit to GDP'!B167&lt;&gt;0,'Deficit to GDP'!B167, ""), "yyyy")</f>
        <v/>
      </c>
      <c r="B162" s="10" t="str">
        <f>IFERROR(IF(ISNUMBER('Deficit to GDP'!E167),TEXT('Deficit to GDP'!E167, "0.00"),""), "")</f>
        <v/>
      </c>
      <c r="C162" s="10" t="str">
        <f>IFERROR(IF(ISNUMBER('Deficit to GDP'!F167),TEXT('Deficit to GDP'!F167,"0.00"), ""), "")</f>
        <v/>
      </c>
      <c r="D162" t="str">
        <f>IFERROR(IF(ISNUMBER('Deficit to GDP'!B167),'Deficit to GDP'!H167,""), "")</f>
        <v/>
      </c>
    </row>
    <row r="163" spans="1:4">
      <c r="A163" t="str">
        <f>TEXT(IF('Deficit to GDP'!B168&lt;&gt;0,'Deficit to GDP'!B168, ""), "yyyy")</f>
        <v/>
      </c>
      <c r="B163" s="10" t="str">
        <f>IFERROR(IF(ISNUMBER('Deficit to GDP'!E168),TEXT('Deficit to GDP'!E168, "0.00"),""), "")</f>
        <v/>
      </c>
      <c r="C163" s="10" t="str">
        <f>IFERROR(IF(ISNUMBER('Deficit to GDP'!F168),TEXT('Deficit to GDP'!F168,"0.00"), ""), "")</f>
        <v/>
      </c>
      <c r="D163" t="str">
        <f>IFERROR(IF(ISNUMBER('Deficit to GDP'!B168),'Deficit to GDP'!H168,""), "")</f>
        <v/>
      </c>
    </row>
    <row r="164" spans="1:4">
      <c r="A164" t="str">
        <f>TEXT(IF('Deficit to GDP'!B169&lt;&gt;0,'Deficit to GDP'!B169, ""), "yyyy")</f>
        <v/>
      </c>
      <c r="B164" s="10" t="str">
        <f>IFERROR(IF(ISNUMBER('Deficit to GDP'!E169),TEXT('Deficit to GDP'!E169, "0.00"),""), "")</f>
        <v/>
      </c>
      <c r="C164" s="10" t="str">
        <f>IFERROR(IF(ISNUMBER('Deficit to GDP'!F169),TEXT('Deficit to GDP'!F169,"0.00"), ""), "")</f>
        <v/>
      </c>
      <c r="D164" t="str">
        <f>IFERROR(IF(ISNUMBER('Deficit to GDP'!B169),'Deficit to GDP'!H169,""), "")</f>
        <v/>
      </c>
    </row>
    <row r="165" spans="1:4">
      <c r="A165" t="str">
        <f>TEXT(IF('Deficit to GDP'!B170&lt;&gt;0,'Deficit to GDP'!B170, ""), "yyyy")</f>
        <v/>
      </c>
      <c r="B165" s="10" t="str">
        <f>IFERROR(IF(ISNUMBER('Deficit to GDP'!E170),TEXT('Deficit to GDP'!E170, "0.00"),""), "")</f>
        <v/>
      </c>
      <c r="C165" s="10" t="str">
        <f>IFERROR(IF(ISNUMBER('Deficit to GDP'!F170),TEXT('Deficit to GDP'!F170,"0.00"), ""), "")</f>
        <v/>
      </c>
      <c r="D165" t="str">
        <f>IFERROR(IF(ISNUMBER('Deficit to GDP'!B170),'Deficit to GDP'!H170,""), "")</f>
        <v/>
      </c>
    </row>
    <row r="166" spans="1:4">
      <c r="A166" t="str">
        <f>TEXT(IF('Deficit to GDP'!B171&lt;&gt;0,'Deficit to GDP'!B171, ""), "yyyy")</f>
        <v/>
      </c>
      <c r="B166" s="10" t="str">
        <f>IFERROR(IF(ISNUMBER('Deficit to GDP'!E171),TEXT('Deficit to GDP'!E171, "0.00"),""), "")</f>
        <v/>
      </c>
      <c r="C166" s="10" t="str">
        <f>IFERROR(IF(ISNUMBER('Deficit to GDP'!F171),TEXT('Deficit to GDP'!F171,"0.00"), ""), "")</f>
        <v/>
      </c>
      <c r="D166" t="str">
        <f>IFERROR(IF(ISNUMBER('Deficit to GDP'!B171),'Deficit to GDP'!H171,""), "")</f>
        <v/>
      </c>
    </row>
    <row r="167" spans="1:4">
      <c r="A167" t="str">
        <f>TEXT(IF('Deficit to GDP'!B172&lt;&gt;0,'Deficit to GDP'!B172, ""), "yyyy")</f>
        <v/>
      </c>
      <c r="B167" s="10" t="str">
        <f>IFERROR(IF(ISNUMBER('Deficit to GDP'!E172),TEXT('Deficit to GDP'!E172, "0.00"),""), "")</f>
        <v/>
      </c>
      <c r="C167" s="10" t="str">
        <f>IFERROR(IF(ISNUMBER('Deficit to GDP'!F172),TEXT('Deficit to GDP'!F172,"0.00"), ""), "")</f>
        <v/>
      </c>
      <c r="D167" t="str">
        <f>IFERROR(IF(ISNUMBER('Deficit to GDP'!B172),'Deficit to GDP'!H172,""), "")</f>
        <v/>
      </c>
    </row>
    <row r="168" spans="1:4">
      <c r="A168" t="str">
        <f>TEXT(IF('Deficit to GDP'!B173&lt;&gt;0,'Deficit to GDP'!B173, ""), "yyyy")</f>
        <v/>
      </c>
      <c r="B168" s="10" t="str">
        <f>IFERROR(IF(ISNUMBER('Deficit to GDP'!E173),TEXT('Deficit to GDP'!E173, "0.00"),""), "")</f>
        <v/>
      </c>
      <c r="C168" s="10" t="str">
        <f>IFERROR(IF(ISNUMBER('Deficit to GDP'!F173),TEXT('Deficit to GDP'!F173,"0.00"), ""), "")</f>
        <v/>
      </c>
      <c r="D168" t="str">
        <f>IFERROR(IF(ISNUMBER('Deficit to GDP'!B173),'Deficit to GDP'!H173,""), "")</f>
        <v/>
      </c>
    </row>
    <row r="169" spans="1:4">
      <c r="A169" t="str">
        <f>TEXT(IF('Deficit to GDP'!B174&lt;&gt;0,'Deficit to GDP'!B174, ""), "yyyy")</f>
        <v/>
      </c>
      <c r="B169" s="10" t="str">
        <f>IFERROR(IF(ISNUMBER('Deficit to GDP'!E174),TEXT('Deficit to GDP'!E174, "0.00"),""), "")</f>
        <v/>
      </c>
      <c r="C169" s="10" t="str">
        <f>IFERROR(IF(ISNUMBER('Deficit to GDP'!F174),TEXT('Deficit to GDP'!F174,"0.00"), ""), "")</f>
        <v/>
      </c>
      <c r="D169" t="str">
        <f>IFERROR(IF(ISNUMBER('Deficit to GDP'!B174),'Deficit to GDP'!H174,""), "")</f>
        <v/>
      </c>
    </row>
    <row r="170" spans="1:4">
      <c r="A170" t="str">
        <f>TEXT(IF('Deficit to GDP'!B175&lt;&gt;0,'Deficit to GDP'!B175, ""), "yyyy")</f>
        <v/>
      </c>
      <c r="B170" s="10" t="str">
        <f>IFERROR(IF(ISNUMBER('Deficit to GDP'!E175),TEXT('Deficit to GDP'!E175, "0.00"),""), "")</f>
        <v/>
      </c>
      <c r="C170" s="10" t="str">
        <f>IFERROR(IF(ISNUMBER('Deficit to GDP'!F175),TEXT('Deficit to GDP'!F175,"0.00"), ""), "")</f>
        <v/>
      </c>
      <c r="D170" t="str">
        <f>IFERROR(IF(ISNUMBER('Deficit to GDP'!B175),'Deficit to GDP'!H175,""), "")</f>
        <v/>
      </c>
    </row>
    <row r="171" spans="1:4">
      <c r="A171" t="str">
        <f>TEXT(IF('Deficit to GDP'!B176&lt;&gt;0,'Deficit to GDP'!B176, ""), "yyyy")</f>
        <v/>
      </c>
      <c r="B171" s="10" t="str">
        <f>IFERROR(IF(ISNUMBER('Deficit to GDP'!E176),TEXT('Deficit to GDP'!E176, "0.00"),""), "")</f>
        <v/>
      </c>
      <c r="C171" s="10" t="str">
        <f>IFERROR(IF(ISNUMBER('Deficit to GDP'!F176),TEXT('Deficit to GDP'!F176,"0.00"), ""), "")</f>
        <v/>
      </c>
      <c r="D171" t="str">
        <f>IFERROR(IF(ISNUMBER('Deficit to GDP'!B176),'Deficit to GDP'!H176,""), "")</f>
        <v/>
      </c>
    </row>
    <row r="172" spans="1:4">
      <c r="A172" t="str">
        <f>TEXT(IF('Deficit to GDP'!B177&lt;&gt;0,'Deficit to GDP'!B177, ""), "yyyy")</f>
        <v/>
      </c>
      <c r="B172" s="10" t="str">
        <f>IFERROR(IF(ISNUMBER('Deficit to GDP'!E177),TEXT('Deficit to GDP'!E177, "0.00"),""), "")</f>
        <v/>
      </c>
      <c r="C172" s="10" t="str">
        <f>IFERROR(IF(ISNUMBER('Deficit to GDP'!F177),TEXT('Deficit to GDP'!F177,"0.00"), ""), "")</f>
        <v/>
      </c>
      <c r="D172" t="str">
        <f>IFERROR(IF(ISNUMBER('Deficit to GDP'!B177),'Deficit to GDP'!H177,""), "")</f>
        <v/>
      </c>
    </row>
    <row r="173" spans="1:4">
      <c r="A173" t="str">
        <f>TEXT(IF('Deficit to GDP'!B178&lt;&gt;0,'Deficit to GDP'!B178, ""), "yyyy")</f>
        <v/>
      </c>
      <c r="B173" s="10" t="str">
        <f>IFERROR(IF(ISNUMBER('Deficit to GDP'!E178),TEXT('Deficit to GDP'!E178, "0.00"),""), "")</f>
        <v/>
      </c>
      <c r="C173" s="10" t="str">
        <f>IFERROR(IF(ISNUMBER('Deficit to GDP'!F178),TEXT('Deficit to GDP'!F178,"0.00"), ""), "")</f>
        <v/>
      </c>
      <c r="D173" t="str">
        <f>IFERROR(IF(ISNUMBER('Deficit to GDP'!B178),'Deficit to GDP'!H178,""), "")</f>
        <v/>
      </c>
    </row>
    <row r="174" spans="1:4">
      <c r="A174" t="str">
        <f>TEXT(IF('Deficit to GDP'!B179&lt;&gt;0,'Deficit to GDP'!B179, ""), "yyyy")</f>
        <v/>
      </c>
      <c r="B174" s="10" t="str">
        <f>IFERROR(IF(ISNUMBER('Deficit to GDP'!E179),TEXT('Deficit to GDP'!E179, "0.00"),""), "")</f>
        <v/>
      </c>
      <c r="C174" s="10" t="str">
        <f>IFERROR(IF(ISNUMBER('Deficit to GDP'!F179),TEXT('Deficit to GDP'!F179,"0.00"), ""), "")</f>
        <v/>
      </c>
      <c r="D174" t="str">
        <f>IFERROR(IF(ISNUMBER('Deficit to GDP'!B179),'Deficit to GDP'!H179,""), "")</f>
        <v/>
      </c>
    </row>
    <row r="175" spans="1:4">
      <c r="A175" t="str">
        <f>TEXT(IF('Deficit to GDP'!B180&lt;&gt;0,'Deficit to GDP'!B180, ""), "yyyy")</f>
        <v/>
      </c>
      <c r="B175" s="10" t="str">
        <f>IFERROR(IF(ISNUMBER('Deficit to GDP'!E180),TEXT('Deficit to GDP'!E180, "0.00"),""), "")</f>
        <v/>
      </c>
      <c r="C175" s="10" t="str">
        <f>IFERROR(IF(ISNUMBER('Deficit to GDP'!F180),TEXT('Deficit to GDP'!F180,"0.00"), ""), "")</f>
        <v/>
      </c>
      <c r="D175" t="str">
        <f>IFERROR(IF(ISNUMBER('Deficit to GDP'!B180),'Deficit to GDP'!H180,""), "")</f>
        <v/>
      </c>
    </row>
    <row r="176" spans="1:4">
      <c r="A176" t="str">
        <f>TEXT(IF('Deficit to GDP'!B181&lt;&gt;0,'Deficit to GDP'!B181, ""), "yyyy")</f>
        <v/>
      </c>
      <c r="B176" s="10" t="str">
        <f>IFERROR(IF(ISNUMBER('Deficit to GDP'!E181),TEXT('Deficit to GDP'!E181, "0.00"),""), "")</f>
        <v/>
      </c>
      <c r="C176" s="10" t="str">
        <f>IFERROR(IF(ISNUMBER('Deficit to GDP'!F181),TEXT('Deficit to GDP'!F181,"0.00"), ""), "")</f>
        <v/>
      </c>
      <c r="D176" t="str">
        <f>IFERROR(IF(ISNUMBER('Deficit to GDP'!B181),'Deficit to GDP'!H181,""), "")</f>
        <v/>
      </c>
    </row>
    <row r="177" spans="1:4">
      <c r="A177" t="str">
        <f>TEXT(IF('Deficit to GDP'!B182&lt;&gt;0,'Deficit to GDP'!B182, ""), "yyyy")</f>
        <v/>
      </c>
      <c r="B177" s="10" t="str">
        <f>IFERROR(IF(ISNUMBER('Deficit to GDP'!E182),TEXT('Deficit to GDP'!E182, "0.00"),""), "")</f>
        <v/>
      </c>
      <c r="C177" s="10" t="str">
        <f>IFERROR(IF(ISNUMBER('Deficit to GDP'!F182),TEXT('Deficit to GDP'!F182,"0.00"), ""), "")</f>
        <v/>
      </c>
      <c r="D177" t="str">
        <f>IFERROR(IF(ISNUMBER('Deficit to GDP'!B182),'Deficit to GDP'!H182,""), "")</f>
        <v/>
      </c>
    </row>
    <row r="178" spans="1:4">
      <c r="A178" t="str">
        <f>TEXT(IF('Deficit to GDP'!B183&lt;&gt;0,'Deficit to GDP'!B183, ""), "yyyy")</f>
        <v/>
      </c>
      <c r="B178" s="10" t="str">
        <f>IFERROR(IF(ISNUMBER('Deficit to GDP'!E183),TEXT('Deficit to GDP'!E183, "0.00"),""), "")</f>
        <v/>
      </c>
      <c r="C178" s="10" t="str">
        <f>IFERROR(IF(ISNUMBER('Deficit to GDP'!F183),TEXT('Deficit to GDP'!F183,"0.00"), ""), "")</f>
        <v/>
      </c>
      <c r="D178" t="str">
        <f>IFERROR(IF(ISNUMBER('Deficit to GDP'!B183),'Deficit to GDP'!H183,""), "")</f>
        <v/>
      </c>
    </row>
    <row r="179" spans="1:4">
      <c r="A179" t="str">
        <f>TEXT(IF('Deficit to GDP'!B184&lt;&gt;0,'Deficit to GDP'!B184, ""), "yyyy")</f>
        <v/>
      </c>
      <c r="B179" s="10" t="str">
        <f>IFERROR(IF(ISNUMBER('Deficit to GDP'!E184),TEXT('Deficit to GDP'!E184, "0.00"),""), "")</f>
        <v/>
      </c>
      <c r="C179" s="10" t="str">
        <f>IFERROR(IF(ISNUMBER('Deficit to GDP'!F184),TEXT('Deficit to GDP'!F184,"0.00"), ""), "")</f>
        <v/>
      </c>
      <c r="D179" t="str">
        <f>IFERROR(IF(ISNUMBER('Deficit to GDP'!B184),'Deficit to GDP'!H184,""), "")</f>
        <v/>
      </c>
    </row>
    <row r="180" spans="1:4">
      <c r="A180" t="str">
        <f>TEXT(IF('Deficit to GDP'!B185&lt;&gt;0,'Deficit to GDP'!B185, ""), "yyyy")</f>
        <v/>
      </c>
      <c r="B180" s="10" t="str">
        <f>IFERROR(IF(ISNUMBER('Deficit to GDP'!E185),TEXT('Deficit to GDP'!E185, "0.00"),""), "")</f>
        <v/>
      </c>
      <c r="C180" s="10" t="str">
        <f>IFERROR(IF(ISNUMBER('Deficit to GDP'!F185),TEXT('Deficit to GDP'!F185,"0.00"), ""), "")</f>
        <v/>
      </c>
      <c r="D180" t="str">
        <f>IFERROR(IF(ISNUMBER('Deficit to GDP'!B185),'Deficit to GDP'!H185,""), "")</f>
        <v/>
      </c>
    </row>
    <row r="181" spans="1:4">
      <c r="A181" t="str">
        <f>TEXT(IF('Deficit to GDP'!B186&lt;&gt;0,'Deficit to GDP'!B186, ""), "yyyy")</f>
        <v/>
      </c>
      <c r="B181" s="10" t="str">
        <f>IFERROR(IF(ISNUMBER('Deficit to GDP'!E186),TEXT('Deficit to GDP'!E186, "0.00"),""), "")</f>
        <v/>
      </c>
      <c r="C181" s="10" t="str">
        <f>IFERROR(IF(ISNUMBER('Deficit to GDP'!F186),TEXT('Deficit to GDP'!F186,"0.00"), ""), "")</f>
        <v/>
      </c>
      <c r="D181" t="str">
        <f>IFERROR(IF(ISNUMBER('Deficit to GDP'!B186),'Deficit to GDP'!H186,""), "")</f>
        <v/>
      </c>
    </row>
    <row r="182" spans="1:4">
      <c r="A182" t="str">
        <f>TEXT(IF('Deficit to GDP'!B187&lt;&gt;0,'Deficit to GDP'!B187, ""), "yyyy")</f>
        <v/>
      </c>
      <c r="B182" s="10" t="str">
        <f>IFERROR(IF(ISNUMBER('Deficit to GDP'!E187),TEXT('Deficit to GDP'!E187, "0.00"),""), "")</f>
        <v/>
      </c>
      <c r="C182" s="10" t="str">
        <f>IFERROR(IF(ISNUMBER('Deficit to GDP'!F187),TEXT('Deficit to GDP'!F187,"0.00"), ""), "")</f>
        <v/>
      </c>
      <c r="D182" t="str">
        <f>IFERROR(IF(ISNUMBER('Deficit to GDP'!B187),'Deficit to GDP'!H187,""), "")</f>
        <v/>
      </c>
    </row>
    <row r="183" spans="1:4">
      <c r="A183" t="str">
        <f>TEXT(IF('Deficit to GDP'!B188&lt;&gt;0,'Deficit to GDP'!B188, ""), "yyyy")</f>
        <v/>
      </c>
      <c r="B183" s="10" t="str">
        <f>IFERROR(IF(ISNUMBER('Deficit to GDP'!E188),TEXT('Deficit to GDP'!E188, "0.00"),""), "")</f>
        <v/>
      </c>
      <c r="C183" s="10" t="str">
        <f>IFERROR(IF(ISNUMBER('Deficit to GDP'!F188),TEXT('Deficit to GDP'!F188,"0.00"), ""), "")</f>
        <v/>
      </c>
      <c r="D183" t="str">
        <f>IFERROR(IF(ISNUMBER('Deficit to GDP'!B188),'Deficit to GDP'!H188,""), "")</f>
        <v/>
      </c>
    </row>
    <row r="184" spans="1:4">
      <c r="A184" t="str">
        <f>TEXT(IF('Deficit to GDP'!B189&lt;&gt;0,'Deficit to GDP'!B189, ""), "yyyy")</f>
        <v/>
      </c>
      <c r="B184" s="10" t="str">
        <f>IFERROR(IF(ISNUMBER('Deficit to GDP'!E189),TEXT('Deficit to GDP'!E189, "0.00"),""), "")</f>
        <v/>
      </c>
      <c r="C184" s="10" t="str">
        <f>IFERROR(IF(ISNUMBER('Deficit to GDP'!F189),TEXT('Deficit to GDP'!F189,"0.00"), ""), "")</f>
        <v/>
      </c>
      <c r="D184" t="str">
        <f>IFERROR(IF(ISNUMBER('Deficit to GDP'!B189),'Deficit to GDP'!H189,""), "")</f>
        <v/>
      </c>
    </row>
    <row r="185" spans="1:4">
      <c r="A185" t="str">
        <f>TEXT(IF('Deficit to GDP'!B190&lt;&gt;0,'Deficit to GDP'!B190, ""), "yyyy")</f>
        <v/>
      </c>
      <c r="B185" s="10" t="str">
        <f>IFERROR(IF(ISNUMBER('Deficit to GDP'!E190),TEXT('Deficit to GDP'!E190, "0.00"),""), "")</f>
        <v/>
      </c>
      <c r="C185" s="10" t="str">
        <f>IFERROR(IF(ISNUMBER('Deficit to GDP'!F190),TEXT('Deficit to GDP'!F190,"0.00"), ""), "")</f>
        <v/>
      </c>
      <c r="D185" t="str">
        <f>IFERROR(IF(ISNUMBER('Deficit to GDP'!B190),'Deficit to GDP'!H190,""), "")</f>
        <v/>
      </c>
    </row>
    <row r="186" spans="1:4">
      <c r="A186" t="str">
        <f>TEXT(IF('Deficit to GDP'!B191&lt;&gt;0,'Deficit to GDP'!B191, ""), "yyyy")</f>
        <v/>
      </c>
      <c r="B186" s="10" t="str">
        <f>IFERROR(IF(ISNUMBER('Deficit to GDP'!E191),TEXT('Deficit to GDP'!E191, "0.00"),""), "")</f>
        <v/>
      </c>
      <c r="C186" s="10" t="str">
        <f>IFERROR(IF(ISNUMBER('Deficit to GDP'!F191),TEXT('Deficit to GDP'!F191,"0.00"), ""), "")</f>
        <v/>
      </c>
      <c r="D186" t="str">
        <f>IFERROR(IF(ISNUMBER('Deficit to GDP'!B191),'Deficit to GDP'!H191,""), "")</f>
        <v/>
      </c>
    </row>
    <row r="187" spans="1:4">
      <c r="A187" t="str">
        <f>TEXT(IF('Deficit to GDP'!B192&lt;&gt;0,'Deficit to GDP'!B192, ""), "yyyy")</f>
        <v/>
      </c>
      <c r="B187" s="10" t="str">
        <f>IFERROR(IF(ISNUMBER('Deficit to GDP'!E192),TEXT('Deficit to GDP'!E192, "0.00"),""), "")</f>
        <v/>
      </c>
      <c r="C187" s="10" t="str">
        <f>IFERROR(IF(ISNUMBER('Deficit to GDP'!F192),TEXT('Deficit to GDP'!F192,"0.00"), ""), "")</f>
        <v/>
      </c>
      <c r="D187" t="str">
        <f>IFERROR(IF(ISNUMBER('Deficit to GDP'!B192),'Deficit to GDP'!H192,""), "")</f>
        <v/>
      </c>
    </row>
    <row r="188" spans="1:4">
      <c r="A188" t="str">
        <f>TEXT(IF('Deficit to GDP'!B193&lt;&gt;0,'Deficit to GDP'!B193, ""), "yyyy")</f>
        <v/>
      </c>
      <c r="B188" s="10" t="str">
        <f>IFERROR(IF(ISNUMBER('Deficit to GDP'!E193),TEXT('Deficit to GDP'!E193, "0.00"),""), "")</f>
        <v/>
      </c>
      <c r="C188" s="10" t="str">
        <f>IFERROR(IF(ISNUMBER('Deficit to GDP'!F193),TEXT('Deficit to GDP'!F193,"0.00"), ""), "")</f>
        <v/>
      </c>
      <c r="D188" t="str">
        <f>IFERROR(IF(ISNUMBER('Deficit to GDP'!B193),'Deficit to GDP'!H193,""), "")</f>
        <v/>
      </c>
    </row>
    <row r="189" spans="1:4">
      <c r="A189" t="str">
        <f>TEXT(IF('Deficit to GDP'!B194&lt;&gt;0,'Deficit to GDP'!B194, ""), "yyyy")</f>
        <v/>
      </c>
      <c r="B189" s="10" t="str">
        <f>IFERROR(IF(ISNUMBER('Deficit to GDP'!E194),TEXT('Deficit to GDP'!E194, "0.00"),""), "")</f>
        <v/>
      </c>
      <c r="C189" s="10" t="str">
        <f>IFERROR(IF(ISNUMBER('Deficit to GDP'!F194),TEXT('Deficit to GDP'!F194,"0.00"), ""), "")</f>
        <v/>
      </c>
      <c r="D189" t="str">
        <f>IFERROR(IF(ISNUMBER('Deficit to GDP'!B194),'Deficit to GDP'!H194,""), "")</f>
        <v/>
      </c>
    </row>
    <row r="190" spans="1:4">
      <c r="A190" t="str">
        <f>TEXT(IF('Deficit to GDP'!B195&lt;&gt;0,'Deficit to GDP'!B195, ""), "yyyy")</f>
        <v/>
      </c>
      <c r="B190" s="10" t="str">
        <f>IFERROR(IF(ISNUMBER('Deficit to GDP'!E195),TEXT('Deficit to GDP'!E195, "0.00"),""), "")</f>
        <v/>
      </c>
      <c r="C190" s="10" t="str">
        <f>IFERROR(IF(ISNUMBER('Deficit to GDP'!F195),TEXT('Deficit to GDP'!F195,"0.00"), ""), "")</f>
        <v/>
      </c>
      <c r="D190" t="str">
        <f>IFERROR(IF(ISNUMBER('Deficit to GDP'!B195),'Deficit to GDP'!H195,""), "")</f>
        <v/>
      </c>
    </row>
    <row r="191" spans="1:4">
      <c r="A191" t="str">
        <f>TEXT(IF('Deficit to GDP'!B196&lt;&gt;0,'Deficit to GDP'!B196, ""), "yyyy")</f>
        <v/>
      </c>
      <c r="B191" s="10" t="str">
        <f>IFERROR(IF(ISNUMBER('Deficit to GDP'!E196),TEXT('Deficit to GDP'!E196, "0.00"),""), "")</f>
        <v/>
      </c>
      <c r="C191" s="10" t="str">
        <f>IFERROR(IF(ISNUMBER('Deficit to GDP'!F196),TEXT('Deficit to GDP'!F196,"0.00"), ""), "")</f>
        <v/>
      </c>
      <c r="D191" t="str">
        <f>IFERROR(IF(ISNUMBER('Deficit to GDP'!B196),'Deficit to GDP'!H196,""), "")</f>
        <v/>
      </c>
    </row>
    <row r="192" spans="1:4">
      <c r="A192" t="str">
        <f>TEXT(IF('Deficit to GDP'!B197&lt;&gt;0,'Deficit to GDP'!B197, ""), "yyyy")</f>
        <v/>
      </c>
      <c r="B192" s="10" t="str">
        <f>IFERROR(IF(ISNUMBER('Deficit to GDP'!E197),TEXT('Deficit to GDP'!E197, "0.00"),""), "")</f>
        <v/>
      </c>
      <c r="C192" s="10" t="str">
        <f>IFERROR(IF(ISNUMBER('Deficit to GDP'!F197),TEXT('Deficit to GDP'!F197,"0.00"), ""), "")</f>
        <v/>
      </c>
      <c r="D192" t="str">
        <f>IFERROR(IF(ISNUMBER('Deficit to GDP'!B197),'Deficit to GDP'!H197,""), "")</f>
        <v/>
      </c>
    </row>
    <row r="193" spans="1:4">
      <c r="A193" t="str">
        <f>TEXT(IF('Deficit to GDP'!B198&lt;&gt;0,'Deficit to GDP'!B198, ""), "yyyy")</f>
        <v/>
      </c>
      <c r="B193" s="10" t="str">
        <f>IFERROR(IF(ISNUMBER('Deficit to GDP'!E198),TEXT('Deficit to GDP'!E198, "0.00"),""), "")</f>
        <v/>
      </c>
      <c r="C193" s="10" t="str">
        <f>IFERROR(IF(ISNUMBER('Deficit to GDP'!F198),TEXT('Deficit to GDP'!F198,"0.00"), ""), "")</f>
        <v/>
      </c>
      <c r="D193" t="str">
        <f>IFERROR(IF(ISNUMBER('Deficit to GDP'!B198),'Deficit to GDP'!H198,""), "")</f>
        <v/>
      </c>
    </row>
    <row r="194" spans="1:4">
      <c r="A194" t="str">
        <f>TEXT(IF('Deficit to GDP'!B199&lt;&gt;0,'Deficit to GDP'!B199, ""), "yyyy")</f>
        <v/>
      </c>
      <c r="B194" s="10" t="str">
        <f>IFERROR(IF(ISNUMBER('Deficit to GDP'!E199),TEXT('Deficit to GDP'!E199, "0.00"),""), "")</f>
        <v/>
      </c>
      <c r="C194" s="10" t="str">
        <f>IFERROR(IF(ISNUMBER('Deficit to GDP'!F199),TEXT('Deficit to GDP'!F199,"0.00"), ""), "")</f>
        <v/>
      </c>
      <c r="D194" t="str">
        <f>IFERROR(IF(ISNUMBER('Deficit to GDP'!B199),'Deficit to GDP'!H199,""), "")</f>
        <v/>
      </c>
    </row>
    <row r="195" spans="1:4">
      <c r="A195" t="str">
        <f>TEXT(IF('Deficit to GDP'!B200&lt;&gt;0,'Deficit to GDP'!B200, ""), "yyyy")</f>
        <v/>
      </c>
      <c r="B195" s="10" t="str">
        <f>IFERROR(IF(ISNUMBER('Deficit to GDP'!E200),TEXT('Deficit to GDP'!E200, "0.00"),""), "")</f>
        <v/>
      </c>
      <c r="C195" s="10" t="str">
        <f>IFERROR(IF(ISNUMBER('Deficit to GDP'!F200),TEXT('Deficit to GDP'!F200,"0.00"), ""), "")</f>
        <v/>
      </c>
      <c r="D195" t="str">
        <f>IFERROR(IF(ISNUMBER('Deficit to GDP'!B200),'Deficit to GDP'!H200,""), "")</f>
        <v/>
      </c>
    </row>
    <row r="196" spans="1:4">
      <c r="A196" t="str">
        <f>TEXT(IF('Deficit to GDP'!B201&lt;&gt;0,'Deficit to GDP'!B201, ""), "yyyy")</f>
        <v/>
      </c>
      <c r="B196" s="10" t="str">
        <f>IFERROR(IF(ISNUMBER('Deficit to GDP'!E201),TEXT('Deficit to GDP'!E201, "0.00"),""), "")</f>
        <v/>
      </c>
      <c r="C196" s="10" t="str">
        <f>IFERROR(IF(ISNUMBER('Deficit to GDP'!F201),TEXT('Deficit to GDP'!F201,"0.00"), ""), "")</f>
        <v/>
      </c>
      <c r="D196" t="str">
        <f>IFERROR(IF(ISNUMBER('Deficit to GDP'!B201),'Deficit to GDP'!H201,""), "")</f>
        <v/>
      </c>
    </row>
    <row r="197" spans="1:4">
      <c r="A197" t="str">
        <f>TEXT(IF('Deficit to GDP'!B202&lt;&gt;0,'Deficit to GDP'!B202, ""), "yyyy")</f>
        <v/>
      </c>
      <c r="B197" s="10" t="str">
        <f>IFERROR(IF(ISNUMBER('Deficit to GDP'!E202),TEXT('Deficit to GDP'!E202, "0.00"),""), "")</f>
        <v/>
      </c>
      <c r="C197" s="10" t="str">
        <f>IFERROR(IF(ISNUMBER('Deficit to GDP'!F202),TEXT('Deficit to GDP'!F202,"0.00"), ""), "")</f>
        <v/>
      </c>
      <c r="D197" t="str">
        <f>IFERROR(IF(ISNUMBER('Deficit to GDP'!B202),'Deficit to GDP'!H202,""), "")</f>
        <v/>
      </c>
    </row>
    <row r="198" spans="1:4">
      <c r="A198" t="str">
        <f>TEXT(IF('Deficit to GDP'!B203&lt;&gt;0,'Deficit to GDP'!B203, ""), "yyyy")</f>
        <v/>
      </c>
      <c r="B198" s="10" t="str">
        <f>IFERROR(IF(ISNUMBER('Deficit to GDP'!E203),TEXT('Deficit to GDP'!E203, "0.00"),""), "")</f>
        <v/>
      </c>
      <c r="C198" s="10" t="str">
        <f>IFERROR(IF(ISNUMBER('Deficit to GDP'!F203),TEXT('Deficit to GDP'!F203,"0.00"), ""), "")</f>
        <v/>
      </c>
      <c r="D198" t="str">
        <f>IFERROR(IF(ISNUMBER('Deficit to GDP'!B203),'Deficit to GDP'!H203,""), "")</f>
        <v/>
      </c>
    </row>
    <row r="199" spans="1:4">
      <c r="A199" t="str">
        <f>TEXT(IF('Deficit to GDP'!B204&lt;&gt;0,'Deficit to GDP'!B204, ""), "yyyy")</f>
        <v/>
      </c>
      <c r="B199" s="10" t="str">
        <f>IFERROR(IF(ISNUMBER('Deficit to GDP'!E204),TEXT('Deficit to GDP'!E204, "0.00"),""), "")</f>
        <v/>
      </c>
      <c r="C199" s="10" t="str">
        <f>IFERROR(IF(ISNUMBER('Deficit to GDP'!F204),TEXT('Deficit to GDP'!F204,"0.00"), ""), "")</f>
        <v/>
      </c>
      <c r="D199" t="str">
        <f>IFERROR(IF(ISNUMBER('Deficit to GDP'!B204),'Deficit to GDP'!H204,""), "")</f>
        <v/>
      </c>
    </row>
    <row r="200" spans="1:4">
      <c r="A200" t="str">
        <f>TEXT(IF('Deficit to GDP'!B205&lt;&gt;0,'Deficit to GDP'!B205, ""), "yyyy")</f>
        <v/>
      </c>
      <c r="B200" s="10" t="str">
        <f>IFERROR(IF(ISNUMBER('Deficit to GDP'!E205),TEXT('Deficit to GDP'!E205, "0.00"),""), "")</f>
        <v/>
      </c>
      <c r="C200" s="10" t="str">
        <f>IFERROR(IF(ISNUMBER('Deficit to GDP'!F205),TEXT('Deficit to GDP'!F205,"0.00"), ""), "")</f>
        <v/>
      </c>
      <c r="D200" t="str">
        <f>IFERROR(IF(ISNUMBER('Deficit to GDP'!B205),'Deficit to GDP'!H205,""), "")</f>
        <v/>
      </c>
    </row>
    <row r="201" spans="1:4">
      <c r="A201" t="str">
        <f>TEXT(IF('Deficit to GDP'!B206&lt;&gt;0,'Deficit to GDP'!B206, ""), "yyyy")</f>
        <v/>
      </c>
      <c r="B201" s="10" t="str">
        <f>IFERROR(IF(ISNUMBER('Deficit to GDP'!E206),TEXT('Deficit to GDP'!E206, "0.00"),""), "")</f>
        <v/>
      </c>
      <c r="C201" s="10" t="str">
        <f>IFERROR(IF(ISNUMBER('Deficit to GDP'!F206),TEXT('Deficit to GDP'!F206,"0.00"), ""), "")</f>
        <v/>
      </c>
      <c r="D201" t="str">
        <f>IFERROR(IF(ISNUMBER('Deficit to GDP'!B206),'Deficit to GDP'!H206,""), "")</f>
        <v/>
      </c>
    </row>
    <row r="202" spans="1:4">
      <c r="A202" t="str">
        <f>TEXT(IF('Deficit to GDP'!B207&lt;&gt;0,'Deficit to GDP'!B207, ""), "yyyy")</f>
        <v/>
      </c>
      <c r="B202" s="10" t="str">
        <f>IFERROR(IF(ISNUMBER('Deficit to GDP'!E207),TEXT('Deficit to GDP'!E207, "0.00"),""), "")</f>
        <v/>
      </c>
      <c r="C202" s="10" t="str">
        <f>IFERROR(IF(ISNUMBER('Deficit to GDP'!F207),TEXT('Deficit to GDP'!F207,"0.00"), ""), "")</f>
        <v/>
      </c>
      <c r="D202" t="str">
        <f>IFERROR(IF(ISNUMBER('Deficit to GDP'!B207),'Deficit to GDP'!H207,""), "")</f>
        <v/>
      </c>
    </row>
    <row r="203" spans="1:4">
      <c r="A203" t="str">
        <f>TEXT(IF('Deficit to GDP'!B208&lt;&gt;0,'Deficit to GDP'!B208, ""), "yyyy")</f>
        <v/>
      </c>
      <c r="B203" s="10" t="str">
        <f>IFERROR(IF(ISNUMBER('Deficit to GDP'!E208),TEXT('Deficit to GDP'!E208, "0.00"),""), "")</f>
        <v/>
      </c>
      <c r="C203" s="10" t="str">
        <f>IFERROR(IF(ISNUMBER('Deficit to GDP'!F208),TEXT('Deficit to GDP'!F208,"0.00"), ""), "")</f>
        <v/>
      </c>
      <c r="D203" t="str">
        <f>IFERROR(IF(ISNUMBER('Deficit to GDP'!B208),'Deficit to GDP'!H208,""), "")</f>
        <v/>
      </c>
    </row>
    <row r="204" spans="1:4">
      <c r="A204" t="str">
        <f>TEXT(IF('Deficit to GDP'!B209&lt;&gt;0,'Deficit to GDP'!B209, ""), "yyyy")</f>
        <v/>
      </c>
      <c r="B204" s="10" t="str">
        <f>IFERROR(IF(ISNUMBER('Deficit to GDP'!E209),TEXT('Deficit to GDP'!E209, "0.00"),""), "")</f>
        <v/>
      </c>
      <c r="C204" s="10" t="str">
        <f>IFERROR(IF(ISNUMBER('Deficit to GDP'!F209),TEXT('Deficit to GDP'!F209,"0.00"), ""), "")</f>
        <v/>
      </c>
      <c r="D204" t="str">
        <f>IFERROR(IF(ISNUMBER('Deficit to GDP'!B209),'Deficit to GDP'!H209,""), "")</f>
        <v/>
      </c>
    </row>
    <row r="205" spans="1:4">
      <c r="A205" t="str">
        <f>TEXT(IF('Deficit to GDP'!B210&lt;&gt;0,'Deficit to GDP'!B210, ""), "yyyy")</f>
        <v/>
      </c>
      <c r="B205" s="10" t="str">
        <f>IFERROR(IF(ISNUMBER('Deficit to GDP'!E210),TEXT('Deficit to GDP'!E210, "0.00"),""), "")</f>
        <v/>
      </c>
      <c r="C205" s="10" t="str">
        <f>IFERROR(IF(ISNUMBER('Deficit to GDP'!F210),TEXT('Deficit to GDP'!F210,"0.00"), ""), "")</f>
        <v/>
      </c>
      <c r="D205" t="str">
        <f>IFERROR(IF(ISNUMBER('Deficit to GDP'!B210),'Deficit to GDP'!H210,""), "")</f>
        <v/>
      </c>
    </row>
    <row r="206" spans="1:4">
      <c r="A206" t="str">
        <f>TEXT(IF('Deficit to GDP'!B211&lt;&gt;0,'Deficit to GDP'!B211, ""), "yyyy")</f>
        <v/>
      </c>
      <c r="B206" s="10" t="str">
        <f>IFERROR(IF(ISNUMBER('Deficit to GDP'!E211),TEXT('Deficit to GDP'!E211, "0.00"),""), "")</f>
        <v/>
      </c>
      <c r="C206" s="10" t="str">
        <f>IFERROR(IF(ISNUMBER('Deficit to GDP'!F211),TEXT('Deficit to GDP'!F211,"0.00"), ""), "")</f>
        <v/>
      </c>
      <c r="D206" t="str">
        <f>IFERROR(IF(ISNUMBER('Deficit to GDP'!B211),'Deficit to GDP'!H211,""), "")</f>
        <v/>
      </c>
    </row>
    <row r="207" spans="1:4">
      <c r="A207" t="str">
        <f>TEXT(IF('Deficit to GDP'!B212&lt;&gt;0,'Deficit to GDP'!B212, ""), "yyyy")</f>
        <v/>
      </c>
      <c r="B207" s="10" t="str">
        <f>IFERROR(IF(ISNUMBER('Deficit to GDP'!E212),TEXT('Deficit to GDP'!E212, "0.00"),""), "")</f>
        <v/>
      </c>
      <c r="C207" s="10" t="str">
        <f>IFERROR(IF(ISNUMBER('Deficit to GDP'!F212),TEXT('Deficit to GDP'!F212,"0.00"), ""), "")</f>
        <v/>
      </c>
      <c r="D207" t="str">
        <f>IFERROR(IF(ISNUMBER('Deficit to GDP'!B212),'Deficit to GDP'!H212,""), "")</f>
        <v/>
      </c>
    </row>
    <row r="208" spans="1:4">
      <c r="A208" t="str">
        <f>TEXT(IF('Deficit to GDP'!B213&lt;&gt;0,'Deficit to GDP'!B213, ""), "yyyy")</f>
        <v/>
      </c>
      <c r="B208" s="10" t="str">
        <f>IFERROR(IF(ISNUMBER('Deficit to GDP'!E213),TEXT('Deficit to GDP'!E213, "0.00"),""), "")</f>
        <v/>
      </c>
      <c r="C208" s="10" t="str">
        <f>IFERROR(IF(ISNUMBER('Deficit to GDP'!F213),TEXT('Deficit to GDP'!F213,"0.00"), ""), "")</f>
        <v/>
      </c>
      <c r="D208" t="str">
        <f>IFERROR(IF(ISNUMBER('Deficit to GDP'!B213),'Deficit to GDP'!H213,""), "")</f>
        <v/>
      </c>
    </row>
    <row r="209" spans="1:4">
      <c r="A209" t="str">
        <f>TEXT(IF('Deficit to GDP'!B214&lt;&gt;0,'Deficit to GDP'!B214, ""), "yyyy")</f>
        <v/>
      </c>
      <c r="B209" s="10" t="str">
        <f>IFERROR(IF(ISNUMBER('Deficit to GDP'!E214),TEXT('Deficit to GDP'!E214, "0.00"),""), "")</f>
        <v/>
      </c>
      <c r="C209" s="10" t="str">
        <f>IFERROR(IF(ISNUMBER('Deficit to GDP'!F214),TEXT('Deficit to GDP'!F214,"0.00"), ""), "")</f>
        <v/>
      </c>
      <c r="D209" t="str">
        <f>IFERROR(IF(ISNUMBER('Deficit to GDP'!B214),'Deficit to GDP'!H214,""), "")</f>
        <v/>
      </c>
    </row>
    <row r="210" spans="1:4">
      <c r="A210" t="str">
        <f>TEXT(IF('Deficit to GDP'!B215&lt;&gt;0,'Deficit to GDP'!B215, ""), "yyyy")</f>
        <v/>
      </c>
      <c r="B210" s="10" t="str">
        <f>IFERROR(IF(ISNUMBER('Deficit to GDP'!E215),TEXT('Deficit to GDP'!E215, "0.00"),""), "")</f>
        <v/>
      </c>
      <c r="C210" s="10" t="str">
        <f>IFERROR(IF(ISNUMBER('Deficit to GDP'!F215),TEXT('Deficit to GDP'!F215,"0.00"), ""), "")</f>
        <v/>
      </c>
      <c r="D210" t="str">
        <f>IFERROR(IF(ISNUMBER('Deficit to GDP'!B215),'Deficit to GDP'!H215,""), "")</f>
        <v/>
      </c>
    </row>
    <row r="211" spans="1:4">
      <c r="A211" t="str">
        <f>TEXT(IF('Deficit to GDP'!B216&lt;&gt;0,'Deficit to GDP'!B216, ""), "yyyy")</f>
        <v/>
      </c>
      <c r="B211" s="10" t="str">
        <f>IFERROR(IF(ISNUMBER('Deficit to GDP'!E216),TEXT('Deficit to GDP'!E216, "0.00"),""), "")</f>
        <v/>
      </c>
      <c r="C211" s="10" t="str">
        <f>IFERROR(IF(ISNUMBER('Deficit to GDP'!F216),TEXT('Deficit to GDP'!F216,"0.00"), ""), "")</f>
        <v/>
      </c>
      <c r="D211" t="str">
        <f>IFERROR(IF(ISNUMBER('Deficit to GDP'!B216),'Deficit to GDP'!H216,""), "")</f>
        <v/>
      </c>
    </row>
    <row r="212" spans="1:4">
      <c r="A212" t="str">
        <f>TEXT(IF('Deficit to GDP'!B217&lt;&gt;0,'Deficit to GDP'!B217, ""), "yyyy")</f>
        <v/>
      </c>
      <c r="B212" s="10" t="str">
        <f>IFERROR(IF(ISNUMBER('Deficit to GDP'!E217),TEXT('Deficit to GDP'!E217, "0.00"),""), "")</f>
        <v/>
      </c>
      <c r="C212" s="10" t="str">
        <f>IFERROR(IF(ISNUMBER('Deficit to GDP'!F217),TEXT('Deficit to GDP'!F217,"0.00"), ""), "")</f>
        <v/>
      </c>
      <c r="D212" t="str">
        <f>IFERROR(IF(ISNUMBER('Deficit to GDP'!B217),'Deficit to GDP'!H217,""), "")</f>
        <v/>
      </c>
    </row>
    <row r="213" spans="1:4">
      <c r="A213" t="str">
        <f>TEXT(IF('Deficit to GDP'!B218&lt;&gt;0,'Deficit to GDP'!B218, ""), "yyyy")</f>
        <v/>
      </c>
      <c r="B213" s="10" t="str">
        <f>IFERROR(IF(ISNUMBER('Deficit to GDP'!E218),TEXT('Deficit to GDP'!E218, "0.00"),""), "")</f>
        <v/>
      </c>
      <c r="C213" s="10" t="str">
        <f>IFERROR(IF(ISNUMBER('Deficit to GDP'!F218),TEXT('Deficit to GDP'!F218,"0.00"), ""), "")</f>
        <v/>
      </c>
      <c r="D213" t="str">
        <f>IFERROR(IF(ISNUMBER('Deficit to GDP'!B218),'Deficit to GDP'!H218,""), "")</f>
        <v/>
      </c>
    </row>
    <row r="214" spans="1:4">
      <c r="A214" t="str">
        <f>TEXT(IF('Deficit to GDP'!B219&lt;&gt;0,'Deficit to GDP'!B219, ""), "yyyy")</f>
        <v/>
      </c>
      <c r="B214" s="10" t="str">
        <f>IFERROR(IF(ISNUMBER('Deficit to GDP'!E219),TEXT('Deficit to GDP'!E219, "0.00"),""), "")</f>
        <v/>
      </c>
      <c r="C214" s="10" t="str">
        <f>IFERROR(IF(ISNUMBER('Deficit to GDP'!F219),TEXT('Deficit to GDP'!F219,"0.00"), ""), "")</f>
        <v/>
      </c>
      <c r="D214" t="str">
        <f>IFERROR(IF(ISNUMBER('Deficit to GDP'!B219),'Deficit to GDP'!H219,""), "")</f>
        <v/>
      </c>
    </row>
    <row r="215" spans="1:4">
      <c r="A215" t="str">
        <f>TEXT(IF('Deficit to GDP'!B220&lt;&gt;0,'Deficit to GDP'!B220, ""), "yyyy")</f>
        <v/>
      </c>
      <c r="B215" s="10" t="str">
        <f>IFERROR(IF(ISNUMBER('Deficit to GDP'!E220),TEXT('Deficit to GDP'!E220, "0.00"),""), "")</f>
        <v/>
      </c>
      <c r="C215" s="10" t="str">
        <f>IFERROR(IF(ISNUMBER('Deficit to GDP'!F220),TEXT('Deficit to GDP'!F220,"0.00"), ""), "")</f>
        <v/>
      </c>
      <c r="D215" t="str">
        <f>IFERROR(IF(ISNUMBER('Deficit to GDP'!B220),'Deficit to GDP'!H220,""), "")</f>
        <v/>
      </c>
    </row>
    <row r="216" spans="1:4">
      <c r="A216" t="str">
        <f>TEXT(IF('Deficit to GDP'!B221&lt;&gt;0,'Deficit to GDP'!B221, ""), "yyyy")</f>
        <v/>
      </c>
      <c r="B216" s="10" t="str">
        <f>IFERROR(IF(ISNUMBER('Deficit to GDP'!E221),TEXT('Deficit to GDP'!E221, "0.00"),""), "")</f>
        <v/>
      </c>
      <c r="C216" s="10" t="str">
        <f>IFERROR(IF(ISNUMBER('Deficit to GDP'!F221),TEXT('Deficit to GDP'!F221,"0.00"), ""), "")</f>
        <v/>
      </c>
      <c r="D216" t="str">
        <f>IFERROR(IF(ISNUMBER('Deficit to GDP'!B221),'Deficit to GDP'!H221,""), "")</f>
        <v/>
      </c>
    </row>
    <row r="217" spans="1:4">
      <c r="A217" t="str">
        <f>TEXT(IF('Deficit to GDP'!B222&lt;&gt;0,'Deficit to GDP'!B222, ""), "yyyy")</f>
        <v/>
      </c>
      <c r="B217" s="10" t="str">
        <f>IFERROR(IF(ISNUMBER('Deficit to GDP'!E222),TEXT('Deficit to GDP'!E222, "0.00"),""), "")</f>
        <v/>
      </c>
      <c r="C217" s="10" t="str">
        <f>IFERROR(IF(ISNUMBER('Deficit to GDP'!F222),TEXT('Deficit to GDP'!F222,"0.00"), ""), "")</f>
        <v/>
      </c>
      <c r="D217" t="str">
        <f>IFERROR(IF(ISNUMBER('Deficit to GDP'!B222),'Deficit to GDP'!H222,""), "")</f>
        <v/>
      </c>
    </row>
    <row r="218" spans="1:4">
      <c r="A218" t="str">
        <f>TEXT(IF('Deficit to GDP'!B223&lt;&gt;0,'Deficit to GDP'!B223, ""), "yyyy")</f>
        <v/>
      </c>
      <c r="B218" s="10" t="str">
        <f>IFERROR(IF(ISNUMBER('Deficit to GDP'!E223),TEXT('Deficit to GDP'!E223, "0.00"),""), "")</f>
        <v/>
      </c>
      <c r="C218" s="10" t="str">
        <f>IFERROR(IF(ISNUMBER('Deficit to GDP'!F223),TEXT('Deficit to GDP'!F223,"0.00"), ""), "")</f>
        <v/>
      </c>
      <c r="D218" t="str">
        <f>IFERROR(IF(ISNUMBER('Deficit to GDP'!B223),'Deficit to GDP'!H223,""), "")</f>
        <v/>
      </c>
    </row>
    <row r="219" spans="1:4">
      <c r="A219" t="str">
        <f>TEXT(IF('Deficit to GDP'!B224&lt;&gt;0,'Deficit to GDP'!B224, ""), "yyyy")</f>
        <v/>
      </c>
      <c r="B219" s="10" t="str">
        <f>IFERROR(IF(ISNUMBER('Deficit to GDP'!E224),TEXT('Deficit to GDP'!E224, "0.00"),""), "")</f>
        <v/>
      </c>
      <c r="C219" s="10" t="str">
        <f>IFERROR(IF(ISNUMBER('Deficit to GDP'!F224),TEXT('Deficit to GDP'!F224,"0.00"), ""), "")</f>
        <v/>
      </c>
      <c r="D219" t="str">
        <f>IFERROR(IF(ISNUMBER('Deficit to GDP'!B224),'Deficit to GDP'!H224,""), "")</f>
        <v/>
      </c>
    </row>
    <row r="220" spans="1:4">
      <c r="A220" t="str">
        <f>TEXT(IF('Deficit to GDP'!B225&lt;&gt;0,'Deficit to GDP'!B225, ""), "yyyy")</f>
        <v/>
      </c>
      <c r="B220" s="10" t="str">
        <f>IFERROR(IF(ISNUMBER('Deficit to GDP'!E225),TEXT('Deficit to GDP'!E225, "0.00"),""), "")</f>
        <v/>
      </c>
      <c r="C220" s="10" t="str">
        <f>IFERROR(IF(ISNUMBER('Deficit to GDP'!F225),TEXT('Deficit to GDP'!F225,"0.00"), ""), "")</f>
        <v/>
      </c>
      <c r="D220" t="str">
        <f>IFERROR(IF(ISNUMBER('Deficit to GDP'!B225),'Deficit to GDP'!H225,""), "")</f>
        <v/>
      </c>
    </row>
    <row r="221" spans="1:4">
      <c r="A221" t="str">
        <f>TEXT(IF('Deficit to GDP'!B226&lt;&gt;0,'Deficit to GDP'!B226, ""), "yyyy")</f>
        <v/>
      </c>
      <c r="B221" s="10" t="str">
        <f>IFERROR(IF(ISNUMBER('Deficit to GDP'!E226),TEXT('Deficit to GDP'!E226, "0.00"),""), "")</f>
        <v/>
      </c>
      <c r="C221" s="10" t="str">
        <f>IFERROR(IF(ISNUMBER('Deficit to GDP'!F226),TEXT('Deficit to GDP'!F226,"0.00"), ""), "")</f>
        <v/>
      </c>
      <c r="D221" t="str">
        <f>IFERROR(IF(ISNUMBER('Deficit to GDP'!B226),'Deficit to GDP'!H226,""), "")</f>
        <v/>
      </c>
    </row>
    <row r="222" spans="1:4">
      <c r="A222" t="str">
        <f>TEXT(IF('Deficit to GDP'!B227&lt;&gt;0,'Deficit to GDP'!B227, ""), "yyyy")</f>
        <v/>
      </c>
      <c r="B222" s="10" t="str">
        <f>IFERROR(IF(ISNUMBER('Deficit to GDP'!E227),TEXT('Deficit to GDP'!E227, "0.00"),""), "")</f>
        <v/>
      </c>
      <c r="C222" s="10" t="str">
        <f>IFERROR(IF(ISNUMBER('Deficit to GDP'!F227),TEXT('Deficit to GDP'!F227,"0.00"), ""), "")</f>
        <v/>
      </c>
      <c r="D222" t="str">
        <f>IFERROR(IF(ISNUMBER('Deficit to GDP'!B227),'Deficit to GDP'!H227,""), "")</f>
        <v/>
      </c>
    </row>
    <row r="223" spans="1:4">
      <c r="A223" t="str">
        <f>TEXT(IF('Deficit to GDP'!B228&lt;&gt;0,'Deficit to GDP'!B228, ""), "yyyy")</f>
        <v/>
      </c>
      <c r="B223" s="10" t="str">
        <f>IFERROR(IF(ISNUMBER('Deficit to GDP'!E228),TEXT('Deficit to GDP'!E228, "0.00"),""), "")</f>
        <v/>
      </c>
      <c r="C223" s="10" t="str">
        <f>IFERROR(IF(ISNUMBER('Deficit to GDP'!F228),TEXT('Deficit to GDP'!F228,"0.00"), ""), "")</f>
        <v/>
      </c>
      <c r="D223" t="str">
        <f>IFERROR(IF(ISNUMBER('Deficit to GDP'!B228),'Deficit to GDP'!H228,""), "")</f>
        <v/>
      </c>
    </row>
    <row r="224" spans="1:4">
      <c r="A224" t="str">
        <f>TEXT(IF('Deficit to GDP'!B229&lt;&gt;0,'Deficit to GDP'!B229, ""), "yyyy")</f>
        <v/>
      </c>
      <c r="B224" s="10" t="str">
        <f>IFERROR(IF(ISNUMBER('Deficit to GDP'!E229),TEXT('Deficit to GDP'!E229, "0.00"),""), "")</f>
        <v/>
      </c>
      <c r="C224" s="10" t="str">
        <f>IFERROR(IF(ISNUMBER('Deficit to GDP'!F229),TEXT('Deficit to GDP'!F229,"0.00"), ""), "")</f>
        <v/>
      </c>
      <c r="D224" t="str">
        <f>IFERROR(IF(ISNUMBER('Deficit to GDP'!B229),'Deficit to GDP'!H229,""), "")</f>
        <v/>
      </c>
    </row>
    <row r="225" spans="1:4">
      <c r="A225" t="str">
        <f>TEXT(IF('Deficit to GDP'!B230&lt;&gt;0,'Deficit to GDP'!B230, ""), "yyyy")</f>
        <v/>
      </c>
      <c r="B225" s="10" t="str">
        <f>IFERROR(IF(ISNUMBER('Deficit to GDP'!E230),TEXT('Deficit to GDP'!E230, "0.00"),""), "")</f>
        <v/>
      </c>
      <c r="C225" s="10" t="str">
        <f>IFERROR(IF(ISNUMBER('Deficit to GDP'!F230),TEXT('Deficit to GDP'!F230,"0.00"), ""), "")</f>
        <v/>
      </c>
      <c r="D225" t="str">
        <f>IFERROR(IF(ISNUMBER('Deficit to GDP'!B230),'Deficit to GDP'!H230,""), "")</f>
        <v/>
      </c>
    </row>
    <row r="226" spans="1:4">
      <c r="A226" t="str">
        <f>TEXT(IF('Deficit to GDP'!B231&lt;&gt;0,'Deficit to GDP'!B231, ""), "yyyy")</f>
        <v/>
      </c>
      <c r="B226" s="10" t="str">
        <f>IFERROR(IF(ISNUMBER('Deficit to GDP'!E231),TEXT('Deficit to GDP'!E231, "0.00"),""), "")</f>
        <v/>
      </c>
      <c r="C226" s="10" t="str">
        <f>IFERROR(IF(ISNUMBER('Deficit to GDP'!F231),TEXT('Deficit to GDP'!F231,"0.00"), ""), "")</f>
        <v/>
      </c>
      <c r="D226" t="str">
        <f>IFERROR(IF(ISNUMBER('Deficit to GDP'!B231),'Deficit to GDP'!H231,""), "")</f>
        <v/>
      </c>
    </row>
    <row r="227" spans="1:4">
      <c r="A227" t="str">
        <f>TEXT(IF('Deficit to GDP'!B232&lt;&gt;0,'Deficit to GDP'!B232, ""), "yyyy")</f>
        <v/>
      </c>
      <c r="B227" s="10" t="str">
        <f>IFERROR(IF(ISNUMBER('Deficit to GDP'!E232),TEXT('Deficit to GDP'!E232, "0.00"),""), "")</f>
        <v/>
      </c>
      <c r="C227" s="10" t="str">
        <f>IFERROR(IF(ISNUMBER('Deficit to GDP'!F232),TEXT('Deficit to GDP'!F232,"0.00"), ""), "")</f>
        <v/>
      </c>
      <c r="D227" t="str">
        <f>IFERROR(IF(ISNUMBER('Deficit to GDP'!B232),'Deficit to GDP'!H232,""), "")</f>
        <v/>
      </c>
    </row>
    <row r="228" spans="1:4">
      <c r="A228" t="str">
        <f>TEXT(IF('Deficit to GDP'!B233&lt;&gt;0,'Deficit to GDP'!B233, ""), "yyyy")</f>
        <v/>
      </c>
      <c r="B228" s="10" t="str">
        <f>IFERROR(IF(ISNUMBER('Deficit to GDP'!E233),TEXT('Deficit to GDP'!E233, "0.00"),""), "")</f>
        <v/>
      </c>
      <c r="C228" s="10" t="str">
        <f>IFERROR(IF(ISNUMBER('Deficit to GDP'!F233),TEXT('Deficit to GDP'!F233,"0.00"), ""), "")</f>
        <v/>
      </c>
      <c r="D228" t="str">
        <f>IFERROR(IF(ISNUMBER('Deficit to GDP'!B233),'Deficit to GDP'!H233,""), "")</f>
        <v/>
      </c>
    </row>
    <row r="229" spans="1:4">
      <c r="A229" t="str">
        <f>TEXT(IF('Deficit to GDP'!B234&lt;&gt;0,'Deficit to GDP'!B234, ""), "yyyy")</f>
        <v/>
      </c>
      <c r="B229" s="10" t="str">
        <f>IFERROR(IF(ISNUMBER('Deficit to GDP'!E234),TEXT('Deficit to GDP'!E234, "0.00"),""), "")</f>
        <v/>
      </c>
      <c r="C229" s="10" t="str">
        <f>IFERROR(IF(ISNUMBER('Deficit to GDP'!F234),TEXT('Deficit to GDP'!F234,"0.00"), ""), "")</f>
        <v/>
      </c>
      <c r="D229" t="str">
        <f>IFERROR(IF(ISNUMBER('Deficit to GDP'!B234),'Deficit to GDP'!H234,""), "")</f>
        <v/>
      </c>
    </row>
    <row r="230" spans="1:4">
      <c r="A230" t="str">
        <f>TEXT(IF('Deficit to GDP'!B235&lt;&gt;0,'Deficit to GDP'!B235, ""), "yyyy")</f>
        <v/>
      </c>
      <c r="B230" s="10" t="str">
        <f>IFERROR(IF(ISNUMBER('Deficit to GDP'!E235),TEXT('Deficit to GDP'!E235, "0.00"),""), "")</f>
        <v/>
      </c>
      <c r="C230" s="10" t="str">
        <f>IFERROR(IF(ISNUMBER('Deficit to GDP'!F235),TEXT('Deficit to GDP'!F235,"0.00"), ""), "")</f>
        <v/>
      </c>
      <c r="D230" t="str">
        <f>IFERROR(IF(ISNUMBER('Deficit to GDP'!B235),'Deficit to GDP'!H235,""), "")</f>
        <v/>
      </c>
    </row>
    <row r="231" spans="1:4">
      <c r="A231" t="str">
        <f>TEXT(IF('Deficit to GDP'!B236&lt;&gt;0,'Deficit to GDP'!B236, ""), "yyyy")</f>
        <v/>
      </c>
      <c r="B231" s="10" t="str">
        <f>IFERROR(IF(ISNUMBER('Deficit to GDP'!E236),TEXT('Deficit to GDP'!E236, "0.00"),""), "")</f>
        <v/>
      </c>
      <c r="C231" s="10" t="str">
        <f>IFERROR(IF(ISNUMBER('Deficit to GDP'!F236),TEXT('Deficit to GDP'!F236,"0.00"), ""), "")</f>
        <v/>
      </c>
      <c r="D231" t="str">
        <f>IFERROR(IF(ISNUMBER('Deficit to GDP'!B236),'Deficit to GDP'!H236,""), "")</f>
        <v/>
      </c>
    </row>
    <row r="232" spans="1:4">
      <c r="A232" t="str">
        <f>TEXT(IF('Deficit to GDP'!B237&lt;&gt;0,'Deficit to GDP'!B237, ""), "yyyy")</f>
        <v/>
      </c>
      <c r="B232" s="10" t="str">
        <f>IFERROR(IF(ISNUMBER('Deficit to GDP'!E237),TEXT('Deficit to GDP'!E237, "0.00"),""), "")</f>
        <v/>
      </c>
      <c r="C232" s="10" t="str">
        <f>IFERROR(IF(ISNUMBER('Deficit to GDP'!F237),TEXT('Deficit to GDP'!F237,"0.00"), ""), "")</f>
        <v/>
      </c>
      <c r="D232" t="str">
        <f>IFERROR(IF(ISNUMBER('Deficit to GDP'!B237),'Deficit to GDP'!H237,""), "")</f>
        <v/>
      </c>
    </row>
    <row r="233" spans="1:4">
      <c r="A233" t="str">
        <f>TEXT(IF('Deficit to GDP'!B238&lt;&gt;0,'Deficit to GDP'!B238, ""), "yyyy")</f>
        <v/>
      </c>
      <c r="B233" s="10" t="str">
        <f>IFERROR(IF(ISNUMBER('Deficit to GDP'!E238),TEXT('Deficit to GDP'!E238, "0.00"),""), "")</f>
        <v/>
      </c>
      <c r="C233" s="10" t="str">
        <f>IFERROR(IF(ISNUMBER('Deficit to GDP'!F238),TEXT('Deficit to GDP'!F238,"0.00"), ""), "")</f>
        <v/>
      </c>
      <c r="D233" t="str">
        <f>IFERROR(IF(ISNUMBER('Deficit to GDP'!B238),'Deficit to GDP'!H238,""), "")</f>
        <v/>
      </c>
    </row>
    <row r="234" spans="1:4">
      <c r="A234" t="str">
        <f>TEXT(IF('Deficit to GDP'!B239&lt;&gt;0,'Deficit to GDP'!B239, ""), "yyyy")</f>
        <v/>
      </c>
      <c r="B234" s="10" t="str">
        <f>IFERROR(IF(ISNUMBER('Deficit to GDP'!E239),TEXT('Deficit to GDP'!E239, "0.00"),""), "")</f>
        <v/>
      </c>
      <c r="C234" s="10" t="str">
        <f>IFERROR(IF(ISNUMBER('Deficit to GDP'!F239),TEXT('Deficit to GDP'!F239,"0.00"), ""), "")</f>
        <v/>
      </c>
      <c r="D234" t="str">
        <f>IFERROR(IF(ISNUMBER('Deficit to GDP'!B239),'Deficit to GDP'!H239,""), "")</f>
        <v/>
      </c>
    </row>
    <row r="235" spans="1:4">
      <c r="A235" t="str">
        <f>TEXT(IF('Deficit to GDP'!B240&lt;&gt;0,'Deficit to GDP'!B240, ""), "yyyy")</f>
        <v/>
      </c>
      <c r="B235" s="10" t="str">
        <f>IFERROR(IF(ISNUMBER('Deficit to GDP'!E240),TEXT('Deficit to GDP'!E240, "0.00"),""), "")</f>
        <v/>
      </c>
      <c r="C235" s="10" t="str">
        <f>IFERROR(IF(ISNUMBER('Deficit to GDP'!F240),TEXT('Deficit to GDP'!F240,"0.00"), ""), "")</f>
        <v/>
      </c>
      <c r="D235" t="str">
        <f>IFERROR(IF(ISNUMBER('Deficit to GDP'!B240),'Deficit to GDP'!H240,""), "")</f>
        <v/>
      </c>
    </row>
    <row r="236" spans="1:4">
      <c r="A236" t="str">
        <f>TEXT(IF('Deficit to GDP'!B241&lt;&gt;0,'Deficit to GDP'!B241, ""), "yyyy")</f>
        <v/>
      </c>
      <c r="B236" s="10" t="str">
        <f>IFERROR(IF(ISNUMBER('Deficit to GDP'!E241),TEXT('Deficit to GDP'!E241, "0.00"),""), "")</f>
        <v/>
      </c>
      <c r="C236" s="10" t="str">
        <f>IFERROR(IF(ISNUMBER('Deficit to GDP'!F241),TEXT('Deficit to GDP'!F241,"0.00"), ""), "")</f>
        <v/>
      </c>
      <c r="D236" t="str">
        <f>IFERROR(IF(ISNUMBER('Deficit to GDP'!B241),'Deficit to GDP'!H241,""), "")</f>
        <v/>
      </c>
    </row>
    <row r="237" spans="1:4">
      <c r="A237" t="str">
        <f>TEXT(IF('Deficit to GDP'!B242&lt;&gt;0,'Deficit to GDP'!B242, ""), "yyyy")</f>
        <v/>
      </c>
      <c r="B237" s="10" t="str">
        <f>IFERROR(IF(ISNUMBER('Deficit to GDP'!E242),TEXT('Deficit to GDP'!E242, "0.00"),""), "")</f>
        <v/>
      </c>
      <c r="C237" s="10" t="str">
        <f>IFERROR(IF(ISNUMBER('Deficit to GDP'!F242),TEXT('Deficit to GDP'!F242,"0.00"), ""), "")</f>
        <v/>
      </c>
      <c r="D237" t="str">
        <f>IFERROR(IF(ISNUMBER('Deficit to GDP'!B242),'Deficit to GDP'!H242,""), "")</f>
        <v/>
      </c>
    </row>
    <row r="238" spans="1:4">
      <c r="A238" t="str">
        <f>TEXT(IF('Deficit to GDP'!B243&lt;&gt;0,'Deficit to GDP'!B243, ""), "yyyy")</f>
        <v/>
      </c>
      <c r="B238" s="10" t="str">
        <f>IFERROR(IF(ISNUMBER('Deficit to GDP'!E243),TEXT('Deficit to GDP'!E243, "0.00"),""), "")</f>
        <v/>
      </c>
      <c r="C238" s="10" t="str">
        <f>IFERROR(IF(ISNUMBER('Deficit to GDP'!F243),TEXT('Deficit to GDP'!F243,"0.00"), ""), "")</f>
        <v/>
      </c>
      <c r="D238" t="str">
        <f>IFERROR(IF(ISNUMBER('Deficit to GDP'!B243),'Deficit to GDP'!H243,""), "")</f>
        <v/>
      </c>
    </row>
    <row r="239" spans="1:4">
      <c r="A239" t="str">
        <f>TEXT(IF('Deficit to GDP'!B244&lt;&gt;0,'Deficit to GDP'!B244, ""), "yyyy")</f>
        <v/>
      </c>
      <c r="B239" s="10" t="str">
        <f>IFERROR(IF(ISNUMBER('Deficit to GDP'!E244),TEXT('Deficit to GDP'!E244, "0.00"),""), "")</f>
        <v/>
      </c>
      <c r="C239" s="10" t="str">
        <f>IFERROR(IF(ISNUMBER('Deficit to GDP'!F244),TEXT('Deficit to GDP'!F244,"0.00"), ""), "")</f>
        <v/>
      </c>
      <c r="D239" t="str">
        <f>IFERROR(IF(ISNUMBER('Deficit to GDP'!B244),'Deficit to GDP'!H244,""), "")</f>
        <v/>
      </c>
    </row>
    <row r="240" spans="1:4">
      <c r="A240" t="str">
        <f>TEXT(IF('Deficit to GDP'!B245&lt;&gt;0,'Deficit to GDP'!B245, ""), "yyyy")</f>
        <v/>
      </c>
      <c r="B240" s="10" t="str">
        <f>IFERROR(IF(ISNUMBER('Deficit to GDP'!E245),TEXT('Deficit to GDP'!E245, "0.00"),""), "")</f>
        <v/>
      </c>
      <c r="C240" s="10" t="str">
        <f>IFERROR(IF(ISNUMBER('Deficit to GDP'!F245),TEXT('Deficit to GDP'!F245,"0.00"), ""), "")</f>
        <v/>
      </c>
      <c r="D240" t="str">
        <f>IFERROR(IF(ISNUMBER('Deficit to GDP'!B245),'Deficit to GDP'!H245,""), "")</f>
        <v/>
      </c>
    </row>
    <row r="241" spans="1:4">
      <c r="A241" t="str">
        <f>TEXT(IF('Deficit to GDP'!B246&lt;&gt;0,'Deficit to GDP'!B246, ""), "yyyy")</f>
        <v/>
      </c>
      <c r="B241" s="10" t="str">
        <f>IFERROR(IF(ISNUMBER('Deficit to GDP'!E246),TEXT('Deficit to GDP'!E246, "0.00"),""), "")</f>
        <v/>
      </c>
      <c r="C241" s="10" t="str">
        <f>IFERROR(IF(ISNUMBER('Deficit to GDP'!F246),TEXT('Deficit to GDP'!F246,"0.00"), ""), "")</f>
        <v/>
      </c>
      <c r="D241" t="str">
        <f>IFERROR(IF(ISNUMBER('Deficit to GDP'!B246),'Deficit to GDP'!H246,""), "")</f>
        <v/>
      </c>
    </row>
    <row r="242" spans="1:4">
      <c r="A242" t="str">
        <f>TEXT(IF('Deficit to GDP'!B247&lt;&gt;0,'Deficit to GDP'!B247, ""), "yyyy")</f>
        <v/>
      </c>
      <c r="B242" s="10" t="str">
        <f>IFERROR(IF(ISNUMBER('Deficit to GDP'!E247),TEXT('Deficit to GDP'!E247, "0.00"),""), "")</f>
        <v/>
      </c>
      <c r="C242" s="10" t="str">
        <f>IFERROR(IF(ISNUMBER('Deficit to GDP'!F247),TEXT('Deficit to GDP'!F247,"0.00"), ""), "")</f>
        <v/>
      </c>
      <c r="D242" t="str">
        <f>IFERROR(IF(ISNUMBER('Deficit to GDP'!B247),'Deficit to GDP'!H247,""), "")</f>
        <v/>
      </c>
    </row>
    <row r="243" spans="1:4">
      <c r="A243" t="str">
        <f>TEXT(IF('Deficit to GDP'!B248&lt;&gt;0,'Deficit to GDP'!B248, ""), "yyyy")</f>
        <v/>
      </c>
      <c r="B243" s="10" t="str">
        <f>IFERROR(IF(ISNUMBER('Deficit to GDP'!E248),TEXT('Deficit to GDP'!E248, "0.00"),""), "")</f>
        <v/>
      </c>
      <c r="C243" s="10" t="str">
        <f>IFERROR(IF(ISNUMBER('Deficit to GDP'!F248),TEXT('Deficit to GDP'!F248,"0.00"), ""), "")</f>
        <v/>
      </c>
      <c r="D243" t="str">
        <f>IFERROR(IF(ISNUMBER('Deficit to GDP'!B248),'Deficit to GDP'!H248,""), "")</f>
        <v/>
      </c>
    </row>
    <row r="244" spans="1:4">
      <c r="A244" t="str">
        <f>TEXT(IF('Deficit to GDP'!B249&lt;&gt;0,'Deficit to GDP'!B249, ""), "yyyy")</f>
        <v/>
      </c>
      <c r="B244" s="10" t="str">
        <f>IFERROR(IF(ISNUMBER('Deficit to GDP'!E249),TEXT('Deficit to GDP'!E249, "0.00"),""), "")</f>
        <v/>
      </c>
      <c r="C244" s="10" t="str">
        <f>IFERROR(IF(ISNUMBER('Deficit to GDP'!F249),TEXT('Deficit to GDP'!F249,"0.00"), ""), "")</f>
        <v/>
      </c>
      <c r="D244" t="str">
        <f>IFERROR(IF(ISNUMBER('Deficit to GDP'!B249),'Deficit to GDP'!H249,""), "")</f>
        <v/>
      </c>
    </row>
    <row r="245" spans="1:4">
      <c r="A245" t="str">
        <f>TEXT(IF('Deficit to GDP'!B250&lt;&gt;0,'Deficit to GDP'!B250, ""), "yyyy")</f>
        <v/>
      </c>
      <c r="B245" s="10" t="str">
        <f>IFERROR(IF(ISNUMBER('Deficit to GDP'!E250),TEXT('Deficit to GDP'!E250, "0.00"),""), "")</f>
        <v/>
      </c>
      <c r="C245" s="10" t="str">
        <f>IFERROR(IF(ISNUMBER('Deficit to GDP'!F250),TEXT('Deficit to GDP'!F250,"0.00"), ""), "")</f>
        <v/>
      </c>
      <c r="D245" t="str">
        <f>IFERROR(IF(ISNUMBER('Deficit to GDP'!B250),'Deficit to GDP'!H250,""), "")</f>
        <v/>
      </c>
    </row>
    <row r="246" spans="1:4">
      <c r="A246" t="str">
        <f>TEXT(IF('Deficit to GDP'!B251&lt;&gt;0,'Deficit to GDP'!B251, ""), "yyyy")</f>
        <v/>
      </c>
      <c r="B246" s="10" t="str">
        <f>IFERROR(IF(ISNUMBER('Deficit to GDP'!E251),TEXT('Deficit to GDP'!E251, "0.00"),""), "")</f>
        <v/>
      </c>
      <c r="C246" s="10" t="str">
        <f>IFERROR(IF(ISNUMBER('Deficit to GDP'!F251),TEXT('Deficit to GDP'!F251,"0.00"), ""), "")</f>
        <v/>
      </c>
      <c r="D246" t="str">
        <f>IFERROR(IF(ISNUMBER('Deficit to GDP'!B251),'Deficit to GDP'!H251,""), "")</f>
        <v/>
      </c>
    </row>
    <row r="247" spans="1:4">
      <c r="A247" t="str">
        <f>TEXT(IF('Deficit to GDP'!B252&lt;&gt;0,'Deficit to GDP'!B252, ""), "yyyy")</f>
        <v/>
      </c>
      <c r="B247" s="10" t="str">
        <f>IFERROR(IF(ISNUMBER('Deficit to GDP'!E252),TEXT('Deficit to GDP'!E252, "0.00"),""), "")</f>
        <v/>
      </c>
      <c r="C247" s="10" t="str">
        <f>IFERROR(IF(ISNUMBER('Deficit to GDP'!F252),TEXT('Deficit to GDP'!F252,"0.00"), ""), "")</f>
        <v/>
      </c>
      <c r="D247" t="str">
        <f>IFERROR(IF(ISNUMBER('Deficit to GDP'!B252),'Deficit to GDP'!H252,""), "")</f>
        <v/>
      </c>
    </row>
    <row r="248" spans="1:4">
      <c r="A248" t="str">
        <f>TEXT(IF('Deficit to GDP'!B253&lt;&gt;0,'Deficit to GDP'!B253, ""), "yyyy")</f>
        <v/>
      </c>
      <c r="B248" s="10" t="str">
        <f>IFERROR(IF(ISNUMBER('Deficit to GDP'!E253),TEXT('Deficit to GDP'!E253, "0.00"),""), "")</f>
        <v/>
      </c>
      <c r="C248" s="10" t="str">
        <f>IFERROR(IF(ISNUMBER('Deficit to GDP'!F253),TEXT('Deficit to GDP'!F253,"0.00"), ""), "")</f>
        <v/>
      </c>
      <c r="D248" t="str">
        <f>IFERROR(IF(ISNUMBER('Deficit to GDP'!B253),'Deficit to GDP'!H253,""), "")</f>
        <v/>
      </c>
    </row>
    <row r="249" spans="1:4">
      <c r="A249" t="str">
        <f>TEXT(IF('Deficit to GDP'!B254&lt;&gt;0,'Deficit to GDP'!B254, ""), "yyyy")</f>
        <v/>
      </c>
      <c r="B249" s="10" t="str">
        <f>IFERROR(IF(ISNUMBER('Deficit to GDP'!E254),TEXT('Deficit to GDP'!E254, "0.00"),""), "")</f>
        <v/>
      </c>
      <c r="C249" s="10" t="str">
        <f>IFERROR(IF(ISNUMBER('Deficit to GDP'!F254),TEXT('Deficit to GDP'!F254,"0.00"), ""), "")</f>
        <v/>
      </c>
      <c r="D249" t="str">
        <f>IFERROR(IF(ISNUMBER('Deficit to GDP'!B254),'Deficit to GDP'!H254,""), "")</f>
        <v/>
      </c>
    </row>
    <row r="250" spans="1:4">
      <c r="A250" t="str">
        <f>TEXT(IF('Deficit to GDP'!B255&lt;&gt;0,'Deficit to GDP'!B255, ""), "yyyy")</f>
        <v/>
      </c>
      <c r="B250" s="10" t="str">
        <f>IFERROR(IF(ISNUMBER('Deficit to GDP'!E255),TEXT('Deficit to GDP'!E255, "0.00"),""), "")</f>
        <v/>
      </c>
      <c r="C250" s="10" t="str">
        <f>IFERROR(IF(ISNUMBER('Deficit to GDP'!F255),TEXT('Deficit to GDP'!F255,"0.00"), ""), "")</f>
        <v/>
      </c>
      <c r="D250" t="str">
        <f>IFERROR(IF(ISNUMBER('Deficit to GDP'!B255),'Deficit to GDP'!H255,""), "")</f>
        <v/>
      </c>
    </row>
    <row r="251" spans="1:4">
      <c r="A251" t="str">
        <f>TEXT(IF('Deficit to GDP'!B256&lt;&gt;0,'Deficit to GDP'!B256, ""), "yyyy")</f>
        <v/>
      </c>
      <c r="B251" s="10" t="str">
        <f>IFERROR(IF(ISNUMBER('Deficit to GDP'!E256),TEXT('Deficit to GDP'!E256, "0.00"),""), "")</f>
        <v/>
      </c>
      <c r="C251" s="10" t="str">
        <f>IFERROR(IF(ISNUMBER('Deficit to GDP'!F256),TEXT('Deficit to GDP'!F256,"0.00"), ""), "")</f>
        <v/>
      </c>
      <c r="D251" t="str">
        <f>IFERROR(IF(ISNUMBER('Deficit to GDP'!B256),'Deficit to GDP'!H256,""), "")</f>
        <v/>
      </c>
    </row>
    <row r="252" spans="1:4">
      <c r="A252" t="str">
        <f>TEXT(IF('Deficit to GDP'!B257&lt;&gt;0,'Deficit to GDP'!B257, ""), "yyyy")</f>
        <v/>
      </c>
      <c r="B252" s="10" t="str">
        <f>IFERROR(IF(ISNUMBER('Deficit to GDP'!E257),TEXT('Deficit to GDP'!E257, "0.00"),""), "")</f>
        <v/>
      </c>
      <c r="C252" s="10" t="str">
        <f>IFERROR(IF(ISNUMBER('Deficit to GDP'!F257),TEXT('Deficit to GDP'!F257,"0.00"), ""), "")</f>
        <v/>
      </c>
      <c r="D252" t="str">
        <f>IFERROR(IF(ISNUMBER('Deficit to GDP'!B257),'Deficit to GDP'!H257,""), "")</f>
        <v/>
      </c>
    </row>
    <row r="253" spans="1:4">
      <c r="A253" t="str">
        <f>TEXT(IF('Deficit to GDP'!B258&lt;&gt;0,'Deficit to GDP'!B258, ""), "yyyy")</f>
        <v/>
      </c>
      <c r="B253" s="10" t="str">
        <f>IFERROR(IF(ISNUMBER('Deficit to GDP'!E258),TEXT('Deficit to GDP'!E258, "0.00"),""), "")</f>
        <v/>
      </c>
      <c r="C253" s="10" t="str">
        <f>IFERROR(IF(ISNUMBER('Deficit to GDP'!F258),TEXT('Deficit to GDP'!F258,"0.00"), ""), "")</f>
        <v/>
      </c>
      <c r="D253" t="str">
        <f>IFERROR(IF(ISNUMBER('Deficit to GDP'!B258),'Deficit to GDP'!H258,""), "")</f>
        <v/>
      </c>
    </row>
    <row r="254" spans="1:4">
      <c r="A254" t="str">
        <f>TEXT(IF('Deficit to GDP'!B259&lt;&gt;0,'Deficit to GDP'!B259, ""), "yyyy")</f>
        <v/>
      </c>
      <c r="B254" s="10" t="str">
        <f>IFERROR(IF(ISNUMBER('Deficit to GDP'!E259),TEXT('Deficit to GDP'!E259, "0.00"),""), "")</f>
        <v/>
      </c>
      <c r="C254" s="10" t="str">
        <f>IFERROR(IF(ISNUMBER('Deficit to GDP'!F259),TEXT('Deficit to GDP'!F259,"0.00"), ""), "")</f>
        <v/>
      </c>
      <c r="D254" t="str">
        <f>IFERROR(IF(ISNUMBER('Deficit to GDP'!B259),'Deficit to GDP'!H259,""), "")</f>
        <v/>
      </c>
    </row>
    <row r="255" spans="1:4">
      <c r="A255" t="str">
        <f>TEXT(IF('Deficit to GDP'!B260&lt;&gt;0,'Deficit to GDP'!B260, ""), "yyyy")</f>
        <v/>
      </c>
      <c r="B255" s="10" t="str">
        <f>IFERROR(IF(ISNUMBER('Deficit to GDP'!E260),TEXT('Deficit to GDP'!E260, "0.00"),""), "")</f>
        <v/>
      </c>
      <c r="C255" s="10" t="str">
        <f>IFERROR(IF(ISNUMBER('Deficit to GDP'!F260),TEXT('Deficit to GDP'!F260,"0.00"), ""), "")</f>
        <v/>
      </c>
      <c r="D255" t="str">
        <f>IFERROR(IF(ISNUMBER('Deficit to GDP'!B260),'Deficit to GDP'!H260,""), "")</f>
        <v/>
      </c>
    </row>
    <row r="256" spans="1:4">
      <c r="A256" t="str">
        <f>TEXT(IF('Deficit to GDP'!B261&lt;&gt;0,'Deficit to GDP'!B261, ""), "yyyy")</f>
        <v/>
      </c>
      <c r="B256" s="10" t="str">
        <f>IFERROR(IF(ISNUMBER('Deficit to GDP'!E261),TEXT('Deficit to GDP'!E261, "0.00"),""), "")</f>
        <v/>
      </c>
      <c r="C256" s="10" t="str">
        <f>IFERROR(IF(ISNUMBER('Deficit to GDP'!F261),TEXT('Deficit to GDP'!F261,"0.00"), ""), "")</f>
        <v/>
      </c>
      <c r="D256" t="str">
        <f>IFERROR(IF(ISNUMBER('Deficit to GDP'!B261),'Deficit to GDP'!H261,""), "")</f>
        <v/>
      </c>
    </row>
    <row r="257" spans="1:4">
      <c r="A257" t="str">
        <f>TEXT(IF('Deficit to GDP'!B262&lt;&gt;0,'Deficit to GDP'!B262, ""), "yyyy")</f>
        <v/>
      </c>
      <c r="B257" s="10" t="str">
        <f>IFERROR(IF(ISNUMBER('Deficit to GDP'!E262),TEXT('Deficit to GDP'!E262, "0.00"),""), "")</f>
        <v/>
      </c>
      <c r="C257" s="10" t="str">
        <f>IFERROR(IF(ISNUMBER('Deficit to GDP'!F262),TEXT('Deficit to GDP'!F262,"0.00"), ""), "")</f>
        <v/>
      </c>
      <c r="D257" t="str">
        <f>IFERROR(IF(ISNUMBER('Deficit to GDP'!B262),'Deficit to GDP'!H262,""), "")</f>
        <v/>
      </c>
    </row>
    <row r="258" spans="1:4">
      <c r="A258" t="str">
        <f>TEXT(IF('Deficit to GDP'!B263&lt;&gt;0,'Deficit to GDP'!B263, ""), "yyyy")</f>
        <v/>
      </c>
      <c r="B258" s="10" t="str">
        <f>IFERROR(IF(ISNUMBER('Deficit to GDP'!E263),TEXT('Deficit to GDP'!E263, "0.00"),""), "")</f>
        <v/>
      </c>
      <c r="C258" s="10" t="str">
        <f>IFERROR(IF(ISNUMBER('Deficit to GDP'!F263),TEXT('Deficit to GDP'!F263,"0.00"), ""), "")</f>
        <v/>
      </c>
      <c r="D258" t="str">
        <f>IFERROR(IF(ISNUMBER('Deficit to GDP'!B263),'Deficit to GDP'!H263,""), "")</f>
        <v/>
      </c>
    </row>
    <row r="259" spans="1:4">
      <c r="A259" t="str">
        <f>TEXT(IF('Deficit to GDP'!B264&lt;&gt;0,'Deficit to GDP'!B264, ""), "yyyy")</f>
        <v/>
      </c>
      <c r="B259" s="10" t="str">
        <f>IFERROR(IF(ISNUMBER('Deficit to GDP'!E264),TEXT('Deficit to GDP'!E264, "0.00"),""), "")</f>
        <v/>
      </c>
      <c r="C259" s="10" t="str">
        <f>IFERROR(IF(ISNUMBER('Deficit to GDP'!F264),TEXT('Deficit to GDP'!F264,"0.00"), ""), "")</f>
        <v/>
      </c>
      <c r="D259" t="str">
        <f>IFERROR(IF(ISNUMBER('Deficit to GDP'!B264),'Deficit to GDP'!H264,""), "")</f>
        <v/>
      </c>
    </row>
    <row r="260" spans="1:4">
      <c r="A260" t="str">
        <f>TEXT(IF('Deficit to GDP'!B265&lt;&gt;0,'Deficit to GDP'!B265, ""), "yyyy")</f>
        <v/>
      </c>
      <c r="B260" s="10" t="str">
        <f>IFERROR(IF(ISNUMBER('Deficit to GDP'!E265),TEXT('Deficit to GDP'!E265, "0.00"),""), "")</f>
        <v/>
      </c>
      <c r="C260" s="10" t="str">
        <f>IFERROR(IF(ISNUMBER('Deficit to GDP'!F265),TEXT('Deficit to GDP'!F265,"0.00"), ""), "")</f>
        <v/>
      </c>
      <c r="D260" t="str">
        <f>IFERROR(IF(ISNUMBER('Deficit to GDP'!B265),'Deficit to GDP'!H265,""), "")</f>
        <v/>
      </c>
    </row>
    <row r="261" spans="1:4">
      <c r="A261" t="str">
        <f>TEXT(IF('Deficit to GDP'!B266&lt;&gt;0,'Deficit to GDP'!B266, ""), "yyyy")</f>
        <v/>
      </c>
      <c r="B261" s="10" t="str">
        <f>IFERROR(IF(ISNUMBER('Deficit to GDP'!E266),TEXT('Deficit to GDP'!E266, "0.00"),""), "")</f>
        <v/>
      </c>
      <c r="C261" s="10" t="str">
        <f>IFERROR(IF(ISNUMBER('Deficit to GDP'!F266),TEXT('Deficit to GDP'!F266,"0.00"), ""), "")</f>
        <v/>
      </c>
      <c r="D261" t="str">
        <f>IFERROR(IF(ISNUMBER('Deficit to GDP'!B266),'Deficit to GDP'!H266,""), "")</f>
        <v/>
      </c>
    </row>
    <row r="262" spans="1:4">
      <c r="A262" t="str">
        <f>TEXT(IF('Deficit to GDP'!B267&lt;&gt;0,'Deficit to GDP'!B267, ""), "yyyy")</f>
        <v/>
      </c>
      <c r="B262" s="10" t="str">
        <f>IFERROR(IF(ISNUMBER('Deficit to GDP'!E267),TEXT('Deficit to GDP'!E267, "0.00"),""), "")</f>
        <v/>
      </c>
      <c r="C262" s="10" t="str">
        <f>IFERROR(IF(ISNUMBER('Deficit to GDP'!F267),TEXT('Deficit to GDP'!F267,"0.00"), ""), "")</f>
        <v/>
      </c>
      <c r="D262" t="str">
        <f>IFERROR(IF(ISNUMBER('Deficit to GDP'!B267),'Deficit to GDP'!H267,""), "")</f>
        <v/>
      </c>
    </row>
    <row r="263" spans="1:4">
      <c r="A263" t="str">
        <f>TEXT(IF('Deficit to GDP'!B268&lt;&gt;0,'Deficit to GDP'!B268, ""), "yyyy")</f>
        <v/>
      </c>
      <c r="B263" s="10" t="str">
        <f>IFERROR(IF(ISNUMBER('Deficit to GDP'!E268),TEXT('Deficit to GDP'!E268, "0.00"),""), "")</f>
        <v/>
      </c>
      <c r="C263" s="10" t="str">
        <f>IFERROR(IF(ISNUMBER('Deficit to GDP'!F268),TEXT('Deficit to GDP'!F268,"0.00"), ""), "")</f>
        <v/>
      </c>
      <c r="D263" t="str">
        <f>IFERROR(IF(ISNUMBER('Deficit to GDP'!B268),'Deficit to GDP'!H268,""), "")</f>
        <v/>
      </c>
    </row>
    <row r="264" spans="1:4">
      <c r="A264" t="str">
        <f>TEXT(IF('Deficit to GDP'!B269&lt;&gt;0,'Deficit to GDP'!B269, ""), "yyyy")</f>
        <v/>
      </c>
      <c r="B264" s="10" t="str">
        <f>IFERROR(IF(ISNUMBER('Deficit to GDP'!E269),TEXT('Deficit to GDP'!E269, "0.00"),""), "")</f>
        <v/>
      </c>
      <c r="C264" s="10" t="str">
        <f>IFERROR(IF(ISNUMBER('Deficit to GDP'!F269),TEXT('Deficit to GDP'!F269,"0.00"), ""), "")</f>
        <v/>
      </c>
      <c r="D264" t="str">
        <f>IFERROR(IF(ISNUMBER('Deficit to GDP'!B269),'Deficit to GDP'!H269,""), "")</f>
        <v/>
      </c>
    </row>
    <row r="265" spans="1:4">
      <c r="A265" t="str">
        <f>TEXT(IF('Deficit to GDP'!B270&lt;&gt;0,'Deficit to GDP'!B270, ""), "yyyy")</f>
        <v/>
      </c>
      <c r="B265" s="10" t="str">
        <f>IFERROR(IF(ISNUMBER('Deficit to GDP'!E270),TEXT('Deficit to GDP'!E270, "0.00"),""), "")</f>
        <v/>
      </c>
      <c r="C265" s="10" t="str">
        <f>IFERROR(IF(ISNUMBER('Deficit to GDP'!F270),TEXT('Deficit to GDP'!F270,"0.00"), ""), "")</f>
        <v/>
      </c>
      <c r="D265" t="str">
        <f>IFERROR(IF(ISNUMBER('Deficit to GDP'!B270),'Deficit to GDP'!H270,""), "")</f>
        <v/>
      </c>
    </row>
    <row r="266" spans="1:4">
      <c r="A266" t="str">
        <f>TEXT(IF('Deficit to GDP'!B271&lt;&gt;0,'Deficit to GDP'!B271, ""), "yyyy")</f>
        <v/>
      </c>
      <c r="B266" s="10" t="str">
        <f>IFERROR(IF(ISNUMBER('Deficit to GDP'!E271),TEXT('Deficit to GDP'!E271, "0.00"),""), "")</f>
        <v/>
      </c>
      <c r="C266" s="10" t="str">
        <f>IFERROR(IF(ISNUMBER('Deficit to GDP'!F271),TEXT('Deficit to GDP'!F271,"0.00"), ""), "")</f>
        <v/>
      </c>
      <c r="D266" t="str">
        <f>IFERROR(IF(ISNUMBER('Deficit to GDP'!B271),'Deficit to GDP'!H271,""), "")</f>
        <v/>
      </c>
    </row>
    <row r="267" spans="1:4">
      <c r="A267" t="str">
        <f>TEXT(IF('Deficit to GDP'!B272&lt;&gt;0,'Deficit to GDP'!B272, ""), "yyyy")</f>
        <v/>
      </c>
      <c r="B267" s="10" t="str">
        <f>IFERROR(IF(ISNUMBER('Deficit to GDP'!E272),TEXT('Deficit to GDP'!E272, "0.00"),""), "")</f>
        <v/>
      </c>
      <c r="C267" s="10" t="str">
        <f>IFERROR(IF(ISNUMBER('Deficit to GDP'!F272),TEXT('Deficit to GDP'!F272,"0.00"), ""), "")</f>
        <v/>
      </c>
      <c r="D267" t="str">
        <f>IFERROR(IF(ISNUMBER('Deficit to GDP'!B272),'Deficit to GDP'!H272,""), "")</f>
        <v/>
      </c>
    </row>
    <row r="268" spans="1:4">
      <c r="A268" t="str">
        <f>TEXT(IF('Deficit to GDP'!B273&lt;&gt;0,'Deficit to GDP'!B273, ""), "yyyy")</f>
        <v/>
      </c>
      <c r="B268" s="10" t="str">
        <f>IFERROR(IF(ISNUMBER('Deficit to GDP'!E273),TEXT('Deficit to GDP'!E273, "0.00"),""), "")</f>
        <v/>
      </c>
      <c r="C268" s="10" t="str">
        <f>IFERROR(IF(ISNUMBER('Deficit to GDP'!F273),TEXT('Deficit to GDP'!F273,"0.00"), ""), "")</f>
        <v/>
      </c>
      <c r="D268" t="str">
        <f>IFERROR(IF(ISNUMBER('Deficit to GDP'!B273),'Deficit to GDP'!H273,""), "")</f>
        <v/>
      </c>
    </row>
    <row r="269" spans="1:4">
      <c r="A269" t="str">
        <f>TEXT(IF('Deficit to GDP'!B274&lt;&gt;0,'Deficit to GDP'!B274, ""), "yyyy")</f>
        <v/>
      </c>
      <c r="B269" s="10" t="str">
        <f>IFERROR(IF(ISNUMBER('Deficit to GDP'!E274),TEXT('Deficit to GDP'!E274, "0.00"),""), "")</f>
        <v/>
      </c>
      <c r="C269" s="10" t="str">
        <f>IFERROR(IF(ISNUMBER('Deficit to GDP'!F274),TEXT('Deficit to GDP'!F274,"0.00"), ""), "")</f>
        <v/>
      </c>
      <c r="D269" t="str">
        <f>IFERROR(IF(ISNUMBER('Deficit to GDP'!B274),'Deficit to GDP'!H274,""), "")</f>
        <v/>
      </c>
    </row>
    <row r="270" spans="1:4">
      <c r="A270" t="str">
        <f>TEXT(IF('Deficit to GDP'!B275&lt;&gt;0,'Deficit to GDP'!B275, ""), "yyyy")</f>
        <v/>
      </c>
      <c r="B270" s="10" t="str">
        <f>IFERROR(IF(ISNUMBER('Deficit to GDP'!E275),TEXT('Deficit to GDP'!E275, "0.00"),""), "")</f>
        <v/>
      </c>
      <c r="C270" s="10" t="str">
        <f>IFERROR(IF(ISNUMBER('Deficit to GDP'!F275),TEXT('Deficit to GDP'!F275,"0.00"), ""), "")</f>
        <v/>
      </c>
      <c r="D270" t="str">
        <f>IFERROR(IF(ISNUMBER('Deficit to GDP'!B275),'Deficit to GDP'!H275,""), "")</f>
        <v/>
      </c>
    </row>
    <row r="271" spans="1:4">
      <c r="A271" t="str">
        <f>TEXT(IF('Deficit to GDP'!B276&lt;&gt;0,'Deficit to GDP'!B276, ""), "yyyy")</f>
        <v/>
      </c>
      <c r="B271" s="10" t="str">
        <f>IFERROR(IF(ISNUMBER('Deficit to GDP'!E276),TEXT('Deficit to GDP'!E276, "0.00"),""), "")</f>
        <v/>
      </c>
      <c r="C271" s="10" t="str">
        <f>IFERROR(IF(ISNUMBER('Deficit to GDP'!F276),TEXT('Deficit to GDP'!F276,"0.00"), ""), "")</f>
        <v/>
      </c>
      <c r="D271" t="str">
        <f>IFERROR(IF(ISNUMBER('Deficit to GDP'!B276),'Deficit to GDP'!H276,""), "")</f>
        <v/>
      </c>
    </row>
    <row r="272" spans="1:4">
      <c r="A272" t="str">
        <f>TEXT(IF('Deficit to GDP'!B277&lt;&gt;0,'Deficit to GDP'!B277, ""), "yyyy")</f>
        <v/>
      </c>
      <c r="B272" s="10" t="str">
        <f>IFERROR(IF(ISNUMBER('Deficit to GDP'!E277),TEXT('Deficit to GDP'!E277, "0.00"),""), "")</f>
        <v/>
      </c>
      <c r="C272" s="10" t="str">
        <f>IFERROR(IF(ISNUMBER('Deficit to GDP'!F277),TEXT('Deficit to GDP'!F277,"0.00"), ""), "")</f>
        <v/>
      </c>
      <c r="D272" t="str">
        <f>IFERROR(IF(ISNUMBER('Deficit to GDP'!B277),'Deficit to GDP'!H277,""), "")</f>
        <v/>
      </c>
    </row>
    <row r="273" spans="1:4">
      <c r="A273" t="str">
        <f>TEXT(IF('Deficit to GDP'!B278&lt;&gt;0,'Deficit to GDP'!B278, ""), "yyyy")</f>
        <v/>
      </c>
      <c r="B273" s="10" t="str">
        <f>IFERROR(IF(ISNUMBER('Deficit to GDP'!E278),TEXT('Deficit to GDP'!E278, "0.00"),""), "")</f>
        <v/>
      </c>
      <c r="C273" s="10" t="str">
        <f>IFERROR(IF(ISNUMBER('Deficit to GDP'!F278),TEXT('Deficit to GDP'!F278,"0.00"), ""), "")</f>
        <v/>
      </c>
      <c r="D273" t="str">
        <f>IFERROR(IF(ISNUMBER('Deficit to GDP'!B278),'Deficit to GDP'!H278,""), "")</f>
        <v/>
      </c>
    </row>
    <row r="274" spans="1:4">
      <c r="A274" t="str">
        <f>TEXT(IF('Deficit to GDP'!B279&lt;&gt;0,'Deficit to GDP'!B279, ""), "yyyy")</f>
        <v/>
      </c>
      <c r="B274" s="10" t="str">
        <f>IFERROR(IF(ISNUMBER('Deficit to GDP'!E279),TEXT('Deficit to GDP'!E279, "0.00"),""), "")</f>
        <v/>
      </c>
      <c r="C274" s="10" t="str">
        <f>IFERROR(IF(ISNUMBER('Deficit to GDP'!F279),TEXT('Deficit to GDP'!F279,"0.00"), ""), "")</f>
        <v/>
      </c>
      <c r="D274" t="str">
        <f>IFERROR(IF(ISNUMBER('Deficit to GDP'!B279),'Deficit to GDP'!H279,""), "")</f>
        <v/>
      </c>
    </row>
    <row r="275" spans="1:4">
      <c r="A275" t="str">
        <f>TEXT(IF('Deficit to GDP'!B280&lt;&gt;0,'Deficit to GDP'!B280, ""), "yyyy")</f>
        <v/>
      </c>
      <c r="B275" s="10" t="str">
        <f>IFERROR(IF(ISNUMBER('Deficit to GDP'!E280),TEXT('Deficit to GDP'!E280, "0.00"),""), "")</f>
        <v/>
      </c>
      <c r="C275" s="10" t="str">
        <f>IFERROR(IF(ISNUMBER('Deficit to GDP'!F280),TEXT('Deficit to GDP'!F280,"0.00"), ""), "")</f>
        <v/>
      </c>
      <c r="D275" t="str">
        <f>IFERROR(IF(ISNUMBER('Deficit to GDP'!B280),'Deficit to GDP'!H280,""), "")</f>
        <v/>
      </c>
    </row>
    <row r="276" spans="1:4">
      <c r="A276" t="str">
        <f>TEXT(IF('Deficit to GDP'!B281&lt;&gt;0,'Deficit to GDP'!B281, ""), "yyyy")</f>
        <v/>
      </c>
      <c r="B276" s="10" t="str">
        <f>IFERROR(IF(ISNUMBER('Deficit to GDP'!E281),TEXT('Deficit to GDP'!E281, "0.00"),""), "")</f>
        <v/>
      </c>
      <c r="C276" s="10" t="str">
        <f>IFERROR(IF(ISNUMBER('Deficit to GDP'!F281),TEXT('Deficit to GDP'!F281,"0.00"), ""), "")</f>
        <v/>
      </c>
      <c r="D276" t="str">
        <f>IFERROR(IF(ISNUMBER('Deficit to GDP'!B281),'Deficit to GDP'!H281,""), "")</f>
        <v/>
      </c>
    </row>
    <row r="277" spans="1:4">
      <c r="A277" t="str">
        <f>TEXT(IF('Deficit to GDP'!B282&lt;&gt;0,'Deficit to GDP'!B282, ""), "yyyy")</f>
        <v/>
      </c>
      <c r="B277" s="10" t="str">
        <f>IFERROR(IF(ISNUMBER('Deficit to GDP'!E282),TEXT('Deficit to GDP'!E282, "0.00"),""), "")</f>
        <v/>
      </c>
      <c r="C277" s="10" t="str">
        <f>IFERROR(IF(ISNUMBER('Deficit to GDP'!F282),TEXT('Deficit to GDP'!F282,"0.00"), ""), "")</f>
        <v/>
      </c>
      <c r="D277" t="str">
        <f>IFERROR(IF(ISNUMBER('Deficit to GDP'!B282),'Deficit to GDP'!H282,""), "")</f>
        <v/>
      </c>
    </row>
    <row r="278" spans="1:4">
      <c r="A278" t="str">
        <f>TEXT(IF('Deficit to GDP'!B283&lt;&gt;0,'Deficit to GDP'!B283, ""), "yyyy")</f>
        <v/>
      </c>
      <c r="B278" s="10" t="str">
        <f>IFERROR(IF(ISNUMBER('Deficit to GDP'!E283),TEXT('Deficit to GDP'!E283, "0.00"),""), "")</f>
        <v/>
      </c>
      <c r="C278" s="10" t="str">
        <f>IFERROR(IF(ISNUMBER('Deficit to GDP'!F283),TEXT('Deficit to GDP'!F283,"0.00"), ""), "")</f>
        <v/>
      </c>
      <c r="D278" t="str">
        <f>IFERROR(IF(ISNUMBER('Deficit to GDP'!B283),'Deficit to GDP'!H283,""), "")</f>
        <v/>
      </c>
    </row>
    <row r="279" spans="1:4">
      <c r="A279" t="str">
        <f>TEXT(IF('Deficit to GDP'!B284&lt;&gt;0,'Deficit to GDP'!B284, ""), "yyyy")</f>
        <v/>
      </c>
      <c r="B279" s="10" t="str">
        <f>IFERROR(IF(ISNUMBER('Deficit to GDP'!E284),TEXT('Deficit to GDP'!E284, "0.00"),""), "")</f>
        <v/>
      </c>
      <c r="C279" s="10" t="str">
        <f>IFERROR(IF(ISNUMBER('Deficit to GDP'!F284),TEXT('Deficit to GDP'!F284,"0.00"), ""), "")</f>
        <v/>
      </c>
      <c r="D279" t="str">
        <f>IFERROR(IF(ISNUMBER('Deficit to GDP'!B284),'Deficit to GDP'!H284,""), "")</f>
        <v/>
      </c>
    </row>
    <row r="280" spans="1:4">
      <c r="A280" t="str">
        <f>TEXT(IF('Deficit to GDP'!B285&lt;&gt;0,'Deficit to GDP'!B285, ""), "yyyy")</f>
        <v/>
      </c>
      <c r="B280" s="10" t="str">
        <f>IFERROR(IF(ISNUMBER('Deficit to GDP'!E285),TEXT('Deficit to GDP'!E285, "0.00"),""), "")</f>
        <v/>
      </c>
      <c r="C280" s="10" t="str">
        <f>IFERROR(IF(ISNUMBER('Deficit to GDP'!F285),TEXT('Deficit to GDP'!F285,"0.00"), ""), "")</f>
        <v/>
      </c>
      <c r="D280" t="str">
        <f>IFERROR(IF(ISNUMBER('Deficit to GDP'!B285),'Deficit to GDP'!H285,""), "")</f>
        <v/>
      </c>
    </row>
    <row r="281" spans="1:4">
      <c r="A281" t="str">
        <f>TEXT(IF('Deficit to GDP'!B286&lt;&gt;0,'Deficit to GDP'!B286, ""), "yyyy")</f>
        <v/>
      </c>
      <c r="B281" s="10" t="str">
        <f>IFERROR(IF(ISNUMBER('Deficit to GDP'!E286),TEXT('Deficit to GDP'!E286, "0.00"),""), "")</f>
        <v/>
      </c>
      <c r="C281" s="10" t="str">
        <f>IFERROR(IF(ISNUMBER('Deficit to GDP'!F286),TEXT('Deficit to GDP'!F286,"0.00"), ""), "")</f>
        <v/>
      </c>
      <c r="D281" t="str">
        <f>IFERROR(IF(ISNUMBER('Deficit to GDP'!B286),'Deficit to GDP'!H286,""), "")</f>
        <v/>
      </c>
    </row>
    <row r="282" spans="1:4">
      <c r="A282" t="str">
        <f>TEXT(IF('Deficit to GDP'!B287&lt;&gt;0,'Deficit to GDP'!B287, ""), "yyyy")</f>
        <v/>
      </c>
      <c r="B282" s="10" t="str">
        <f>IFERROR(IF(ISNUMBER('Deficit to GDP'!E287),TEXT('Deficit to GDP'!E287, "0.00"),""), "")</f>
        <v/>
      </c>
      <c r="C282" s="10" t="str">
        <f>IFERROR(IF(ISNUMBER('Deficit to GDP'!F287),TEXT('Deficit to GDP'!F287,"0.00"), ""), "")</f>
        <v/>
      </c>
      <c r="D282" t="str">
        <f>IFERROR(IF(ISNUMBER('Deficit to GDP'!B287),'Deficit to GDP'!H287,""), "")</f>
        <v/>
      </c>
    </row>
    <row r="283" spans="1:4">
      <c r="A283" t="str">
        <f>TEXT(IF('Deficit to GDP'!B288&lt;&gt;0,'Deficit to GDP'!B288, ""), "yyyy")</f>
        <v/>
      </c>
      <c r="B283" s="10" t="str">
        <f>IFERROR(IF(ISNUMBER('Deficit to GDP'!E288),TEXT('Deficit to GDP'!E288, "0.00"),""), "")</f>
        <v/>
      </c>
      <c r="C283" s="10" t="str">
        <f>IFERROR(IF(ISNUMBER('Deficit to GDP'!F288),TEXT('Deficit to GDP'!F288,"0.00"), ""), "")</f>
        <v/>
      </c>
      <c r="D283" t="str">
        <f>IFERROR(IF(ISNUMBER('Deficit to GDP'!B288),'Deficit to GDP'!H288,""), "")</f>
        <v/>
      </c>
    </row>
    <row r="284" spans="1:4">
      <c r="A284" t="str">
        <f>TEXT(IF('Deficit to GDP'!B289&lt;&gt;0,'Deficit to GDP'!B289, ""), "yyyy")</f>
        <v/>
      </c>
      <c r="B284" s="10" t="str">
        <f>IFERROR(IF(ISNUMBER('Deficit to GDP'!E289),TEXT('Deficit to GDP'!E289, "0.00"),""), "")</f>
        <v/>
      </c>
      <c r="C284" s="10" t="str">
        <f>IFERROR(IF(ISNUMBER('Deficit to GDP'!F289),TEXT('Deficit to GDP'!F289,"0.00"), ""), "")</f>
        <v/>
      </c>
      <c r="D284" t="str">
        <f>IFERROR(IF(ISNUMBER('Deficit to GDP'!B289),'Deficit to GDP'!H289,""), "")</f>
        <v/>
      </c>
    </row>
    <row r="285" spans="1:4">
      <c r="A285" t="str">
        <f>TEXT(IF('Deficit to GDP'!B290&lt;&gt;0,'Deficit to GDP'!B290, ""), "yyyy")</f>
        <v/>
      </c>
      <c r="B285" s="10" t="str">
        <f>IFERROR(IF(ISNUMBER('Deficit to GDP'!E290),TEXT('Deficit to GDP'!E290, "0.00"),""), "")</f>
        <v/>
      </c>
      <c r="C285" s="10" t="str">
        <f>IFERROR(IF(ISNUMBER('Deficit to GDP'!F290),TEXT('Deficit to GDP'!F290,"0.00"), ""), "")</f>
        <v/>
      </c>
      <c r="D285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t="s">
        <v>103</v>
      </c>
      <c r="B1" t="s">
        <v>131</v>
      </c>
      <c r="C1" t="s">
        <v>302</v>
      </c>
      <c r="D1" t="s">
        <v>312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t="str">
        <f ca="1">IFERROR(IF(ISNUMBER('Debt to GDP Ratio'!E6),TEXT('Debt to GDP Ratio'!E6,"0.00"), ""), "")</f>
        <v/>
      </c>
      <c r="D2">
        <f>IFERROR(IF(ISNUMBER('Debt to GDP Ratio'!B6),'Debt to GDP Ratio'!G6, ""), "")</f>
        <v>0</v>
      </c>
    </row>
    <row r="3" spans="1:4">
      <c r="A3" t="str">
        <f>TEXT(IF('Debt to GDP Ratio'!B7&lt;&gt;0,'Debt to GDP Ratio'!B7, ""), "mm/dd/yyyy")</f>
        <v>01/01/1978</v>
      </c>
      <c r="B3" t="str">
        <f>IFERROR(IF(ISNUMBER('Debt to GDP Ratio'!D7),TEXT('Debt to GDP Ratio'!D7,"0.00"), ""), "")</f>
        <v>26.60</v>
      </c>
      <c r="C3" t="str">
        <f ca="1">IFERROR(IF(ISNUMBER('Debt to GDP Ratio'!E7),TEXT('Debt to GDP Ratio'!E7,"0.00"), ""), "")</f>
        <v/>
      </c>
      <c r="D3">
        <f>IFERROR(IF(ISNUMBER('Debt to GDP Ratio'!B7),'Debt to GDP Ratio'!G7, ""), "")</f>
        <v>0</v>
      </c>
    </row>
    <row r="4" spans="1:4">
      <c r="A4" t="str">
        <f>TEXT(IF('Debt to GDP Ratio'!B8&lt;&gt;0,'Debt to GDP Ratio'!B8, ""), "mm/dd/yyyy")</f>
        <v>01/01/1979</v>
      </c>
      <c r="B4" t="str">
        <f>IFERROR(IF(ISNUMBER('Debt to GDP Ratio'!D8),TEXT('Debt to GDP Ratio'!D8,"0.00"), ""), "")</f>
        <v>24.90</v>
      </c>
      <c r="C4" t="str">
        <f ca="1">IFERROR(IF(ISNUMBER('Debt to GDP Ratio'!E8),TEXT('Debt to GDP Ratio'!E8,"0.00"), ""), "")</f>
        <v/>
      </c>
      <c r="D4">
        <f>IFERROR(IF(ISNUMBER('Debt to GDP Ratio'!B8),'Debt to GDP Ratio'!G8, ""), "")</f>
        <v>0</v>
      </c>
    </row>
    <row r="5" spans="1:4">
      <c r="A5" t="str">
        <f>TEXT(IF('Debt to GDP Ratio'!B9&lt;&gt;0,'Debt to GDP Ratio'!B9, ""), "mm/dd/yyyy")</f>
        <v>01/01/1980</v>
      </c>
      <c r="B5" t="str">
        <f>IFERROR(IF(ISNUMBER('Debt to GDP Ratio'!D9),TEXT('Debt to GDP Ratio'!D9,"0.00"), ""), "")</f>
        <v>25.50</v>
      </c>
      <c r="C5" t="str">
        <f ca="1">IFERROR(IF(ISNUMBER('Debt to GDP Ratio'!E9),TEXT('Debt to GDP Ratio'!E9,"0.00"), ""), "")</f>
        <v/>
      </c>
      <c r="D5">
        <f>IFERROR(IF(ISNUMBER('Debt to GDP Ratio'!B9),'Debt to GDP Ratio'!G9, ""), "")</f>
        <v>1</v>
      </c>
    </row>
    <row r="6" spans="1:4">
      <c r="A6" t="str">
        <f>TEXT(IF('Debt to GDP Ratio'!B10&lt;&gt;0,'Debt to GDP Ratio'!B10, ""), "mm/dd/yyyy")</f>
        <v>01/01/1981</v>
      </c>
      <c r="B6" t="str">
        <f>IFERROR(IF(ISNUMBER('Debt to GDP Ratio'!D10),TEXT('Debt to GDP Ratio'!D10,"0.00"), ""), "")</f>
        <v>25.20</v>
      </c>
      <c r="C6" t="str">
        <f ca="1">IFERROR(IF(ISNUMBER('Debt to GDP Ratio'!E10),TEXT('Debt to GDP Ratio'!E10,"0.00"), ""), "")</f>
        <v/>
      </c>
      <c r="D6">
        <f>IFERROR(IF(ISNUMBER('Debt to GDP Ratio'!B10),'Debt to GDP Ratio'!G10, ""), "")</f>
        <v>1</v>
      </c>
    </row>
    <row r="7" spans="1:4">
      <c r="A7" t="str">
        <f>TEXT(IF('Debt to GDP Ratio'!B11&lt;&gt;0,'Debt to GDP Ratio'!B11, ""), "mm/dd/yyyy")</f>
        <v>01/01/1982</v>
      </c>
      <c r="B7" t="str">
        <f>IFERROR(IF(ISNUMBER('Debt to GDP Ratio'!D11),TEXT('Debt to GDP Ratio'!D11,"0.00"), ""), "")</f>
        <v>27.90</v>
      </c>
      <c r="C7" t="str">
        <f ca="1">IFERROR(IF(ISNUMBER('Debt to GDP Ratio'!E11),TEXT('Debt to GDP Ratio'!E11,"0.00"), ""), "")</f>
        <v/>
      </c>
      <c r="D7">
        <f>IFERROR(IF(ISNUMBER('Debt to GDP Ratio'!B11),'Debt to GDP Ratio'!G11, ""), "")</f>
        <v>1</v>
      </c>
    </row>
    <row r="8" spans="1:4">
      <c r="A8" t="str">
        <f>TEXT(IF('Debt to GDP Ratio'!B12&lt;&gt;0,'Debt to GDP Ratio'!B12, ""), "mm/dd/yyyy")</f>
        <v>01/01/1983</v>
      </c>
      <c r="B8" t="str">
        <f>IFERROR(IF(ISNUMBER('Debt to GDP Ratio'!D12),TEXT('Debt to GDP Ratio'!D12,"0.00"), ""), "")</f>
        <v>32.10</v>
      </c>
      <c r="C8" t="str">
        <f ca="1">IFERROR(IF(ISNUMBER('Debt to GDP Ratio'!E12),TEXT('Debt to GDP Ratio'!E12,"0.00"), ""), "")</f>
        <v/>
      </c>
      <c r="D8">
        <f>IFERROR(IF(ISNUMBER('Debt to GDP Ratio'!B12),'Debt to GDP Ratio'!G12, ""), "")</f>
        <v>0</v>
      </c>
    </row>
    <row r="9" spans="1:4">
      <c r="A9" t="str">
        <f>TEXT(IF('Debt to GDP Ratio'!B13&lt;&gt;0,'Debt to GDP Ratio'!B13, ""), "mm/dd/yyyy")</f>
        <v>01/01/1984</v>
      </c>
      <c r="B9" t="str">
        <f>IFERROR(IF(ISNUMBER('Debt to GDP Ratio'!D13),TEXT('Debt to GDP Ratio'!D13,"0.00"), ""), "")</f>
        <v>33.10</v>
      </c>
      <c r="C9" t="str">
        <f ca="1">IFERROR(IF(ISNUMBER('Debt to GDP Ratio'!E13),TEXT('Debt to GDP Ratio'!E13,"0.00"), ""), "")</f>
        <v/>
      </c>
      <c r="D9">
        <f>IFERROR(IF(ISNUMBER('Debt to GDP Ratio'!B13),'Debt to GDP Ratio'!G13, ""), "")</f>
        <v>0</v>
      </c>
    </row>
    <row r="10" spans="1:4">
      <c r="A10" t="str">
        <f>TEXT(IF('Debt to GDP Ratio'!B14&lt;&gt;0,'Debt to GDP Ratio'!B14, ""), "mm/dd/yyyy")</f>
        <v>01/01/1985</v>
      </c>
      <c r="B10" t="str">
        <f>IFERROR(IF(ISNUMBER('Debt to GDP Ratio'!D14),TEXT('Debt to GDP Ratio'!D14,"0.00"), ""), "")</f>
        <v>35.30</v>
      </c>
      <c r="C10" t="str">
        <f ca="1">IFERROR(IF(ISNUMBER('Debt to GDP Ratio'!E14),TEXT('Debt to GDP Ratio'!E14,"0.00"), ""), "")</f>
        <v/>
      </c>
      <c r="D10">
        <f>IFERROR(IF(ISNUMBER('Debt to GDP Ratio'!B14),'Debt to GDP Ratio'!G14, ""), "")</f>
        <v>0</v>
      </c>
    </row>
    <row r="11" spans="1:4">
      <c r="A11" t="str">
        <f>TEXT(IF('Debt to GDP Ratio'!B15&lt;&gt;0,'Debt to GDP Ratio'!B15, ""), "mm/dd/yyyy")</f>
        <v>01/01/1986</v>
      </c>
      <c r="B11" t="str">
        <f>IFERROR(IF(ISNUMBER('Debt to GDP Ratio'!D15),TEXT('Debt to GDP Ratio'!D15,"0.00"), ""), "")</f>
        <v>38.40</v>
      </c>
      <c r="C11" t="str">
        <f ca="1">IFERROR(IF(ISNUMBER('Debt to GDP Ratio'!E15),TEXT('Debt to GDP Ratio'!E15,"0.00"), ""), "")</f>
        <v/>
      </c>
      <c r="D11">
        <f>IFERROR(IF(ISNUMBER('Debt to GDP Ratio'!B15),'Debt to GDP Ratio'!G15, ""), "")</f>
        <v>0</v>
      </c>
    </row>
    <row r="12" spans="1:4">
      <c r="A12" t="str">
        <f>TEXT(IF('Debt to GDP Ratio'!B16&lt;&gt;0,'Debt to GDP Ratio'!B16, ""), "mm/dd/yyyy")</f>
        <v>01/01/1987</v>
      </c>
      <c r="B12" t="str">
        <f>IFERROR(IF(ISNUMBER('Debt to GDP Ratio'!D16),TEXT('Debt to GDP Ratio'!D16,"0.00"), ""), "")</f>
        <v>39.50</v>
      </c>
      <c r="C12" t="str">
        <f ca="1">IFERROR(IF(ISNUMBER('Debt to GDP Ratio'!E16),TEXT('Debt to GDP Ratio'!E16,"0.00"), ""), "")</f>
        <v/>
      </c>
      <c r="D12">
        <f>IFERROR(IF(ISNUMBER('Debt to GDP Ratio'!B16),'Debt to GDP Ratio'!G16, ""), "")</f>
        <v>0</v>
      </c>
    </row>
    <row r="13" spans="1:4">
      <c r="A13" t="str">
        <f>TEXT(IF('Debt to GDP Ratio'!B17&lt;&gt;0,'Debt to GDP Ratio'!B17, ""), "mm/dd/yyyy")</f>
        <v>01/01/1988</v>
      </c>
      <c r="B13" t="str">
        <f>IFERROR(IF(ISNUMBER('Debt to GDP Ratio'!D17),TEXT('Debt to GDP Ratio'!D17,"0.00"), ""), "")</f>
        <v>39.80</v>
      </c>
      <c r="C13" t="str">
        <f ca="1">IFERROR(IF(ISNUMBER('Debt to GDP Ratio'!E17),TEXT('Debt to GDP Ratio'!E17,"0.00"), ""), "")</f>
        <v/>
      </c>
      <c r="D13">
        <f>IFERROR(IF(ISNUMBER('Debt to GDP Ratio'!B17),'Debt to GDP Ratio'!G17, ""), "")</f>
        <v>0</v>
      </c>
    </row>
    <row r="14" spans="1:4">
      <c r="A14" t="str">
        <f>TEXT(IF('Debt to GDP Ratio'!B18&lt;&gt;0,'Debt to GDP Ratio'!B18, ""), "mm/dd/yyyy")</f>
        <v>01/01/1989</v>
      </c>
      <c r="B14" t="str">
        <f>IFERROR(IF(ISNUMBER('Debt to GDP Ratio'!D18),TEXT('Debt to GDP Ratio'!D18,"0.00"), ""), "")</f>
        <v>39.30</v>
      </c>
      <c r="C14" t="str">
        <f ca="1">IFERROR(IF(ISNUMBER('Debt to GDP Ratio'!E18),TEXT('Debt to GDP Ratio'!E18,"0.00"), ""), "")</f>
        <v/>
      </c>
      <c r="D14">
        <f>IFERROR(IF(ISNUMBER('Debt to GDP Ratio'!B18),'Debt to GDP Ratio'!G18, ""), "")</f>
        <v>0</v>
      </c>
    </row>
    <row r="15" spans="1:4">
      <c r="A15" t="str">
        <f>TEXT(IF('Debt to GDP Ratio'!B19&lt;&gt;0,'Debt to GDP Ratio'!B19, ""), "mm/dd/yyyy")</f>
        <v>01/01/1990</v>
      </c>
      <c r="B15" t="str">
        <f>IFERROR(IF(ISNUMBER('Debt to GDP Ratio'!D19),TEXT('Debt to GDP Ratio'!D19,"0.00"), ""), "")</f>
        <v>40.80</v>
      </c>
      <c r="C15" t="str">
        <f ca="1">IFERROR(IF(ISNUMBER('Debt to GDP Ratio'!E19),TEXT('Debt to GDP Ratio'!E19,"0.00"), ""), "")</f>
        <v/>
      </c>
      <c r="D15">
        <f>IFERROR(IF(ISNUMBER('Debt to GDP Ratio'!B19),'Debt to GDP Ratio'!G19, ""), "")</f>
        <v>1</v>
      </c>
    </row>
    <row r="16" spans="1:4">
      <c r="A16" t="str">
        <f>TEXT(IF('Debt to GDP Ratio'!B20&lt;&gt;0,'Debt to GDP Ratio'!B20, ""), "mm/dd/yyyy")</f>
        <v>01/01/1991</v>
      </c>
      <c r="B16" t="str">
        <f>IFERROR(IF(ISNUMBER('Debt to GDP Ratio'!D20),TEXT('Debt to GDP Ratio'!D20,"0.00"), ""), "")</f>
        <v>44.00</v>
      </c>
      <c r="C16" t="str">
        <f ca="1">IFERROR(IF(ISNUMBER('Debt to GDP Ratio'!E20),TEXT('Debt to GDP Ratio'!E20,"0.00"), ""), "")</f>
        <v/>
      </c>
      <c r="D16">
        <f>IFERROR(IF(ISNUMBER('Debt to GDP Ratio'!B20),'Debt to GDP Ratio'!G20, ""), "")</f>
        <v>1</v>
      </c>
    </row>
    <row r="17" spans="1:4">
      <c r="A17" t="str">
        <f>TEXT(IF('Debt to GDP Ratio'!B21&lt;&gt;0,'Debt to GDP Ratio'!B21, ""), "mm/dd/yyyy")</f>
        <v>01/01/1992</v>
      </c>
      <c r="B17" t="str">
        <f>IFERROR(IF(ISNUMBER('Debt to GDP Ratio'!D21),TEXT('Debt to GDP Ratio'!D21,"0.00"), ""), "")</f>
        <v>46.60</v>
      </c>
      <c r="C17" t="str">
        <f ca="1">IFERROR(IF(ISNUMBER('Debt to GDP Ratio'!E21),TEXT('Debt to GDP Ratio'!E21,"0.00"), ""), "")</f>
        <v/>
      </c>
      <c r="D17">
        <f>IFERROR(IF(ISNUMBER('Debt to GDP Ratio'!B21),'Debt to GDP Ratio'!G21, ""), "")</f>
        <v>0</v>
      </c>
    </row>
    <row r="18" spans="1:4">
      <c r="A18" t="str">
        <f>TEXT(IF('Debt to GDP Ratio'!B22&lt;&gt;0,'Debt to GDP Ratio'!B22, ""), "mm/dd/yyyy")</f>
        <v>01/01/1993</v>
      </c>
      <c r="B18" t="str">
        <f>IFERROR(IF(ISNUMBER('Debt to GDP Ratio'!D22),TEXT('Debt to GDP Ratio'!D22,"0.00"), ""), "")</f>
        <v>47.80</v>
      </c>
      <c r="C18" t="str">
        <f ca="1">IFERROR(IF(ISNUMBER('Debt to GDP Ratio'!E22),TEXT('Debt to GDP Ratio'!E22,"0.00"), ""), "")</f>
        <v/>
      </c>
      <c r="D18">
        <f>IFERROR(IF(ISNUMBER('Debt to GDP Ratio'!B22),'Debt to GDP Ratio'!G22, ""), "")</f>
        <v>0</v>
      </c>
    </row>
    <row r="19" spans="1:4">
      <c r="A19" t="str">
        <f>TEXT(IF('Debt to GDP Ratio'!B23&lt;&gt;0,'Debt to GDP Ratio'!B23, ""), "mm/dd/yyyy")</f>
        <v>01/01/1994</v>
      </c>
      <c r="B19" t="str">
        <f>IFERROR(IF(ISNUMBER('Debt to GDP Ratio'!D23),TEXT('Debt to GDP Ratio'!D23,"0.00"), ""), "")</f>
        <v>47.70</v>
      </c>
      <c r="C19" t="str">
        <f ca="1">IFERROR(IF(ISNUMBER('Debt to GDP Ratio'!E23),TEXT('Debt to GDP Ratio'!E23,"0.00"), ""), "")</f>
        <v/>
      </c>
      <c r="D19">
        <f>IFERROR(IF(ISNUMBER('Debt to GDP Ratio'!B23),'Debt to GDP Ratio'!G23, ""), "")</f>
        <v>0</v>
      </c>
    </row>
    <row r="20" spans="1:4">
      <c r="A20" t="str">
        <f>TEXT(IF('Debt to GDP Ratio'!B24&lt;&gt;0,'Debt to GDP Ratio'!B24, ""), "mm/dd/yyyy")</f>
        <v>01/01/1995</v>
      </c>
      <c r="B20" t="str">
        <f>IFERROR(IF(ISNUMBER('Debt to GDP Ratio'!D24),TEXT('Debt to GDP Ratio'!D24,"0.00"), ""), "")</f>
        <v>47.50</v>
      </c>
      <c r="C20" t="str">
        <f ca="1">IFERROR(IF(ISNUMBER('Debt to GDP Ratio'!E24),TEXT('Debt to GDP Ratio'!E24,"0.00"), ""), "")</f>
        <v/>
      </c>
      <c r="D20">
        <f>IFERROR(IF(ISNUMBER('Debt to GDP Ratio'!B24),'Debt to GDP Ratio'!G24, ""), "")</f>
        <v>0</v>
      </c>
    </row>
    <row r="21" spans="1:4">
      <c r="A21" t="str">
        <f>TEXT(IF('Debt to GDP Ratio'!B25&lt;&gt;0,'Debt to GDP Ratio'!B25, ""), "mm/dd/yyyy")</f>
        <v>01/01/1996</v>
      </c>
      <c r="B21" t="str">
        <f>IFERROR(IF(ISNUMBER('Debt to GDP Ratio'!D25),TEXT('Debt to GDP Ratio'!D25,"0.00"), ""), "")</f>
        <v>46.80</v>
      </c>
      <c r="C21" t="str">
        <f ca="1">IFERROR(IF(ISNUMBER('Debt to GDP Ratio'!E25),TEXT('Debt to GDP Ratio'!E25,"0.00"), ""), "")</f>
        <v/>
      </c>
      <c r="D21">
        <f>IFERROR(IF(ISNUMBER('Debt to GDP Ratio'!B25),'Debt to GDP Ratio'!G25, ""), "")</f>
        <v>0</v>
      </c>
    </row>
    <row r="22" spans="1:4">
      <c r="A22" t="str">
        <f>TEXT(IF('Debt to GDP Ratio'!B26&lt;&gt;0,'Debt to GDP Ratio'!B26, ""), "mm/dd/yyyy")</f>
        <v>01/01/1997</v>
      </c>
      <c r="B22" t="str">
        <f>IFERROR(IF(ISNUMBER('Debt to GDP Ratio'!D26),TEXT('Debt to GDP Ratio'!D26,"0.00"), ""), "")</f>
        <v>44.50</v>
      </c>
      <c r="C22" t="str">
        <f ca="1">IFERROR(IF(ISNUMBER('Debt to GDP Ratio'!E26),TEXT('Debt to GDP Ratio'!E26,"0.00"), ""), "")</f>
        <v/>
      </c>
      <c r="D22">
        <f>IFERROR(IF(ISNUMBER('Debt to GDP Ratio'!B26),'Debt to GDP Ratio'!G26, ""), "")</f>
        <v>0</v>
      </c>
    </row>
    <row r="23" spans="1:4">
      <c r="A23" t="str">
        <f>TEXT(IF('Debt to GDP Ratio'!B27&lt;&gt;0,'Debt to GDP Ratio'!B27, ""), "mm/dd/yyyy")</f>
        <v>01/01/1998</v>
      </c>
      <c r="B23" t="str">
        <f>IFERROR(IF(ISNUMBER('Debt to GDP Ratio'!D27),TEXT('Debt to GDP Ratio'!D27,"0.00"), ""), "")</f>
        <v>41.60</v>
      </c>
      <c r="C23" t="str">
        <f ca="1">IFERROR(IF(ISNUMBER('Debt to GDP Ratio'!E27),TEXT('Debt to GDP Ratio'!E27,"0.00"), ""), "")</f>
        <v/>
      </c>
      <c r="D23">
        <f>IFERROR(IF(ISNUMBER('Debt to GDP Ratio'!B27),'Debt to GDP Ratio'!G27, ""), "")</f>
        <v>0</v>
      </c>
    </row>
    <row r="24" spans="1:4">
      <c r="A24" t="str">
        <f>TEXT(IF('Debt to GDP Ratio'!B28&lt;&gt;0,'Debt to GDP Ratio'!B28, ""), "mm/dd/yyyy")</f>
        <v>01/01/1999</v>
      </c>
      <c r="B24" t="str">
        <f>IFERROR(IF(ISNUMBER('Debt to GDP Ratio'!D28),TEXT('Debt to GDP Ratio'!D28,"0.00"), ""), "")</f>
        <v>38.20</v>
      </c>
      <c r="C24" t="str">
        <f ca="1">IFERROR(IF(ISNUMBER('Debt to GDP Ratio'!E28),TEXT('Debt to GDP Ratio'!E28,"0.00"), ""), "")</f>
        <v/>
      </c>
      <c r="D24">
        <f>IFERROR(IF(ISNUMBER('Debt to GDP Ratio'!B28),'Debt to GDP Ratio'!G28, ""), "")</f>
        <v>0</v>
      </c>
    </row>
    <row r="25" spans="1:4">
      <c r="A25" t="str">
        <f>TEXT(IF('Debt to GDP Ratio'!B29&lt;&gt;0,'Debt to GDP Ratio'!B29, ""), "mm/dd/yyyy")</f>
        <v>01/01/2000</v>
      </c>
      <c r="B25" t="str">
        <f>IFERROR(IF(ISNUMBER('Debt to GDP Ratio'!D29),TEXT('Debt to GDP Ratio'!D29,"0.00"), ""), "")</f>
        <v>33.60</v>
      </c>
      <c r="C25" t="str">
        <f ca="1">IFERROR(IF(ISNUMBER('Debt to GDP Ratio'!E29),TEXT('Debt to GDP Ratio'!E29,"0.00"), ""), "")</f>
        <v/>
      </c>
      <c r="D25">
        <f>IFERROR(IF(ISNUMBER('Debt to GDP Ratio'!B29),'Debt to GDP Ratio'!G29, ""), "")</f>
        <v>0</v>
      </c>
    </row>
    <row r="26" spans="1:4">
      <c r="A26" t="str">
        <f>TEXT(IF('Debt to GDP Ratio'!B30&lt;&gt;0,'Debt to GDP Ratio'!B30, ""), "mm/dd/yyyy")</f>
        <v>01/01/2001</v>
      </c>
      <c r="B26" t="str">
        <f>IFERROR(IF(ISNUMBER('Debt to GDP Ratio'!D30),TEXT('Debt to GDP Ratio'!D30,"0.00"), ""), "")</f>
        <v>31.40</v>
      </c>
      <c r="C26" t="str">
        <f ca="1">IFERROR(IF(ISNUMBER('Debt to GDP Ratio'!E30),TEXT('Debt to GDP Ratio'!E30,"0.00"), ""), "")</f>
        <v/>
      </c>
      <c r="D26">
        <f>IFERROR(IF(ISNUMBER('Debt to GDP Ratio'!B30),'Debt to GDP Ratio'!G30, ""), "")</f>
        <v>1</v>
      </c>
    </row>
    <row r="27" spans="1:4">
      <c r="A27" t="str">
        <f>TEXT(IF('Debt to GDP Ratio'!B31&lt;&gt;0,'Debt to GDP Ratio'!B31, ""), "mm/dd/yyyy")</f>
        <v>01/01/2002</v>
      </c>
      <c r="B27" t="str">
        <f>IFERROR(IF(ISNUMBER('Debt to GDP Ratio'!D31),TEXT('Debt to GDP Ratio'!D31,"0.00"), ""), "")</f>
        <v>32.60</v>
      </c>
      <c r="C27" t="str">
        <f ca="1">IFERROR(IF(ISNUMBER('Debt to GDP Ratio'!E31),TEXT('Debt to GDP Ratio'!E31,"0.00"), ""), "")</f>
        <v/>
      </c>
      <c r="D27">
        <f>IFERROR(IF(ISNUMBER('Debt to GDP Ratio'!B31),'Debt to GDP Ratio'!G31, ""), "")</f>
        <v>0</v>
      </c>
    </row>
    <row r="28" spans="1:4">
      <c r="A28" t="str">
        <f>TEXT(IF('Debt to GDP Ratio'!B32&lt;&gt;0,'Debt to GDP Ratio'!B32, ""), "mm/dd/yyyy")</f>
        <v>01/01/2003</v>
      </c>
      <c r="B28" t="str">
        <f>IFERROR(IF(ISNUMBER('Debt to GDP Ratio'!D32),TEXT('Debt to GDP Ratio'!D32,"0.00"), ""), "")</f>
        <v>34.50</v>
      </c>
      <c r="C28" t="str">
        <f ca="1">IFERROR(IF(ISNUMBER('Debt to GDP Ratio'!E32),TEXT('Debt to GDP Ratio'!E32,"0.00"), ""), "")</f>
        <v/>
      </c>
      <c r="D28">
        <f>IFERROR(IF(ISNUMBER('Debt to GDP Ratio'!B32),'Debt to GDP Ratio'!G32, ""), "")</f>
        <v>0</v>
      </c>
    </row>
    <row r="29" spans="1:4">
      <c r="A29" t="str">
        <f>TEXT(IF('Debt to GDP Ratio'!B33&lt;&gt;0,'Debt to GDP Ratio'!B33, ""), "mm/dd/yyyy")</f>
        <v>01/01/2004</v>
      </c>
      <c r="B29" t="str">
        <f>IFERROR(IF(ISNUMBER('Debt to GDP Ratio'!D33),TEXT('Debt to GDP Ratio'!D33,"0.00"), ""), "")</f>
        <v>35.50</v>
      </c>
      <c r="C29" t="str">
        <f ca="1">IFERROR(IF(ISNUMBER('Debt to GDP Ratio'!E33),TEXT('Debt to GDP Ratio'!E33,"0.00"), ""), "")</f>
        <v/>
      </c>
      <c r="D29">
        <f>IFERROR(IF(ISNUMBER('Debt to GDP Ratio'!B33),'Debt to GDP Ratio'!G33, ""), "")</f>
        <v>0</v>
      </c>
    </row>
    <row r="30" spans="1:4">
      <c r="A30" t="str">
        <f>TEXT(IF('Debt to GDP Ratio'!B34&lt;&gt;0,'Debt to GDP Ratio'!B34, ""), "mm/dd/yyyy")</f>
        <v>01/01/2005</v>
      </c>
      <c r="B30" t="str">
        <f>IFERROR(IF(ISNUMBER('Debt to GDP Ratio'!D34),TEXT('Debt to GDP Ratio'!D34,"0.00"), ""), "")</f>
        <v>35.60</v>
      </c>
      <c r="C30" t="str">
        <f ca="1">IFERROR(IF(ISNUMBER('Debt to GDP Ratio'!E34),TEXT('Debt to GDP Ratio'!E34,"0.00"), ""), "")</f>
        <v/>
      </c>
      <c r="D30">
        <f>IFERROR(IF(ISNUMBER('Debt to GDP Ratio'!B34),'Debt to GDP Ratio'!G34, ""), "")</f>
        <v>0</v>
      </c>
    </row>
    <row r="31" spans="1:4">
      <c r="A31" t="str">
        <f>TEXT(IF('Debt to GDP Ratio'!B35&lt;&gt;0,'Debt to GDP Ratio'!B35, ""), "mm/dd/yyyy")</f>
        <v>01/01/2006</v>
      </c>
      <c r="B31" t="str">
        <f>IFERROR(IF(ISNUMBER('Debt to GDP Ratio'!D35),TEXT('Debt to GDP Ratio'!D35,"0.00"), ""), "")</f>
        <v>35.30</v>
      </c>
      <c r="C31" t="str">
        <f ca="1">IFERROR(IF(ISNUMBER('Debt to GDP Ratio'!E35),TEXT('Debt to GDP Ratio'!E35,"0.00"), ""), "")</f>
        <v/>
      </c>
      <c r="D31">
        <f>IFERROR(IF(ISNUMBER('Debt to GDP Ratio'!B35),'Debt to GDP Ratio'!G35, ""), "")</f>
        <v>0</v>
      </c>
    </row>
    <row r="32" spans="1:4">
      <c r="A32" t="str">
        <f>TEXT(IF('Debt to GDP Ratio'!B36&lt;&gt;0,'Debt to GDP Ratio'!B36, ""), "mm/dd/yyyy")</f>
        <v>01/01/2007</v>
      </c>
      <c r="B32" t="str">
        <f>IFERROR(IF(ISNUMBER('Debt to GDP Ratio'!D36),TEXT('Debt to GDP Ratio'!D36,"0.00"), ""), "")</f>
        <v>35.20</v>
      </c>
      <c r="C32" t="str">
        <f ca="1">IFERROR(IF(ISNUMBER('Debt to GDP Ratio'!E36),TEXT('Debt to GDP Ratio'!E36,"0.00"), ""), "")</f>
        <v/>
      </c>
      <c r="D32">
        <f>IFERROR(IF(ISNUMBER('Debt to GDP Ratio'!B36),'Debt to GDP Ratio'!G36, ""), "")</f>
        <v>0</v>
      </c>
    </row>
    <row r="33" spans="1:4">
      <c r="A33" t="str">
        <f>TEXT(IF('Debt to GDP Ratio'!B37&lt;&gt;0,'Debt to GDP Ratio'!B37, ""), "mm/dd/yyyy")</f>
        <v>01/01/2008</v>
      </c>
      <c r="B33" t="str">
        <f>IFERROR(IF(ISNUMBER('Debt to GDP Ratio'!D37),TEXT('Debt to GDP Ratio'!D37,"0.00"), ""), "")</f>
        <v>39.30</v>
      </c>
      <c r="C33" t="str">
        <f ca="1">IFERROR(IF(ISNUMBER('Debt to GDP Ratio'!E37),TEXT('Debt to GDP Ratio'!E37,"0.00"), ""), "")</f>
        <v/>
      </c>
      <c r="D33">
        <f>IFERROR(IF(ISNUMBER('Debt to GDP Ratio'!B37),'Debt to GDP Ratio'!G37, ""), "")</f>
        <v>1</v>
      </c>
    </row>
    <row r="34" spans="1:4">
      <c r="A34" t="str">
        <f>TEXT(IF('Debt to GDP Ratio'!B38&lt;&gt;0,'Debt to GDP Ratio'!B38, ""), "mm/dd/yyyy")</f>
        <v>01/01/2009</v>
      </c>
      <c r="B34" t="str">
        <f>IFERROR(IF(ISNUMBER('Debt to GDP Ratio'!D38),TEXT('Debt to GDP Ratio'!D38,"0.00"), ""), "")</f>
        <v>52.30</v>
      </c>
      <c r="C34" t="str">
        <f ca="1">IFERROR(IF(ISNUMBER('Debt to GDP Ratio'!E38),TEXT('Debt to GDP Ratio'!E38,"0.00"), ""), "")</f>
        <v/>
      </c>
      <c r="D34">
        <f>IFERROR(IF(ISNUMBER('Debt to GDP Ratio'!B38),'Debt to GDP Ratio'!G38, ""), "")</f>
        <v>1</v>
      </c>
    </row>
    <row r="35" spans="1:4">
      <c r="A35" t="str">
        <f>TEXT(IF('Debt to GDP Ratio'!B39&lt;&gt;0,'Debt to GDP Ratio'!B39, ""), "mm/dd/yyyy")</f>
        <v>01/01/2010</v>
      </c>
      <c r="B35" t="str">
        <f>IFERROR(IF(ISNUMBER('Debt to GDP Ratio'!D39),TEXT('Debt to GDP Ratio'!D39,"0.00"), ""), "")</f>
        <v>60.90</v>
      </c>
      <c r="C35" t="str">
        <f ca="1">IFERROR(IF(ISNUMBER('Debt to GDP Ratio'!E39),TEXT('Debt to GDP Ratio'!E39,"0.00"), ""), "")</f>
        <v/>
      </c>
      <c r="D35">
        <f>IFERROR(IF(ISNUMBER('Debt to GDP Ratio'!B39),'Debt to GDP Ratio'!G39, ""), "")</f>
        <v>0</v>
      </c>
    </row>
    <row r="36" spans="1:4">
      <c r="A36" t="str">
        <f>TEXT(IF('Debt to GDP Ratio'!B40&lt;&gt;0,'Debt to GDP Ratio'!B40, ""), "mm/dd/yyyy")</f>
        <v>01/01/2011</v>
      </c>
      <c r="B36" t="str">
        <f>IFERROR(IF(ISNUMBER('Debt to GDP Ratio'!D40),TEXT('Debt to GDP Ratio'!D40,"0.00"), ""), "")</f>
        <v>65.90</v>
      </c>
      <c r="C36" t="str">
        <f ca="1">IFERROR(IF(ISNUMBER('Debt to GDP Ratio'!E40),TEXT('Debt to GDP Ratio'!E40,"0.00"), ""), "")</f>
        <v/>
      </c>
      <c r="D36">
        <f>IFERROR(IF(ISNUMBER('Debt to GDP Ratio'!B40),'Debt to GDP Ratio'!G40, ""), "")</f>
        <v>0</v>
      </c>
    </row>
    <row r="37" spans="1:4">
      <c r="A37" t="str">
        <f>TEXT(IF('Debt to GDP Ratio'!B41&lt;&gt;0,'Debt to GDP Ratio'!B41, ""), "mm/dd/yyyy")</f>
        <v>01/01/2012</v>
      </c>
      <c r="B37" t="str">
        <f>IFERROR(IF(ISNUMBER('Debt to GDP Ratio'!D41),TEXT('Debt to GDP Ratio'!D41,"0.00"), ""), "")</f>
        <v>70.40</v>
      </c>
      <c r="C37" t="str">
        <f ca="1">IFERROR(IF(ISNUMBER('Debt to GDP Ratio'!E41),TEXT('Debt to GDP Ratio'!E41,"0.00"), ""), "")</f>
        <v/>
      </c>
      <c r="D37">
        <f>IFERROR(IF(ISNUMBER('Debt to GDP Ratio'!B41),'Debt to GDP Ratio'!G41, ""), "")</f>
        <v>0</v>
      </c>
    </row>
    <row r="38" spans="1:4">
      <c r="A38" t="str">
        <f>TEXT(IF('Debt to GDP Ratio'!B42&lt;&gt;0,'Debt to GDP Ratio'!B42, ""), "mm/dd/yyyy")</f>
        <v>01/01/2013</v>
      </c>
      <c r="B38" t="str">
        <f>IFERROR(IF(ISNUMBER('Debt to GDP Ratio'!D42),TEXT('Debt to GDP Ratio'!D42,"0.00"), ""), "")</f>
        <v>72.60</v>
      </c>
      <c r="C38" t="str">
        <f ca="1">IFERROR(IF(ISNUMBER('Debt to GDP Ratio'!E42),TEXT('Debt to GDP Ratio'!E42,"0.00"), ""), "")</f>
        <v/>
      </c>
      <c r="D38">
        <f>IFERROR(IF(ISNUMBER('Debt to GDP Ratio'!B42),'Debt to GDP Ratio'!G42, ""), "")</f>
        <v>0</v>
      </c>
    </row>
    <row r="39" spans="1:4">
      <c r="A39" t="str">
        <f>TEXT(IF('Debt to GDP Ratio'!B43&lt;&gt;0,'Debt to GDP Ratio'!B43, ""), "mm/dd/yyyy")</f>
        <v>01/01/2014</v>
      </c>
      <c r="B39" t="str">
        <f>IFERROR(IF(ISNUMBER('Debt to GDP Ratio'!D43),TEXT('Debt to GDP Ratio'!D43,"0.00"), ""), "")</f>
        <v>74.20</v>
      </c>
      <c r="C39" t="str">
        <f ca="1">IFERROR(IF(ISNUMBER('Debt to GDP Ratio'!E43),TEXT('Debt to GDP Ratio'!E43,"0.00"), ""), "")</f>
        <v/>
      </c>
      <c r="D39">
        <f>IFERROR(IF(ISNUMBER('Debt to GDP Ratio'!B43),'Debt to GDP Ratio'!G43, ""), "")</f>
        <v>0</v>
      </c>
    </row>
    <row r="40" spans="1:4">
      <c r="A40" t="str">
        <f>TEXT(IF('Debt to GDP Ratio'!B44&lt;&gt;0,'Debt to GDP Ratio'!B44, ""), "mm/dd/yyyy")</f>
        <v>01/01/2015</v>
      </c>
      <c r="B40" t="str">
        <f>IFERROR(IF(ISNUMBER('Debt to GDP Ratio'!D44),TEXT('Debt to GDP Ratio'!D44,"0.00"), ""), "")</f>
        <v>73.30</v>
      </c>
      <c r="C40" t="str">
        <f ca="1">IFERROR(IF(ISNUMBER('Debt to GDP Ratio'!E44),TEXT('Debt to GDP Ratio'!E44,"0.00"), ""), "")</f>
        <v/>
      </c>
      <c r="D40">
        <f>IFERROR(IF(ISNUMBER('Debt to GDP Ratio'!B44),'Debt to GDP Ratio'!G44, ""), "")</f>
        <v>0</v>
      </c>
    </row>
    <row r="41" spans="1:4">
      <c r="A41" t="str">
        <f>TEXT(IF('Debt to GDP Ratio'!B45&lt;&gt;0,'Debt to GDP Ratio'!B45, ""), "mm/dd/yyyy")</f>
        <v>01/01/2016</v>
      </c>
      <c r="B41" t="str">
        <f>IFERROR(IF(ISNUMBER('Debt to GDP Ratio'!D45),TEXT('Debt to GDP Ratio'!D45,"0.00"), ""), "")</f>
        <v/>
      </c>
      <c r="C41" t="str">
        <f ca="1">IFERROR(IF(ISNUMBER('Debt to GDP Ratio'!E45),TEXT('Debt to GDP Ratio'!E45,"0.00"), ""), "")</f>
        <v/>
      </c>
      <c r="D41">
        <f>IFERROR(IF(ISNUMBER('Debt to GDP Ratio'!B45),'Debt to GDP Ratio'!G45, ""), "")</f>
        <v>0</v>
      </c>
    </row>
    <row r="42" spans="1:4">
      <c r="A42" t="str">
        <f>TEXT(IF('Debt to GDP Ratio'!B46&lt;&gt;0,'Debt to GDP Ratio'!B46, ""), "mm/dd/yyyy")</f>
        <v>01/01/2017</v>
      </c>
      <c r="B42" t="str">
        <f>IFERROR(IF(ISNUMBER('Debt to GDP Ratio'!D46),TEXT('Debt to GDP Ratio'!D46,"0.00"), ""), "")</f>
        <v/>
      </c>
      <c r="C42" t="str">
        <f ca="1">IFERROR(IF(ISNUMBER('Debt to GDP Ratio'!E46),TEXT('Debt to GDP Ratio'!E46,"0.00"), ""), "")</f>
        <v/>
      </c>
      <c r="D42">
        <f>IFERROR(IF(ISNUMBER('Debt to GDP Ratio'!B46),'Debt to GDP Ratio'!G46, ""), "")</f>
        <v>0</v>
      </c>
    </row>
    <row r="43" spans="1:4">
      <c r="A43" t="str">
        <f>TEXT(IF('Debt to GDP Ratio'!B47&lt;&gt;0,'Debt to GDP Ratio'!B47, ""), "mm/dd/yyyy")</f>
        <v>01/01/2018</v>
      </c>
      <c r="B43" t="str">
        <f>IFERROR(IF(ISNUMBER('Debt to GDP Ratio'!D47),TEXT('Debt to GDP Ratio'!D47,"0.00"), ""), "")</f>
        <v/>
      </c>
      <c r="C43" t="str">
        <f ca="1">IFERROR(IF(ISNUMBER('Debt to GDP Ratio'!E47),TEXT('Debt to GDP Ratio'!E47,"0.00"), ""), "")</f>
        <v>77.80</v>
      </c>
      <c r="D43">
        <f>IFERROR(IF(ISNUMBER('Debt to GDP Ratio'!B47),'Debt to GDP Ratio'!G47, ""), "")</f>
        <v>0</v>
      </c>
    </row>
    <row r="44" spans="1:4">
      <c r="A44" t="str">
        <f>TEXT(IF('Debt to GDP Ratio'!B48&lt;&gt;0,'Debt to GDP Ratio'!B48, ""), "mm/dd/yyyy")</f>
        <v>01/01/2019</v>
      </c>
      <c r="B44" t="str">
        <f>IFERROR(IF(ISNUMBER('Debt to GDP Ratio'!D48),TEXT('Debt to GDP Ratio'!D48,"0.00"), ""), "")</f>
        <v/>
      </c>
      <c r="C44" t="str">
        <f ca="1">IFERROR(IF(ISNUMBER('Debt to GDP Ratio'!E48),TEXT('Debt to GDP Ratio'!E48,"0.00"), ""), "")</f>
        <v>78.30</v>
      </c>
      <c r="D44">
        <f>IFERROR(IF(ISNUMBER('Debt to GDP Ratio'!B48),'Debt to GDP Ratio'!G48, ""), "")</f>
        <v>0</v>
      </c>
    </row>
    <row r="45" spans="1:4">
      <c r="A45" t="str">
        <f>TEXT(IF('Debt to GDP Ratio'!B49&lt;&gt;0,'Debt to GDP Ratio'!B49, ""), "mm/dd/yyyy")</f>
        <v>01/01/2020</v>
      </c>
      <c r="B45" t="str">
        <f>IFERROR(IF(ISNUMBER('Debt to GDP Ratio'!D49),TEXT('Debt to GDP Ratio'!D49,"0.00"), ""), "")</f>
        <v/>
      </c>
      <c r="C45" t="str">
        <f ca="1">IFERROR(IF(ISNUMBER('Debt to GDP Ratio'!E49),TEXT('Debt to GDP Ratio'!E49,"0.00"), ""), "")</f>
        <v>79.60</v>
      </c>
      <c r="D45">
        <f>IFERROR(IF(ISNUMBER('Debt to GDP Ratio'!B49),'Debt to GDP Ratio'!G49, ""), "")</f>
        <v>0</v>
      </c>
    </row>
    <row r="46" spans="1:4">
      <c r="A46" t="str">
        <f>TEXT(IF('Debt to GDP Ratio'!B50&lt;&gt;0,'Debt to GDP Ratio'!B50, ""), "mm/dd/yyyy")</f>
        <v>01/01/2021</v>
      </c>
      <c r="B46" t="str">
        <f>IFERROR(IF(ISNUMBER('Debt to GDP Ratio'!D50),TEXT('Debt to GDP Ratio'!D50,"0.00"), ""), "")</f>
        <v/>
      </c>
      <c r="C46" t="str">
        <f ca="1">IFERROR(IF(ISNUMBER('Debt to GDP Ratio'!E50),TEXT('Debt to GDP Ratio'!E50,"0.00"), ""), "")</f>
        <v>81.20</v>
      </c>
      <c r="D46">
        <f>IFERROR(IF(ISNUMBER('Debt to GDP Ratio'!B50),'Debt to GDP Ratio'!G50, ""), "")</f>
        <v>0</v>
      </c>
    </row>
    <row r="47" spans="1:4">
      <c r="A47" t="str">
        <f>TEXT(IF('Debt to GDP Ratio'!B51&lt;&gt;0,'Debt to GDP Ratio'!B51, ""), "mm/dd/yyyy")</f>
        <v>01/01/2022</v>
      </c>
      <c r="B47" t="str">
        <f>IFERROR(IF(ISNUMBER('Debt to GDP Ratio'!D51),TEXT('Debt to GDP Ratio'!D51,"0.00"), ""), "")</f>
        <v/>
      </c>
      <c r="C47" t="str">
        <f ca="1">IFERROR(IF(ISNUMBER('Debt to GDP Ratio'!E51),TEXT('Debt to GDP Ratio'!E51,"0.00"), ""), "")</f>
        <v>83.20</v>
      </c>
      <c r="D47">
        <f>IFERROR(IF(ISNUMBER('Debt to GDP Ratio'!B51),'Debt to GDP Ratio'!G51, ""), "")</f>
        <v>0</v>
      </c>
    </row>
    <row r="48" spans="1:4">
      <c r="A48" t="str">
        <f>TEXT(IF('Debt to GDP Ratio'!B52&lt;&gt;0,'Debt to GDP Ratio'!B52, ""), "mm/dd/yyyy")</f>
        <v>01/01/2023</v>
      </c>
      <c r="B48" t="str">
        <f>IFERROR(IF(ISNUMBER('Debt to GDP Ratio'!D52),TEXT('Debt to GDP Ratio'!D52,"0.00"), ""), "")</f>
        <v/>
      </c>
      <c r="C48" t="str">
        <f ca="1">IFERROR(IF(ISNUMBER('Debt to GDP Ratio'!E52),TEXT('Debt to GDP Ratio'!E52,"0.00"), ""), "")</f>
        <v>85.00</v>
      </c>
      <c r="D48">
        <f>IFERROR(IF(ISNUMBER('Debt to GDP Ratio'!B52),'Debt to GDP Ratio'!G52, ""), "")</f>
        <v>0</v>
      </c>
    </row>
    <row r="49" spans="1:4">
      <c r="A49" t="str">
        <f>TEXT(IF('Debt to GDP Ratio'!B53&lt;&gt;0,'Debt to GDP Ratio'!B53, ""), "mm/dd/yyyy")</f>
        <v>01/01/2024</v>
      </c>
      <c r="B49" t="str">
        <f>IFERROR(IF(ISNUMBER('Debt to GDP Ratio'!D53),TEXT('Debt to GDP Ratio'!D53,"0.00"), ""), "")</f>
        <v/>
      </c>
      <c r="C49" t="str">
        <f ca="1">IFERROR(IF(ISNUMBER('Debt to GDP Ratio'!E53),TEXT('Debt to GDP Ratio'!E53,"0.00"), ""), "")</f>
        <v>86.20</v>
      </c>
      <c r="D49">
        <f>IFERROR(IF(ISNUMBER('Debt to GDP Ratio'!B53),'Debt to GDP Ratio'!G53, ""), "")</f>
        <v>0</v>
      </c>
    </row>
    <row r="50" spans="1:4">
      <c r="A50" t="str">
        <f>TEXT(IF('Debt to GDP Ratio'!B54&lt;&gt;0,'Debt to GDP Ratio'!B54, ""), "mm/dd/yyyy")</f>
        <v>01/01/2025</v>
      </c>
      <c r="B50" t="str">
        <f>IFERROR(IF(ISNUMBER('Debt to GDP Ratio'!D54),TEXT('Debt to GDP Ratio'!D54,"0.00"), ""), "")</f>
        <v/>
      </c>
      <c r="C50" t="str">
        <f ca="1">IFERROR(IF(ISNUMBER('Debt to GDP Ratio'!E54),TEXT('Debt to GDP Ratio'!E54,"0.00"), ""), "")</f>
        <v>87.70</v>
      </c>
      <c r="D50">
        <f>IFERROR(IF(ISNUMBER('Debt to GDP Ratio'!B54),'Debt to GDP Ratio'!G54, ""), "")</f>
        <v>0</v>
      </c>
    </row>
    <row r="51" spans="1:4">
      <c r="A51" t="str">
        <f>TEXT(IF('Debt to GDP Ratio'!B55&lt;&gt;0,'Debt to GDP Ratio'!B55, ""), "mm/dd/yyyy")</f>
        <v>01/01/2026</v>
      </c>
      <c r="B51" t="str">
        <f>IFERROR(IF(ISNUMBER('Debt to GDP Ratio'!D55),TEXT('Debt to GDP Ratio'!D55,"0.00"), ""), "")</f>
        <v/>
      </c>
      <c r="C51" t="str">
        <f ca="1">IFERROR(IF(ISNUMBER('Debt to GDP Ratio'!E55),TEXT('Debt to GDP Ratio'!E55,"0.00"), ""), "")</f>
        <v>89.00</v>
      </c>
      <c r="D51">
        <f>IFERROR(IF(ISNUMBER('Debt to GDP Ratio'!B55),'Debt to GDP Ratio'!G55, ""), "")</f>
        <v>0</v>
      </c>
    </row>
    <row r="52" spans="1:4">
      <c r="A52" t="str">
        <f>TEXT(IF('Debt to GDP Ratio'!B56&lt;&gt;0,'Debt to GDP Ratio'!B56, ""), "mm/dd/yyyy")</f>
        <v/>
      </c>
      <c r="B52" t="str">
        <f>IFERROR(IF(ISNUMBER('Debt to GDP Ratio'!D56),TEXT('Debt to GDP Ratio'!D56,"0.00"), ""), "")</f>
        <v/>
      </c>
      <c r="C52" t="str">
        <f>IFERROR(IF(ISNUMBER('Debt to GDP Ratio'!E56),TEXT('Debt to GDP Ratio'!E56,"0.00"), ""), "")</f>
        <v/>
      </c>
      <c r="D52" t="str">
        <f>IFERROR(IF(ISNUMBER('Debt to GDP Ratio'!B56),'Debt to GDP Ratio'!G56, ""), "")</f>
        <v/>
      </c>
    </row>
    <row r="53" spans="1:4">
      <c r="A53" t="str">
        <f>TEXT(IF('Debt to GDP Ratio'!B57&lt;&gt;0,'Debt to GDP Ratio'!B57, ""), "mm/dd/yyyy")</f>
        <v/>
      </c>
      <c r="B53" t="str">
        <f>IFERROR(IF(ISNUMBER('Debt to GDP Ratio'!D57),TEXT('Debt to GDP Ratio'!D57,"0.00"), ""), "")</f>
        <v/>
      </c>
      <c r="C53" t="str">
        <f>IFERROR(IF(ISNUMBER('Debt to GDP Ratio'!E57),TEXT('Debt to GDP Ratio'!E57,"0.00"), ""), "")</f>
        <v/>
      </c>
      <c r="D53" t="str">
        <f>IFERROR(IF(ISNUMBER('Debt to GDP Ratio'!B57),'Debt to GDP Ratio'!G57, ""), "")</f>
        <v/>
      </c>
    </row>
    <row r="54" spans="1:4">
      <c r="A54" t="str">
        <f>TEXT(IF('Debt to GDP Ratio'!B58&lt;&gt;0,'Debt to GDP Ratio'!B58, ""), "mm/dd/yyyy")</f>
        <v/>
      </c>
      <c r="B54" t="str">
        <f>IFERROR(IF(ISNUMBER('Debt to GDP Ratio'!D58),TEXT('Debt to GDP Ratio'!D58,"0.00"), ""), "")</f>
        <v/>
      </c>
      <c r="C54" t="str">
        <f>IFERROR(IF(ISNUMBER('Debt to GDP Ratio'!E58),TEXT('Debt to GDP Ratio'!E58,"0.00"), ""), "")</f>
        <v/>
      </c>
      <c r="D54" t="str">
        <f>IFERROR(IF(ISNUMBER('Debt to GDP Ratio'!B58),'Debt to GDP Ratio'!G58, ""), "")</f>
        <v/>
      </c>
    </row>
    <row r="55" spans="1:4">
      <c r="A55" t="str">
        <f>TEXT(IF('Debt to GDP Ratio'!B59&lt;&gt;0,'Debt to GDP Ratio'!B59, ""), "mm/dd/yyyy")</f>
        <v/>
      </c>
      <c r="B55" t="str">
        <f>IFERROR(IF(ISNUMBER('Debt to GDP Ratio'!D59),TEXT('Debt to GDP Ratio'!D59,"0.00"), ""), "")</f>
        <v/>
      </c>
      <c r="C55" t="str">
        <f>IFERROR(IF(ISNUMBER('Debt to GDP Ratio'!E59),TEXT('Debt to GDP Ratio'!E59,"0.00"), ""), "")</f>
        <v/>
      </c>
      <c r="D55" t="str">
        <f>IFERROR(IF(ISNUMBER('Debt to GDP Ratio'!B59),'Debt to GDP Ratio'!G59, ""), "")</f>
        <v/>
      </c>
    </row>
    <row r="56" spans="1:4">
      <c r="A56" t="str">
        <f>TEXT(IF('Debt to GDP Ratio'!B60&lt;&gt;0,'Debt to GDP Ratio'!B60, ""), "mm/dd/yyyy")</f>
        <v/>
      </c>
      <c r="B56" t="str">
        <f>IFERROR(IF(ISNUMBER('Debt to GDP Ratio'!D60),TEXT('Debt to GDP Ratio'!D60,"0.00"), ""), "")</f>
        <v/>
      </c>
      <c r="C56" t="str">
        <f>IFERROR(IF(ISNUMBER('Debt to GDP Ratio'!E60),TEXT('Debt to GDP Ratio'!E60,"0.00"), ""), "")</f>
        <v/>
      </c>
      <c r="D56" t="str">
        <f>IFERROR(IF(ISNUMBER('Debt to GDP Ratio'!B60),'Debt to GDP Ratio'!G60, ""), "")</f>
        <v/>
      </c>
    </row>
    <row r="57" spans="1:4">
      <c r="A57" t="str">
        <f>TEXT(IF('Debt to GDP Ratio'!B61&lt;&gt;0,'Debt to GDP Ratio'!B61, ""), "mm/dd/yyyy")</f>
        <v/>
      </c>
      <c r="B57" t="str">
        <f>IFERROR(IF(ISNUMBER('Debt to GDP Ratio'!D61),TEXT('Debt to GDP Ratio'!D61,"0.00"), ""), "")</f>
        <v/>
      </c>
      <c r="C57" t="str">
        <f>IFERROR(IF(ISNUMBER('Debt to GDP Ratio'!E61),TEXT('Debt to GDP Ratio'!E61,"0.00"), ""), "")</f>
        <v/>
      </c>
      <c r="D57" t="str">
        <f>IFERROR(IF(ISNUMBER('Debt to GDP Ratio'!B61),'Debt to GDP Ratio'!G61, ""), "")</f>
        <v/>
      </c>
    </row>
    <row r="58" spans="1:4">
      <c r="A58" t="str">
        <f>TEXT(IF('Debt to GDP Ratio'!B62&lt;&gt;0,'Debt to GDP Ratio'!B62, ""), "mm/dd/yyyy")</f>
        <v/>
      </c>
      <c r="B58" t="str">
        <f>IFERROR(IF(ISNUMBER('Debt to GDP Ratio'!D62),TEXT('Debt to GDP Ratio'!D62,"0.00"), ""), "")</f>
        <v/>
      </c>
      <c r="C58" t="str">
        <f>IFERROR(IF(ISNUMBER('Debt to GDP Ratio'!E62),TEXT('Debt to GDP Ratio'!E62,"0.00"), ""), "")</f>
        <v/>
      </c>
      <c r="D58" t="str">
        <f>IFERROR(IF(ISNUMBER('Debt to GDP Ratio'!B62),'Debt to GDP Ratio'!G62, ""), "")</f>
        <v/>
      </c>
    </row>
    <row r="59" spans="1:4">
      <c r="A59" t="str">
        <f>TEXT(IF('Debt to GDP Ratio'!B63&lt;&gt;0,'Debt to GDP Ratio'!B63, ""), "mm/dd/yyyy")</f>
        <v/>
      </c>
      <c r="B59" t="str">
        <f>IFERROR(IF(ISNUMBER('Debt to GDP Ratio'!D63),TEXT('Debt to GDP Ratio'!D63,"0.00"), ""), "")</f>
        <v/>
      </c>
      <c r="C59" t="str">
        <f>IFERROR(IF(ISNUMBER('Debt to GDP Ratio'!E63),TEXT('Debt to GDP Ratio'!E63,"0.00"), ""), "")</f>
        <v/>
      </c>
      <c r="D59" t="str">
        <f>IFERROR(IF(ISNUMBER('Debt to GDP Ratio'!B63),'Debt to GDP Ratio'!G63, ""), "")</f>
        <v/>
      </c>
    </row>
    <row r="60" spans="1:4">
      <c r="A60" t="str">
        <f>TEXT(IF('Debt to GDP Ratio'!B64&lt;&gt;0,'Debt to GDP Ratio'!B64, ""), "mm/dd/yyyy")</f>
        <v/>
      </c>
      <c r="B60" t="str">
        <f>IFERROR(IF(ISNUMBER('Debt to GDP Ratio'!D64),TEXT('Debt to GDP Ratio'!D64,"0.00"), ""), "")</f>
        <v/>
      </c>
      <c r="C60" t="str">
        <f>IFERROR(IF(ISNUMBER('Debt to GDP Ratio'!E64),TEXT('Debt to GDP Ratio'!E64,"0.00"), ""), "")</f>
        <v/>
      </c>
      <c r="D60" t="str">
        <f>IFERROR(IF(ISNUMBER('Debt to GDP Ratio'!B64),'Debt to GDP Ratio'!G64, ""), "")</f>
        <v/>
      </c>
    </row>
    <row r="61" spans="1:4">
      <c r="A61" t="str">
        <f>TEXT(IF('Debt to GDP Ratio'!B65&lt;&gt;0,'Debt to GDP Ratio'!B65, ""), "mm/dd/yyyy")</f>
        <v/>
      </c>
      <c r="B61" t="str">
        <f>IFERROR(IF(ISNUMBER('Debt to GDP Ratio'!D65),TEXT('Debt to GDP Ratio'!D65,"0.00"), ""), "")</f>
        <v/>
      </c>
      <c r="C61" t="str">
        <f>IFERROR(IF(ISNUMBER('Debt to GDP Ratio'!E65),TEXT('Debt to GDP Ratio'!E65,"0.00"), ""), "")</f>
        <v/>
      </c>
      <c r="D61" t="str">
        <f>IFERROR(IF(ISNUMBER('Debt to GDP Ratio'!B65),'Debt to GDP Ratio'!G65, ""), "")</f>
        <v/>
      </c>
    </row>
    <row r="62" spans="1:4">
      <c r="A62" t="str">
        <f>TEXT(IF('Debt to GDP Ratio'!B66&lt;&gt;0,'Debt to GDP Ratio'!B66, ""), "mm/dd/yyyy")</f>
        <v/>
      </c>
      <c r="B62" t="str">
        <f>IFERROR(IF(ISNUMBER('Debt to GDP Ratio'!D66),TEXT('Debt to GDP Ratio'!D66,"0.00"), ""), "")</f>
        <v/>
      </c>
      <c r="C62" t="str">
        <f>IFERROR(IF(ISNUMBER('Debt to GDP Ratio'!E66),TEXT('Debt to GDP Ratio'!E66,"0.00"), ""), "")</f>
        <v/>
      </c>
      <c r="D62" t="str">
        <f>IFERROR(IF(ISNUMBER('Debt to GDP Ratio'!B66),'Debt to GDP Ratio'!G66, ""), "")</f>
        <v/>
      </c>
    </row>
    <row r="63" spans="1:4">
      <c r="A63" t="str">
        <f>TEXT(IF('Debt to GDP Ratio'!B67&lt;&gt;0,'Debt to GDP Ratio'!B67, ""), "mm/dd/yyyy")</f>
        <v/>
      </c>
      <c r="B63" t="str">
        <f>IFERROR(IF(ISNUMBER('Debt to GDP Ratio'!D67),TEXT('Debt to GDP Ratio'!D67,"0.00"), ""), "")</f>
        <v/>
      </c>
      <c r="C63" t="str">
        <f>IFERROR(IF(ISNUMBER('Debt to GDP Ratio'!E67),TEXT('Debt to GDP Ratio'!E67,"0.00"), ""), "")</f>
        <v/>
      </c>
      <c r="D63" t="str">
        <f>IFERROR(IF(ISNUMBER('Debt to GDP Ratio'!B67),'Debt to GDP Ratio'!G67, ""), "")</f>
        <v/>
      </c>
    </row>
    <row r="64" spans="1:4">
      <c r="A64" t="str">
        <f>TEXT(IF('Debt to GDP Ratio'!B68&lt;&gt;0,'Debt to GDP Ratio'!B68, ""), "mm/dd/yyyy")</f>
        <v/>
      </c>
      <c r="B64" t="str">
        <f>IFERROR(IF(ISNUMBER('Debt to GDP Ratio'!D68),TEXT('Debt to GDP Ratio'!D68,"0.00"), ""), "")</f>
        <v/>
      </c>
      <c r="C64" t="str">
        <f>IFERROR(IF(ISNUMBER('Debt to GDP Ratio'!E68),TEXT('Debt to GDP Ratio'!E68,"0.00"), ""), "")</f>
        <v/>
      </c>
      <c r="D64" t="str">
        <f>IFERROR(IF(ISNUMBER('Debt to GDP Ratio'!B68),'Debt to GDP Ratio'!G68, ""), "")</f>
        <v/>
      </c>
    </row>
    <row r="65" spans="1:4">
      <c r="A65" t="str">
        <f>TEXT(IF('Debt to GDP Ratio'!B69&lt;&gt;0,'Debt to GDP Ratio'!B69, ""), "mm/dd/yyyy")</f>
        <v/>
      </c>
      <c r="B65" t="str">
        <f>IFERROR(IF(ISNUMBER('Debt to GDP Ratio'!D69),TEXT('Debt to GDP Ratio'!D69,"0.00"), ""), "")</f>
        <v/>
      </c>
      <c r="C65" t="str">
        <f>IFERROR(IF(ISNUMBER('Debt to GDP Ratio'!E69),TEXT('Debt to GDP Ratio'!E69,"0.00"), ""), "")</f>
        <v/>
      </c>
      <c r="D65" t="str">
        <f>IFERROR(IF(ISNUMBER('Debt to GDP Ratio'!B69),'Debt to GDP Ratio'!G69, ""), "")</f>
        <v/>
      </c>
    </row>
    <row r="66" spans="1:4">
      <c r="A66" t="str">
        <f>TEXT(IF('Debt to GDP Ratio'!B70&lt;&gt;0,'Debt to GDP Ratio'!B70, ""), "mm/dd/yyyy")</f>
        <v/>
      </c>
      <c r="B66" t="str">
        <f>IFERROR(IF(ISNUMBER('Debt to GDP Ratio'!D70),TEXT('Debt to GDP Ratio'!D70,"0.00"), ""), "")</f>
        <v/>
      </c>
      <c r="C66" t="str">
        <f>IFERROR(IF(ISNUMBER('Debt to GDP Ratio'!E70),TEXT('Debt to GDP Ratio'!E70,"0.00"), ""), "")</f>
        <v/>
      </c>
      <c r="D66" t="str">
        <f>IFERROR(IF(ISNUMBER('Debt to GDP Ratio'!B70),'Debt to GDP Ratio'!G70, ""), "")</f>
        <v/>
      </c>
    </row>
    <row r="67" spans="1:4">
      <c r="A67" t="str">
        <f>TEXT(IF('Debt to GDP Ratio'!B71&lt;&gt;0,'Debt to GDP Ratio'!B71, ""), "mm/dd/yyyy")</f>
        <v/>
      </c>
      <c r="B67" t="str">
        <f>IFERROR(IF(ISNUMBER('Debt to GDP Ratio'!D71),TEXT('Debt to GDP Ratio'!D71,"0.00"), ""), "")</f>
        <v/>
      </c>
      <c r="C67" t="str">
        <f>IFERROR(IF(ISNUMBER('Debt to GDP Ratio'!E71),TEXT('Debt to GDP Ratio'!E71,"0.00"), ""), "")</f>
        <v/>
      </c>
      <c r="D67" t="str">
        <f>IFERROR(IF(ISNUMBER('Debt to GDP Ratio'!B71),'Debt to GDP Ratio'!G71, ""), "")</f>
        <v/>
      </c>
    </row>
    <row r="68" spans="1:4">
      <c r="A68" t="str">
        <f>TEXT(IF('Debt to GDP Ratio'!B72&lt;&gt;0,'Debt to GDP Ratio'!B72, ""), "mm/dd/yyyy")</f>
        <v/>
      </c>
      <c r="B68" t="str">
        <f>IFERROR(IF(ISNUMBER('Debt to GDP Ratio'!D72),TEXT('Debt to GDP Ratio'!D72,"0.00"), ""), "")</f>
        <v/>
      </c>
      <c r="C68" t="str">
        <f>IFERROR(IF(ISNUMBER('Debt to GDP Ratio'!E72),TEXT('Debt to GDP Ratio'!E72,"0.00"), ""), "")</f>
        <v/>
      </c>
      <c r="D68" t="str">
        <f>IFERROR(IF(ISNUMBER('Debt to GDP Ratio'!B72),'Debt to GDP Ratio'!G72, ""), "")</f>
        <v/>
      </c>
    </row>
    <row r="69" spans="1:4">
      <c r="A69" t="str">
        <f>TEXT(IF('Debt to GDP Ratio'!B73&lt;&gt;0,'Debt to GDP Ratio'!B73, ""), "mm/dd/yyyy")</f>
        <v/>
      </c>
      <c r="B69" t="str">
        <f>IFERROR(IF(ISNUMBER('Debt to GDP Ratio'!D73),TEXT('Debt to GDP Ratio'!D73,"0.00"), ""), "")</f>
        <v/>
      </c>
      <c r="C69" t="str">
        <f>IFERROR(IF(ISNUMBER('Debt to GDP Ratio'!E73),TEXT('Debt to GDP Ratio'!E73,"0.00"), ""), "")</f>
        <v/>
      </c>
      <c r="D69" t="str">
        <f>IFERROR(IF(ISNUMBER('Debt to GDP Ratio'!B73),'Debt to GDP Ratio'!G73, ""), "")</f>
        <v/>
      </c>
    </row>
    <row r="70" spans="1:4">
      <c r="A70" t="str">
        <f>TEXT(IF('Debt to GDP Ratio'!B74&lt;&gt;0,'Debt to GDP Ratio'!B74, ""), "mm/dd/yyyy")</f>
        <v/>
      </c>
      <c r="B70" t="str">
        <f>IFERROR(IF(ISNUMBER('Debt to GDP Ratio'!D74),TEXT('Debt to GDP Ratio'!D74,"0.00"), ""), "")</f>
        <v/>
      </c>
      <c r="C70" t="str">
        <f>IFERROR(IF(ISNUMBER('Debt to GDP Ratio'!E74),TEXT('Debt to GDP Ratio'!E74,"0.00"), ""), "")</f>
        <v/>
      </c>
      <c r="D70" t="str">
        <f>IFERROR(IF(ISNUMBER('Debt to GDP Ratio'!B74),'Debt to GDP Ratio'!G74, ""), "")</f>
        <v/>
      </c>
    </row>
    <row r="71" spans="1:4">
      <c r="A71" t="str">
        <f>TEXT(IF('Debt to GDP Ratio'!B75&lt;&gt;0,'Debt to GDP Ratio'!B75, ""), "mm/dd/yyyy")</f>
        <v/>
      </c>
      <c r="B71" t="str">
        <f>IFERROR(IF(ISNUMBER('Debt to GDP Ratio'!D75),TEXT('Debt to GDP Ratio'!D75,"0.00"), ""), "")</f>
        <v/>
      </c>
      <c r="C71" t="str">
        <f>IFERROR(IF(ISNUMBER('Debt to GDP Ratio'!E75),TEXT('Debt to GDP Ratio'!E75,"0.00"), ""), "")</f>
        <v/>
      </c>
      <c r="D71" t="str">
        <f>IFERROR(IF(ISNUMBER('Debt to GDP Ratio'!B75),'Debt to GDP Ratio'!G75, ""), "")</f>
        <v/>
      </c>
    </row>
    <row r="72" spans="1:4">
      <c r="A72" t="str">
        <f>TEXT(IF('Debt to GDP Ratio'!B76&lt;&gt;0,'Debt to GDP Ratio'!B76, ""), "mm/dd/yyyy")</f>
        <v/>
      </c>
      <c r="B72" t="str">
        <f>IFERROR(IF(ISNUMBER('Debt to GDP Ratio'!D76),TEXT('Debt to GDP Ratio'!D76,"0.00"), ""), "")</f>
        <v/>
      </c>
      <c r="C72" t="str">
        <f>IFERROR(IF(ISNUMBER('Debt to GDP Ratio'!E76),TEXT('Debt to GDP Ratio'!E76,"0.00"), ""), "")</f>
        <v/>
      </c>
      <c r="D72" t="str">
        <f>IFERROR(IF(ISNUMBER('Debt to GDP Ratio'!B76),'Debt to GDP Ratio'!G76, ""), "")</f>
        <v/>
      </c>
    </row>
    <row r="73" spans="1:4">
      <c r="A73" t="str">
        <f>TEXT(IF('Debt to GDP Ratio'!B77&lt;&gt;0,'Debt to GDP Ratio'!B77, ""), "mm/dd/yyyy")</f>
        <v/>
      </c>
      <c r="B73" t="str">
        <f>IFERROR(IF(ISNUMBER('Debt to GDP Ratio'!D77),TEXT('Debt to GDP Ratio'!D77,"0.00"), ""), "")</f>
        <v/>
      </c>
      <c r="C73" t="str">
        <f>IFERROR(IF(ISNUMBER('Debt to GDP Ratio'!E77),TEXT('Debt to GDP Ratio'!E77,"0.00"), ""), "")</f>
        <v/>
      </c>
      <c r="D73" t="str">
        <f>IFERROR(IF(ISNUMBER('Debt to GDP Ratio'!B77),'Debt to GDP Ratio'!G77, ""), "")</f>
        <v/>
      </c>
    </row>
    <row r="74" spans="1:4">
      <c r="A74" t="str">
        <f>TEXT(IF('Debt to GDP Ratio'!B78&lt;&gt;0,'Debt to GDP Ratio'!B78, ""), "mm/dd/yyyy")</f>
        <v/>
      </c>
      <c r="B74" t="str">
        <f>IFERROR(IF(ISNUMBER('Debt to GDP Ratio'!D78),TEXT('Debt to GDP Ratio'!D78,"0.00"), ""), "")</f>
        <v/>
      </c>
      <c r="C74" t="str">
        <f>IFERROR(IF(ISNUMBER('Debt to GDP Ratio'!E78),TEXT('Debt to GDP Ratio'!E78,"0.00"), ""), "")</f>
        <v/>
      </c>
      <c r="D74" t="str">
        <f>IFERROR(IF(ISNUMBER('Debt to GDP Ratio'!B78),'Debt to GDP Ratio'!G78, ""), "")</f>
        <v/>
      </c>
    </row>
    <row r="75" spans="1:4">
      <c r="A75" t="str">
        <f>TEXT(IF('Debt to GDP Ratio'!B79&lt;&gt;0,'Debt to GDP Ratio'!B79, ""), "mm/dd/yyyy")</f>
        <v/>
      </c>
      <c r="B75" t="str">
        <f>IFERROR(IF(ISNUMBER('Debt to GDP Ratio'!D79),TEXT('Debt to GDP Ratio'!D79,"0.00"), ""), "")</f>
        <v/>
      </c>
      <c r="C75" t="str">
        <f>IFERROR(IF(ISNUMBER('Debt to GDP Ratio'!E79),TEXT('Debt to GDP Ratio'!E79,"0.00"), ""), "")</f>
        <v/>
      </c>
      <c r="D75" t="str">
        <f>IFERROR(IF(ISNUMBER('Debt to GDP Ratio'!B79),'Debt to GDP Ratio'!G79, ""), "")</f>
        <v/>
      </c>
    </row>
    <row r="76" spans="1:4">
      <c r="A76" t="str">
        <f>TEXT(IF('Debt to GDP Ratio'!B80&lt;&gt;0,'Debt to GDP Ratio'!B80, ""), "mm/dd/yyyy")</f>
        <v/>
      </c>
      <c r="B76" t="str">
        <f>IFERROR(IF(ISNUMBER('Debt to GDP Ratio'!D80),TEXT('Debt to GDP Ratio'!D80,"0.00"), ""), "")</f>
        <v/>
      </c>
      <c r="C76" t="str">
        <f>IFERROR(IF(ISNUMBER('Debt to GDP Ratio'!E80),TEXT('Debt to GDP Ratio'!E80,"0.00"), ""), "")</f>
        <v/>
      </c>
      <c r="D76" t="str">
        <f>IFERROR(IF(ISNUMBER('Debt to GDP Ratio'!B80),'Debt to GDP Ratio'!G80, ""), "")</f>
        <v/>
      </c>
    </row>
    <row r="77" spans="1:4">
      <c r="A77" t="str">
        <f>TEXT(IF('Debt to GDP Ratio'!B81&lt;&gt;0,'Debt to GDP Ratio'!B81, ""), "mm/dd/yyyy")</f>
        <v/>
      </c>
      <c r="B77" t="str">
        <f>IFERROR(IF(ISNUMBER('Debt to GDP Ratio'!D81),TEXT('Debt to GDP Ratio'!D81,"0.00"), ""), "")</f>
        <v/>
      </c>
      <c r="C77" t="str">
        <f>IFERROR(IF(ISNUMBER('Debt to GDP Ratio'!E81),TEXT('Debt to GDP Ratio'!E81,"0.00"), ""), "")</f>
        <v/>
      </c>
      <c r="D77" t="str">
        <f>IFERROR(IF(ISNUMBER('Debt to GDP Ratio'!B81),'Debt to GDP Ratio'!G81, ""), "")</f>
        <v/>
      </c>
    </row>
    <row r="78" spans="1:4">
      <c r="A78" t="str">
        <f>TEXT(IF('Debt to GDP Ratio'!B82&lt;&gt;0,'Debt to GDP Ratio'!B82, ""), "mm/dd/yyyy")</f>
        <v/>
      </c>
      <c r="B78" t="str">
        <f>IFERROR(IF(ISNUMBER('Debt to GDP Ratio'!D82),TEXT('Debt to GDP Ratio'!D82,"0.00"), ""), "")</f>
        <v/>
      </c>
      <c r="C78" t="str">
        <f>IFERROR(IF(ISNUMBER('Debt to GDP Ratio'!E82),TEXT('Debt to GDP Ratio'!E82,"0.00"), ""), "")</f>
        <v/>
      </c>
      <c r="D78" t="str">
        <f>IFERROR(IF(ISNUMBER('Debt to GDP Ratio'!B82),'Debt to GDP Ratio'!G82, ""), "")</f>
        <v/>
      </c>
    </row>
    <row r="79" spans="1:4">
      <c r="A79" t="str">
        <f>TEXT(IF('Debt to GDP Ratio'!B83&lt;&gt;0,'Debt to GDP Ratio'!B83, ""), "mm/dd/yyyy")</f>
        <v/>
      </c>
      <c r="B79" t="str">
        <f>IFERROR(IF(ISNUMBER('Debt to GDP Ratio'!D83),TEXT('Debt to GDP Ratio'!D83,"0.00"), ""), "")</f>
        <v/>
      </c>
      <c r="C79" t="str">
        <f>IFERROR(IF(ISNUMBER('Debt to GDP Ratio'!E83),TEXT('Debt to GDP Ratio'!E83,"0.00"), ""), "")</f>
        <v/>
      </c>
      <c r="D79" t="str">
        <f>IFERROR(IF(ISNUMBER('Debt to GDP Ratio'!B83),'Debt to GDP Ratio'!G83, ""), "")</f>
        <v/>
      </c>
    </row>
    <row r="80" spans="1:4">
      <c r="A80" t="str">
        <f>TEXT(IF('Debt to GDP Ratio'!B84&lt;&gt;0,'Debt to GDP Ratio'!B84, ""), "mm/dd/yyyy")</f>
        <v/>
      </c>
      <c r="B80" t="str">
        <f>IFERROR(IF(ISNUMBER('Debt to GDP Ratio'!D84),TEXT('Debt to GDP Ratio'!D84,"0.00"), ""), "")</f>
        <v/>
      </c>
      <c r="C80" t="str">
        <f>IFERROR(IF(ISNUMBER('Debt to GDP Ratio'!E84),TEXT('Debt to GDP Ratio'!E84,"0.00"), ""), "")</f>
        <v/>
      </c>
      <c r="D80" t="str">
        <f>IFERROR(IF(ISNUMBER('Debt to GDP Ratio'!B84),'Debt to GDP Ratio'!G84, ""), "")</f>
        <v/>
      </c>
    </row>
    <row r="81" spans="1:4">
      <c r="A81" t="str">
        <f>TEXT(IF('Debt to GDP Ratio'!B85&lt;&gt;0,'Debt to GDP Ratio'!B85, ""), "mm/dd/yyyy")</f>
        <v/>
      </c>
      <c r="B81" t="str">
        <f>IFERROR(IF(ISNUMBER('Debt to GDP Ratio'!D85),TEXT('Debt to GDP Ratio'!D85,"0.00"), ""), "")</f>
        <v/>
      </c>
      <c r="C81" t="str">
        <f>IFERROR(IF(ISNUMBER('Debt to GDP Ratio'!E85),TEXT('Debt to GDP Ratio'!E85,"0.00"), ""), "")</f>
        <v/>
      </c>
      <c r="D81" t="str">
        <f>IFERROR(IF(ISNUMBER('Debt to GDP Ratio'!B85),'Debt to GDP Ratio'!G85, ""), "")</f>
        <v/>
      </c>
    </row>
    <row r="82" spans="1:4">
      <c r="A82" t="str">
        <f>TEXT(IF('Debt to GDP Ratio'!B86&lt;&gt;0,'Debt to GDP Ratio'!B86, ""), "mm/dd/yyyy")</f>
        <v/>
      </c>
      <c r="B82" t="str">
        <f>IFERROR(IF(ISNUMBER('Debt to GDP Ratio'!D86),TEXT('Debt to GDP Ratio'!D86,"0.00"), ""), "")</f>
        <v/>
      </c>
      <c r="C82" t="str">
        <f>IFERROR(IF(ISNUMBER('Debt to GDP Ratio'!E86),TEXT('Debt to GDP Ratio'!E86,"0.00"), ""), "")</f>
        <v/>
      </c>
      <c r="D82" t="str">
        <f>IFERROR(IF(ISNUMBER('Debt to GDP Ratio'!B86),'Debt to GDP Ratio'!G86, ""), "")</f>
        <v/>
      </c>
    </row>
    <row r="83" spans="1:4">
      <c r="A83" t="str">
        <f>TEXT(IF('Debt to GDP Ratio'!B87&lt;&gt;0,'Debt to GDP Ratio'!B87, ""), "mm/dd/yyyy")</f>
        <v/>
      </c>
      <c r="B83" t="str">
        <f>IFERROR(IF(ISNUMBER('Debt to GDP Ratio'!D87),TEXT('Debt to GDP Ratio'!D87,"0.00"), ""), "")</f>
        <v/>
      </c>
      <c r="C83" t="str">
        <f>IFERROR(IF(ISNUMBER('Debt to GDP Ratio'!E87),TEXT('Debt to GDP Ratio'!E87,"0.00"), ""), "")</f>
        <v/>
      </c>
      <c r="D83" t="str">
        <f>IFERROR(IF(ISNUMBER('Debt to GDP Ratio'!B87),'Debt to GDP Ratio'!G87, ""), "")</f>
        <v/>
      </c>
    </row>
    <row r="84" spans="1:4">
      <c r="A84" t="str">
        <f>TEXT(IF('Debt to GDP Ratio'!B88&lt;&gt;0,'Debt to GDP Ratio'!B88, ""), "mm/dd/yyyy")</f>
        <v/>
      </c>
      <c r="B84" t="str">
        <f>IFERROR(IF(ISNUMBER('Debt to GDP Ratio'!D88),TEXT('Debt to GDP Ratio'!D88,"0.00"), ""), "")</f>
        <v/>
      </c>
      <c r="C84" t="str">
        <f>IFERROR(IF(ISNUMBER('Debt to GDP Ratio'!E88),TEXT('Debt to GDP Ratio'!E88,"0.00"), ""), "")</f>
        <v/>
      </c>
      <c r="D84" t="str">
        <f>IFERROR(IF(ISNUMBER('Debt to GDP Ratio'!B88),'Debt to GDP Ratio'!G88, ""), "")</f>
        <v/>
      </c>
    </row>
    <row r="85" spans="1:4">
      <c r="A85" t="str">
        <f>TEXT(IF('Debt to GDP Ratio'!B89&lt;&gt;0,'Debt to GDP Ratio'!B89, ""), "mm/dd/yyyy")</f>
        <v/>
      </c>
      <c r="B85" t="str">
        <f>IFERROR(IF(ISNUMBER('Debt to GDP Ratio'!D89),TEXT('Debt to GDP Ratio'!D89,"0.00"), ""), "")</f>
        <v/>
      </c>
      <c r="C85" t="str">
        <f>IFERROR(IF(ISNUMBER('Debt to GDP Ratio'!E89),TEXT('Debt to GDP Ratio'!E89,"0.00"), ""), "")</f>
        <v/>
      </c>
      <c r="D85" t="str">
        <f>IFERROR(IF(ISNUMBER('Debt to GDP Ratio'!B89),'Debt to GDP Ratio'!G89, ""), "")</f>
        <v/>
      </c>
    </row>
    <row r="86" spans="1:4">
      <c r="A86" t="str">
        <f>TEXT(IF('Debt to GDP Ratio'!B90&lt;&gt;0,'Debt to GDP Ratio'!B90, ""), "mm/dd/yyyy")</f>
        <v/>
      </c>
      <c r="B86" t="str">
        <f>IFERROR(IF(ISNUMBER('Debt to GDP Ratio'!D90),TEXT('Debt to GDP Ratio'!D90,"0.00"), ""), "")</f>
        <v/>
      </c>
      <c r="C86" t="str">
        <f>IFERROR(IF(ISNUMBER('Debt to GDP Ratio'!E90),TEXT('Debt to GDP Ratio'!E90,"0.00"), ""), "")</f>
        <v/>
      </c>
      <c r="D86" t="str">
        <f>IFERROR(IF(ISNUMBER('Debt to GDP Ratio'!B90),'Debt to GDP Ratio'!G90, ""), "")</f>
        <v/>
      </c>
    </row>
    <row r="87" spans="1:4">
      <c r="A87" t="str">
        <f>TEXT(IF('Debt to GDP Ratio'!B91&lt;&gt;0,'Debt to GDP Ratio'!B91, ""), "mm/dd/yyyy")</f>
        <v/>
      </c>
      <c r="B87" t="str">
        <f>IFERROR(IF(ISNUMBER('Debt to GDP Ratio'!D91),TEXT('Debt to GDP Ratio'!D91,"0.00"), ""), "")</f>
        <v/>
      </c>
      <c r="C87" t="str">
        <f>IFERROR(IF(ISNUMBER('Debt to GDP Ratio'!E91),TEXT('Debt to GDP Ratio'!E91,"0.00"), ""), "")</f>
        <v/>
      </c>
      <c r="D87" t="str">
        <f>IFERROR(IF(ISNUMBER('Debt to GDP Ratio'!B91),'Debt to GDP Ratio'!G91, ""), "")</f>
        <v/>
      </c>
    </row>
    <row r="88" spans="1:4">
      <c r="A88" t="str">
        <f>TEXT(IF('Debt to GDP Ratio'!B92&lt;&gt;0,'Debt to GDP Ratio'!B92, ""), "mm/dd/yyyy")</f>
        <v/>
      </c>
      <c r="B88" t="str">
        <f>IFERROR(IF(ISNUMBER('Debt to GDP Ratio'!D92),TEXT('Debt to GDP Ratio'!D92,"0.00"), ""), "")</f>
        <v/>
      </c>
      <c r="C88" t="str">
        <f>IFERROR(IF(ISNUMBER('Debt to GDP Ratio'!E92),TEXT('Debt to GDP Ratio'!E92,"0.00"), ""), "")</f>
        <v/>
      </c>
      <c r="D88" t="str">
        <f>IFERROR(IF(ISNUMBER('Debt to GDP Ratio'!B92),'Debt to GDP Ratio'!G92, ""), "")</f>
        <v/>
      </c>
    </row>
    <row r="89" spans="1:4">
      <c r="A89" t="str">
        <f>TEXT(IF('Debt to GDP Ratio'!B93&lt;&gt;0,'Debt to GDP Ratio'!B93, ""), "mm/dd/yyyy")</f>
        <v/>
      </c>
      <c r="B89" t="str">
        <f>IFERROR(IF(ISNUMBER('Debt to GDP Ratio'!D93),TEXT('Debt to GDP Ratio'!D93,"0.00"), ""), "")</f>
        <v/>
      </c>
      <c r="C89" t="str">
        <f>IFERROR(IF(ISNUMBER('Debt to GDP Ratio'!E93),TEXT('Debt to GDP Ratio'!E93,"0.00"), ""), "")</f>
        <v/>
      </c>
      <c r="D89" t="str">
        <f>IFERROR(IF(ISNUMBER('Debt to GDP Ratio'!B93),'Debt to GDP Ratio'!G93, ""), "")</f>
        <v/>
      </c>
    </row>
    <row r="90" spans="1:4">
      <c r="A90" t="str">
        <f>TEXT(IF('Debt to GDP Ratio'!B94&lt;&gt;0,'Debt to GDP Ratio'!B94, ""), "mm/dd/yyyy")</f>
        <v/>
      </c>
      <c r="B90" t="str">
        <f>IFERROR(IF(ISNUMBER('Debt to GDP Ratio'!D94),TEXT('Debt to GDP Ratio'!D94,"0.00"), ""), "")</f>
        <v/>
      </c>
      <c r="C90" t="str">
        <f>IFERROR(IF(ISNUMBER('Debt to GDP Ratio'!E94),TEXT('Debt to GDP Ratio'!E94,"0.00"), ""), "")</f>
        <v/>
      </c>
      <c r="D90" t="str">
        <f>IFERROR(IF(ISNUMBER('Debt to GDP Ratio'!B94),'Debt to GDP Ratio'!G94, ""), "")</f>
        <v/>
      </c>
    </row>
    <row r="91" spans="1:4">
      <c r="A91" t="str">
        <f>TEXT(IF('Debt to GDP Ratio'!B95&lt;&gt;0,'Debt to GDP Ratio'!B95, ""), "mm/dd/yyyy")</f>
        <v/>
      </c>
      <c r="B91" t="str">
        <f>IFERROR(IF(ISNUMBER('Debt to GDP Ratio'!D95),TEXT('Debt to GDP Ratio'!D95,"0.00"), ""), "")</f>
        <v/>
      </c>
      <c r="C91" t="str">
        <f>IFERROR(IF(ISNUMBER('Debt to GDP Ratio'!E95),TEXT('Debt to GDP Ratio'!E95,"0.00"), ""), "")</f>
        <v/>
      </c>
      <c r="D91" t="str">
        <f>IFERROR(IF(ISNUMBER('Debt to GDP Ratio'!B95),'Debt to GDP Ratio'!G95, ""), "")</f>
        <v/>
      </c>
    </row>
    <row r="92" spans="1:4">
      <c r="A92" t="str">
        <f>TEXT(IF('Debt to GDP Ratio'!B96&lt;&gt;0,'Debt to GDP Ratio'!B96, ""), "mm/dd/yyyy")</f>
        <v/>
      </c>
      <c r="B92" t="str">
        <f>IFERROR(IF(ISNUMBER('Debt to GDP Ratio'!D96),TEXT('Debt to GDP Ratio'!D96,"0.00"), ""), "")</f>
        <v/>
      </c>
      <c r="C92" t="str">
        <f>IFERROR(IF(ISNUMBER('Debt to GDP Ratio'!E96),TEXT('Debt to GDP Ratio'!E96,"0.00"), ""), "")</f>
        <v/>
      </c>
      <c r="D92" t="str">
        <f>IFERROR(IF(ISNUMBER('Debt to GDP Ratio'!B96),'Debt to GDP Ratio'!G96, ""), "")</f>
        <v/>
      </c>
    </row>
    <row r="93" spans="1:4">
      <c r="A93" t="str">
        <f>TEXT(IF('Debt to GDP Ratio'!B97&lt;&gt;0,'Debt to GDP Ratio'!B97, ""), "mm/dd/yyyy")</f>
        <v/>
      </c>
      <c r="B93" t="str">
        <f>IFERROR(IF(ISNUMBER('Debt to GDP Ratio'!D97),TEXT('Debt to GDP Ratio'!D97,"0.00"), ""), "")</f>
        <v/>
      </c>
      <c r="C93" t="str">
        <f>IFERROR(IF(ISNUMBER('Debt to GDP Ratio'!E97),TEXT('Debt to GDP Ratio'!E97,"0.00"), ""), "")</f>
        <v/>
      </c>
      <c r="D93" t="str">
        <f>IFERROR(IF(ISNUMBER('Debt to GDP Ratio'!B97),'Debt to GDP Ratio'!G97, ""), "")</f>
        <v/>
      </c>
    </row>
    <row r="94" spans="1:4">
      <c r="A94" t="str">
        <f>TEXT(IF('Debt to GDP Ratio'!B98&lt;&gt;0,'Debt to GDP Ratio'!B98, ""), "mm/dd/yyyy")</f>
        <v/>
      </c>
      <c r="B94" t="str">
        <f>IFERROR(IF(ISNUMBER('Debt to GDP Ratio'!D98),TEXT('Debt to GDP Ratio'!D98,"0.00"), ""), "")</f>
        <v/>
      </c>
      <c r="C94" t="str">
        <f>IFERROR(IF(ISNUMBER('Debt to GDP Ratio'!E98),TEXT('Debt to GDP Ratio'!E98,"0.00"), ""), "")</f>
        <v/>
      </c>
      <c r="D94" t="str">
        <f>IFERROR(IF(ISNUMBER('Debt to GDP Ratio'!B98),'Debt to GDP Ratio'!G98, ""), "")</f>
        <v/>
      </c>
    </row>
    <row r="95" spans="1:4">
      <c r="A95" t="str">
        <f>TEXT(IF('Debt to GDP Ratio'!B99&lt;&gt;0,'Debt to GDP Ratio'!B99, ""), "mm/dd/yyyy")</f>
        <v/>
      </c>
      <c r="B95" t="str">
        <f>IFERROR(IF(ISNUMBER('Debt to GDP Ratio'!D99),TEXT('Debt to GDP Ratio'!D99,"0.00"), ""), "")</f>
        <v/>
      </c>
      <c r="C95" t="str">
        <f>IFERROR(IF(ISNUMBER('Debt to GDP Ratio'!E99),TEXT('Debt to GDP Ratio'!E99,"0.00"), ""), "")</f>
        <v/>
      </c>
      <c r="D95" t="str">
        <f>IFERROR(IF(ISNUMBER('Debt to GDP Ratio'!B99),'Debt to GDP Ratio'!G99, ""), "")</f>
        <v/>
      </c>
    </row>
    <row r="96" spans="1:4">
      <c r="A96" t="str">
        <f>TEXT(IF('Debt to GDP Ratio'!B100&lt;&gt;0,'Debt to GDP Ratio'!B100, ""), "mm/dd/yyyy")</f>
        <v/>
      </c>
      <c r="B96" t="str">
        <f>IFERROR(IF(ISNUMBER('Debt to GDP Ratio'!D100),TEXT('Debt to GDP Ratio'!D100,"0.00"), ""), "")</f>
        <v/>
      </c>
      <c r="C96" t="str">
        <f>IFERROR(IF(ISNUMBER('Debt to GDP Ratio'!E100),TEXT('Debt to GDP Ratio'!E100,"0.00"), ""), "")</f>
        <v/>
      </c>
      <c r="D96" t="str">
        <f>IFERROR(IF(ISNUMBER('Debt to GDP Ratio'!B100),'Debt to GDP Ratio'!G100, ""), "")</f>
        <v/>
      </c>
    </row>
    <row r="97" spans="1:4">
      <c r="A97" t="str">
        <f>TEXT(IF('Debt to GDP Ratio'!B101&lt;&gt;0,'Debt to GDP Ratio'!B101, ""), "mm/dd/yyyy")</f>
        <v/>
      </c>
      <c r="B97" t="str">
        <f>IFERROR(IF(ISNUMBER('Debt to GDP Ratio'!D101),TEXT('Debt to GDP Ratio'!D101,"0.00"), ""), "")</f>
        <v/>
      </c>
      <c r="C97" t="str">
        <f>IFERROR(IF(ISNUMBER('Debt to GDP Ratio'!E101),TEXT('Debt to GDP Ratio'!E101,"0.00"), ""), "")</f>
        <v/>
      </c>
      <c r="D97" t="str">
        <f>IFERROR(IF(ISNUMBER('Debt to GDP Ratio'!B101),'Debt to GDP Ratio'!G101, ""), "")</f>
        <v/>
      </c>
    </row>
    <row r="98" spans="1:4">
      <c r="A98" t="str">
        <f>TEXT(IF('Debt to GDP Ratio'!B102&lt;&gt;0,'Debt to GDP Ratio'!B102, ""), "mm/dd/yyyy")</f>
        <v/>
      </c>
      <c r="B98" t="str">
        <f>IFERROR(IF(ISNUMBER('Debt to GDP Ratio'!D102),TEXT('Debt to GDP Ratio'!D102,"0.00"), ""), "")</f>
        <v/>
      </c>
      <c r="C98" t="str">
        <f>IFERROR(IF(ISNUMBER('Debt to GDP Ratio'!E102),TEXT('Debt to GDP Ratio'!E102,"0.00"), ""), "")</f>
        <v/>
      </c>
      <c r="D98" t="str">
        <f>IFERROR(IF(ISNUMBER('Debt to GDP Ratio'!B102),'Debt to GDP Ratio'!G102, ""), "")</f>
        <v/>
      </c>
    </row>
    <row r="99" spans="1:4">
      <c r="A99" t="str">
        <f>TEXT(IF('Debt to GDP Ratio'!B103&lt;&gt;0,'Debt to GDP Ratio'!B103, ""), "mm/dd/yyyy")</f>
        <v/>
      </c>
      <c r="B99" t="str">
        <f>IFERROR(IF(ISNUMBER('Debt to GDP Ratio'!D103),TEXT('Debt to GDP Ratio'!D103,"0.00"), ""), "")</f>
        <v/>
      </c>
      <c r="C99" t="str">
        <f>IFERROR(IF(ISNUMBER('Debt to GDP Ratio'!E103),TEXT('Debt to GDP Ratio'!E103,"0.00"), ""), "")</f>
        <v/>
      </c>
      <c r="D99" t="str">
        <f>IFERROR(IF(ISNUMBER('Debt to GDP Ratio'!B103),'Debt to GDP Ratio'!G103, ""), "")</f>
        <v/>
      </c>
    </row>
    <row r="100" spans="1:4">
      <c r="A100" t="str">
        <f>TEXT(IF('Debt to GDP Ratio'!B104&lt;&gt;0,'Debt to GDP Ratio'!B104, ""), "mm/dd/yyyy")</f>
        <v/>
      </c>
      <c r="B100" t="str">
        <f>IFERROR(IF(ISNUMBER('Debt to GDP Ratio'!D104),TEXT('Debt to GDP Ratio'!D104,"0.00"), ""), "")</f>
        <v/>
      </c>
      <c r="C100" t="str">
        <f>IFERROR(IF(ISNUMBER('Debt to GDP Ratio'!E104),TEXT('Debt to GDP Ratio'!E104,"0.00"), ""), "")</f>
        <v/>
      </c>
      <c r="D100" t="str">
        <f>IFERROR(IF(ISNUMBER('Debt to GDP Ratio'!B104),'Debt to GDP Ratio'!G104, ""), "")</f>
        <v/>
      </c>
    </row>
    <row r="101" spans="1:4">
      <c r="A101" t="str">
        <f>TEXT(IF('Debt to GDP Ratio'!B105&lt;&gt;0,'Debt to GDP Ratio'!B105, ""), "mm/dd/yyyy")</f>
        <v/>
      </c>
      <c r="B101" t="str">
        <f>IFERROR(IF(ISNUMBER('Debt to GDP Ratio'!D105),TEXT('Debt to GDP Ratio'!D105,"0.00"), ""), "")</f>
        <v/>
      </c>
      <c r="C101" t="str">
        <f>IFERROR(IF(ISNUMBER('Debt to GDP Ratio'!E105),TEXT('Debt to GDP Ratio'!E105,"0.00"), ""), "")</f>
        <v/>
      </c>
      <c r="D101" t="str">
        <f>IFERROR(IF(ISNUMBER('Debt to GDP Ratio'!B105),'Debt to GDP Ratio'!G105, ""), "")</f>
        <v/>
      </c>
    </row>
    <row r="102" spans="1:4">
      <c r="A102" t="str">
        <f>TEXT(IF('Debt to GDP Ratio'!B106&lt;&gt;0,'Debt to GDP Ratio'!B106, ""), "mm/dd/yyyy")</f>
        <v/>
      </c>
      <c r="B102" t="str">
        <f>IFERROR(IF(ISNUMBER('Debt to GDP Ratio'!D106),TEXT('Debt to GDP Ratio'!D106,"0.00"), ""), "")</f>
        <v/>
      </c>
      <c r="C102" t="str">
        <f>IFERROR(IF(ISNUMBER('Debt to GDP Ratio'!E106),TEXT('Debt to GDP Ratio'!E106,"0.00"), ""), "")</f>
        <v/>
      </c>
      <c r="D102" t="str">
        <f>IFERROR(IF(ISNUMBER('Debt to GDP Ratio'!B106),'Debt to GDP Ratio'!G106, ""), "")</f>
        <v/>
      </c>
    </row>
    <row r="103" spans="1:4">
      <c r="A103" t="str">
        <f>TEXT(IF('Debt to GDP Ratio'!B107&lt;&gt;0,'Debt to GDP Ratio'!B107, ""), "mm/dd/yyyy")</f>
        <v/>
      </c>
      <c r="B103" t="str">
        <f>IFERROR(IF(ISNUMBER('Debt to GDP Ratio'!D107),TEXT('Debt to GDP Ratio'!D107,"0.00"), ""), "")</f>
        <v/>
      </c>
      <c r="C103" t="str">
        <f>IFERROR(IF(ISNUMBER('Debt to GDP Ratio'!E107),TEXT('Debt to GDP Ratio'!E107,"0.00"), ""), "")</f>
        <v/>
      </c>
      <c r="D103" t="str">
        <f>IFERROR(IF(ISNUMBER('Debt to GDP Ratio'!B107),'Debt to GDP Ratio'!G107, ""), "")</f>
        <v/>
      </c>
    </row>
    <row r="104" spans="1:4">
      <c r="A104" t="str">
        <f>TEXT(IF('Debt to GDP Ratio'!B108&lt;&gt;0,'Debt to GDP Ratio'!B108, ""), "mm/dd/yyyy")</f>
        <v/>
      </c>
      <c r="B104" t="str">
        <f>IFERROR(IF(ISNUMBER('Debt to GDP Ratio'!D108),TEXT('Debt to GDP Ratio'!D108,"0.00"), ""), "")</f>
        <v/>
      </c>
      <c r="C104" t="str">
        <f>IFERROR(IF(ISNUMBER('Debt to GDP Ratio'!E108),TEXT('Debt to GDP Ratio'!E108,"0.00"), ""), "")</f>
        <v/>
      </c>
      <c r="D104" t="str">
        <f>IFERROR(IF(ISNUMBER('Debt to GDP Ratio'!B108),'Debt to GDP Ratio'!G108, ""), "")</f>
        <v/>
      </c>
    </row>
    <row r="105" spans="1:4">
      <c r="A105" t="str">
        <f>TEXT(IF('Debt to GDP Ratio'!B109&lt;&gt;0,'Debt to GDP Ratio'!B109, ""), "mm/dd/yyyy")</f>
        <v/>
      </c>
      <c r="B105" t="str">
        <f>IFERROR(IF(ISNUMBER('Debt to GDP Ratio'!D109),TEXT('Debt to GDP Ratio'!D109,"0.00"), ""), "")</f>
        <v/>
      </c>
      <c r="C105" t="str">
        <f>IFERROR(IF(ISNUMBER('Debt to GDP Ratio'!E109),TEXT('Debt to GDP Ratio'!E109,"0.00"), ""), "")</f>
        <v/>
      </c>
      <c r="D105" t="str">
        <f>IFERROR(IF(ISNUMBER('Debt to GDP Ratio'!B109),'Debt to GDP Ratio'!G109, ""), "")</f>
        <v/>
      </c>
    </row>
    <row r="106" spans="1:4">
      <c r="A106" t="str">
        <f>TEXT(IF('Debt to GDP Ratio'!B110&lt;&gt;0,'Debt to GDP Ratio'!B110, ""), "mm/dd/yyyy")</f>
        <v/>
      </c>
      <c r="B106" t="str">
        <f>IFERROR(IF(ISNUMBER('Debt to GDP Ratio'!D110),TEXT('Debt to GDP Ratio'!D110,"0.00"), ""), "")</f>
        <v/>
      </c>
      <c r="C106" t="str">
        <f>IFERROR(IF(ISNUMBER('Debt to GDP Ratio'!E110),TEXT('Debt to GDP Ratio'!E110,"0.00"), ""), "")</f>
        <v/>
      </c>
      <c r="D106" t="str">
        <f>IFERROR(IF(ISNUMBER('Debt to GDP Ratio'!B110),'Debt to GDP Ratio'!G110, ""), "")</f>
        <v/>
      </c>
    </row>
    <row r="107" spans="1:4">
      <c r="A107" t="str">
        <f>TEXT(IF('Debt to GDP Ratio'!B111&lt;&gt;0,'Debt to GDP Ratio'!B111, ""), "mm/dd/yyyy")</f>
        <v/>
      </c>
      <c r="B107" t="str">
        <f>IFERROR(IF(ISNUMBER('Debt to GDP Ratio'!D111),TEXT('Debt to GDP Ratio'!D111,"0.00"), ""), "")</f>
        <v/>
      </c>
      <c r="C107" t="str">
        <f>IFERROR(IF(ISNUMBER('Debt to GDP Ratio'!E111),TEXT('Debt to GDP Ratio'!E111,"0.00"), ""), "")</f>
        <v/>
      </c>
      <c r="D107" t="str">
        <f>IFERROR(IF(ISNUMBER('Debt to GDP Ratio'!B111),'Debt to GDP Ratio'!G111, ""), "")</f>
        <v/>
      </c>
    </row>
    <row r="108" spans="1:4">
      <c r="A108" t="str">
        <f>TEXT(IF('Debt to GDP Ratio'!B112&lt;&gt;0,'Debt to GDP Ratio'!B112, ""), "mm/dd/yyyy")</f>
        <v/>
      </c>
      <c r="B108" t="str">
        <f>IFERROR(IF(ISNUMBER('Debt to GDP Ratio'!D112),TEXT('Debt to GDP Ratio'!D112,"0.00"), ""), "")</f>
        <v/>
      </c>
      <c r="C108" t="str">
        <f>IFERROR(IF(ISNUMBER('Debt to GDP Ratio'!E112),TEXT('Debt to GDP Ratio'!E112,"0.00"), ""), "")</f>
        <v/>
      </c>
      <c r="D108" t="str">
        <f>IFERROR(IF(ISNUMBER('Debt to GDP Ratio'!B112),'Debt to GDP Ratio'!G112, ""), "")</f>
        <v/>
      </c>
    </row>
    <row r="109" spans="1:4">
      <c r="A109" t="str">
        <f>TEXT(IF('Debt to GDP Ratio'!B113&lt;&gt;0,'Debt to GDP Ratio'!B113, ""), "mm/dd/yyyy")</f>
        <v/>
      </c>
      <c r="B109" t="str">
        <f>IFERROR(IF(ISNUMBER('Debt to GDP Ratio'!D113),TEXT('Debt to GDP Ratio'!D113,"0.00"), ""), "")</f>
        <v/>
      </c>
      <c r="C109" t="str">
        <f>IFERROR(IF(ISNUMBER('Debt to GDP Ratio'!E113),TEXT('Debt to GDP Ratio'!E113,"0.00"), ""), "")</f>
        <v/>
      </c>
      <c r="D109" t="str">
        <f>IFERROR(IF(ISNUMBER('Debt to GDP Ratio'!B113),'Debt to GDP Ratio'!G113, ""), "")</f>
        <v/>
      </c>
    </row>
    <row r="110" spans="1:4">
      <c r="A110" t="str">
        <f>TEXT(IF('Debt to GDP Ratio'!B114&lt;&gt;0,'Debt to GDP Ratio'!B114, ""), "mm/dd/yyyy")</f>
        <v/>
      </c>
      <c r="B110" t="str">
        <f>IFERROR(IF(ISNUMBER('Debt to GDP Ratio'!D114),TEXT('Debt to GDP Ratio'!D114,"0.00"), ""), "")</f>
        <v/>
      </c>
      <c r="C110" t="str">
        <f>IFERROR(IF(ISNUMBER('Debt to GDP Ratio'!E114),TEXT('Debt to GDP Ratio'!E114,"0.00"), ""), "")</f>
        <v/>
      </c>
      <c r="D110" t="str">
        <f>IFERROR(IF(ISNUMBER('Debt to GDP Ratio'!B114),'Debt to GDP Ratio'!G114, ""), "")</f>
        <v/>
      </c>
    </row>
    <row r="111" spans="1:4">
      <c r="A111" t="str">
        <f>TEXT(IF('Debt to GDP Ratio'!B115&lt;&gt;0,'Debt to GDP Ratio'!B115, ""), "mm/dd/yyyy")</f>
        <v/>
      </c>
      <c r="B111" t="str">
        <f>IFERROR(IF(ISNUMBER('Debt to GDP Ratio'!D115),TEXT('Debt to GDP Ratio'!D115,"0.00"), ""), "")</f>
        <v/>
      </c>
      <c r="C111" t="str">
        <f>IFERROR(IF(ISNUMBER('Debt to GDP Ratio'!E115),TEXT('Debt to GDP Ratio'!E115,"0.00"), ""), "")</f>
        <v/>
      </c>
      <c r="D111" t="str">
        <f>IFERROR(IF(ISNUMBER('Debt to GDP Ratio'!B115),'Debt to GDP Ratio'!G115, ""), "")</f>
        <v/>
      </c>
    </row>
    <row r="112" spans="1:4">
      <c r="A112" t="str">
        <f>TEXT(IF('Debt to GDP Ratio'!B116&lt;&gt;0,'Debt to GDP Ratio'!B116, ""), "mm/dd/yyyy")</f>
        <v/>
      </c>
      <c r="B112" t="str">
        <f>IFERROR(IF(ISNUMBER('Debt to GDP Ratio'!D116),TEXT('Debt to GDP Ratio'!D116,"0.00"), ""), "")</f>
        <v/>
      </c>
      <c r="C112" t="str">
        <f>IFERROR(IF(ISNUMBER('Debt to GDP Ratio'!E116),TEXT('Debt to GDP Ratio'!E116,"0.00"), ""), "")</f>
        <v/>
      </c>
      <c r="D112" t="str">
        <f>IFERROR(IF(ISNUMBER('Debt to GDP Ratio'!B116),'Debt to GDP Ratio'!G116, ""), "")</f>
        <v/>
      </c>
    </row>
    <row r="113" spans="1:4">
      <c r="A113" t="str">
        <f>TEXT(IF('Debt to GDP Ratio'!B117&lt;&gt;0,'Debt to GDP Ratio'!B117, ""), "mm/dd/yyyy")</f>
        <v/>
      </c>
      <c r="B113" t="str">
        <f>IFERROR(IF(ISNUMBER('Debt to GDP Ratio'!D117),TEXT('Debt to GDP Ratio'!D117,"0.00"), ""), "")</f>
        <v/>
      </c>
      <c r="C113" t="str">
        <f>IFERROR(IF(ISNUMBER('Debt to GDP Ratio'!E117),TEXT('Debt to GDP Ratio'!E117,"0.00"), ""), "")</f>
        <v/>
      </c>
      <c r="D113" t="str">
        <f>IFERROR(IF(ISNUMBER('Debt to GDP Ratio'!B117),'Debt to GDP Ratio'!G117, ""), "")</f>
        <v/>
      </c>
    </row>
    <row r="114" spans="1:4">
      <c r="A114" t="str">
        <f>TEXT(IF('Debt to GDP Ratio'!B118&lt;&gt;0,'Debt to GDP Ratio'!B118, ""), "mm/dd/yyyy")</f>
        <v/>
      </c>
      <c r="B114" t="str">
        <f>IFERROR(IF(ISNUMBER('Debt to GDP Ratio'!D118),TEXT('Debt to GDP Ratio'!D118,"0.00"), ""), "")</f>
        <v/>
      </c>
      <c r="C114" t="str">
        <f>IFERROR(IF(ISNUMBER('Debt to GDP Ratio'!E118),TEXT('Debt to GDP Ratio'!E118,"0.00"), ""), "")</f>
        <v/>
      </c>
      <c r="D114" t="str">
        <f>IFERROR(IF(ISNUMBER('Debt to GDP Ratio'!B118),'Debt to GDP Ratio'!G118, ""), "")</f>
        <v/>
      </c>
    </row>
    <row r="115" spans="1:4">
      <c r="A115" t="str">
        <f>TEXT(IF('Debt to GDP Ratio'!B119&lt;&gt;0,'Debt to GDP Ratio'!B119, ""), "mm/dd/yyyy")</f>
        <v/>
      </c>
      <c r="B115" t="str">
        <f>IFERROR(IF(ISNUMBER('Debt to GDP Ratio'!D119),TEXT('Debt to GDP Ratio'!D119,"0.00"), ""), "")</f>
        <v/>
      </c>
      <c r="C115" t="str">
        <f>IFERROR(IF(ISNUMBER('Debt to GDP Ratio'!E119),TEXT('Debt to GDP Ratio'!E119,"0.00"), ""), "")</f>
        <v/>
      </c>
      <c r="D115" t="str">
        <f>IFERROR(IF(ISNUMBER('Debt to GDP Ratio'!B119),'Debt to GDP Ratio'!G119, ""), "")</f>
        <v/>
      </c>
    </row>
    <row r="116" spans="1:4">
      <c r="A116" t="str">
        <f>TEXT(IF('Debt to GDP Ratio'!B120&lt;&gt;0,'Debt to GDP Ratio'!B120, ""), "mm/dd/yyyy")</f>
        <v/>
      </c>
      <c r="B116" t="str">
        <f>IFERROR(IF(ISNUMBER('Debt to GDP Ratio'!D120),TEXT('Debt to GDP Ratio'!D120,"0.00"), ""), "")</f>
        <v/>
      </c>
      <c r="C116" t="str">
        <f>IFERROR(IF(ISNUMBER('Debt to GDP Ratio'!E120),TEXT('Debt to GDP Ratio'!E120,"0.00"), ""), "")</f>
        <v/>
      </c>
      <c r="D116" t="str">
        <f>IFERROR(IF(ISNUMBER('Debt to GDP Ratio'!B120),'Debt to GDP Ratio'!G120, ""), "")</f>
        <v/>
      </c>
    </row>
    <row r="117" spans="1:4">
      <c r="A117" t="str">
        <f>TEXT(IF('Debt to GDP Ratio'!B121&lt;&gt;0,'Debt to GDP Ratio'!B121, ""), "mm/dd/yyyy")</f>
        <v/>
      </c>
      <c r="B117" t="str">
        <f>IFERROR(IF(ISNUMBER('Debt to GDP Ratio'!D121),TEXT('Debt to GDP Ratio'!D121,"0.00"), ""), "")</f>
        <v/>
      </c>
      <c r="C117" t="str">
        <f>IFERROR(IF(ISNUMBER('Debt to GDP Ratio'!E121),TEXT('Debt to GDP Ratio'!E121,"0.00"), ""), "")</f>
        <v/>
      </c>
      <c r="D117" t="str">
        <f>IFERROR(IF(ISNUMBER('Debt to GDP Ratio'!B121),'Debt to GDP Ratio'!G121, ""), "")</f>
        <v/>
      </c>
    </row>
    <row r="118" spans="1:4">
      <c r="A118" t="str">
        <f>TEXT(IF('Debt to GDP Ratio'!B122&lt;&gt;0,'Debt to GDP Ratio'!B122, ""), "mm/dd/yyyy")</f>
        <v/>
      </c>
      <c r="B118" t="str">
        <f>IFERROR(IF(ISNUMBER('Debt to GDP Ratio'!D122),TEXT('Debt to GDP Ratio'!D122,"0.00"), ""), "")</f>
        <v/>
      </c>
      <c r="C118" t="str">
        <f>IFERROR(IF(ISNUMBER('Debt to GDP Ratio'!E122),TEXT('Debt to GDP Ratio'!E122,"0.00"), ""), "")</f>
        <v/>
      </c>
      <c r="D118" t="str">
        <f>IFERROR(IF(ISNUMBER('Debt to GDP Ratio'!B122),'Debt to GDP Ratio'!G122, ""), "")</f>
        <v/>
      </c>
    </row>
    <row r="119" spans="1:4">
      <c r="A119" t="str">
        <f>TEXT(IF('Debt to GDP Ratio'!B123&lt;&gt;0,'Debt to GDP Ratio'!B123, ""), "mm/dd/yyyy")</f>
        <v/>
      </c>
      <c r="B119" t="str">
        <f>IFERROR(IF(ISNUMBER('Debt to GDP Ratio'!D123),TEXT('Debt to GDP Ratio'!D123,"0.00"), ""), "")</f>
        <v/>
      </c>
      <c r="C119" t="str">
        <f>IFERROR(IF(ISNUMBER('Debt to GDP Ratio'!E123),TEXT('Debt to GDP Ratio'!E123,"0.00"), ""), "")</f>
        <v/>
      </c>
      <c r="D119" t="str">
        <f>IFERROR(IF(ISNUMBER('Debt to GDP Ratio'!B123),'Debt to GDP Ratio'!G123, ""), "")</f>
        <v/>
      </c>
    </row>
    <row r="120" spans="1:4">
      <c r="A120" t="str">
        <f>TEXT(IF('Debt to GDP Ratio'!B124&lt;&gt;0,'Debt to GDP Ratio'!B124, ""), "mm/dd/yyyy")</f>
        <v/>
      </c>
      <c r="B120" t="str">
        <f>IFERROR(IF(ISNUMBER('Debt to GDP Ratio'!D124),TEXT('Debt to GDP Ratio'!D124,"0.00"), ""), "")</f>
        <v/>
      </c>
      <c r="C120" t="str">
        <f>IFERROR(IF(ISNUMBER('Debt to GDP Ratio'!E124),TEXT('Debt to GDP Ratio'!E124,"0.00"), ""), "")</f>
        <v/>
      </c>
      <c r="D120" t="str">
        <f>IFERROR(IF(ISNUMBER('Debt to GDP Ratio'!B124),'Debt to GDP Ratio'!G124, ""), "")</f>
        <v/>
      </c>
    </row>
    <row r="121" spans="1:4">
      <c r="A121" t="str">
        <f>TEXT(IF('Debt to GDP Ratio'!B125&lt;&gt;0,'Debt to GDP Ratio'!B125, ""), "mm/dd/yyyy")</f>
        <v/>
      </c>
      <c r="B121" t="str">
        <f>IFERROR(IF(ISNUMBER('Debt to GDP Ratio'!D125),TEXT('Debt to GDP Ratio'!D125,"0.00"), ""), "")</f>
        <v/>
      </c>
      <c r="C121" t="str">
        <f>IFERROR(IF(ISNUMBER('Debt to GDP Ratio'!E125),TEXT('Debt to GDP Ratio'!E125,"0.00"), ""), "")</f>
        <v/>
      </c>
      <c r="D121" t="str">
        <f>IFERROR(IF(ISNUMBER('Debt to GDP Ratio'!B125),'Debt to GDP Ratio'!G125, ""), "")</f>
        <v/>
      </c>
    </row>
    <row r="122" spans="1:4">
      <c r="A122" t="str">
        <f>TEXT(IF('Debt to GDP Ratio'!B126&lt;&gt;0,'Debt to GDP Ratio'!B126, ""), "mm/dd/yyyy")</f>
        <v/>
      </c>
      <c r="B122" t="str">
        <f>IFERROR(IF(ISNUMBER('Debt to GDP Ratio'!D126),TEXT('Debt to GDP Ratio'!D126,"0.00"), ""), "")</f>
        <v/>
      </c>
      <c r="C122" t="str">
        <f>IFERROR(IF(ISNUMBER('Debt to GDP Ratio'!E126),TEXT('Debt to GDP Ratio'!E126,"0.00"), ""), "")</f>
        <v/>
      </c>
      <c r="D122" t="str">
        <f>IFERROR(IF(ISNUMBER('Debt to GDP Ratio'!B126),'Debt to GDP Ratio'!G126, ""), "")</f>
        <v/>
      </c>
    </row>
    <row r="123" spans="1:4">
      <c r="A123" t="str">
        <f>TEXT(IF('Debt to GDP Ratio'!B127&lt;&gt;0,'Debt to GDP Ratio'!B127, ""), "mm/dd/yyyy")</f>
        <v/>
      </c>
      <c r="B123" t="str">
        <f>IFERROR(IF(ISNUMBER('Debt to GDP Ratio'!D127),TEXT('Debt to GDP Ratio'!D127,"0.00"), ""), "")</f>
        <v/>
      </c>
      <c r="C123" t="str">
        <f>IFERROR(IF(ISNUMBER('Debt to GDP Ratio'!E127),TEXT('Debt to GDP Ratio'!E127,"0.00"), ""), "")</f>
        <v/>
      </c>
      <c r="D123" t="str">
        <f>IFERROR(IF(ISNUMBER('Debt to GDP Ratio'!B127),'Debt to GDP Ratio'!G127, ""), "")</f>
        <v/>
      </c>
    </row>
    <row r="124" spans="1:4">
      <c r="A124" t="str">
        <f>TEXT(IF('Debt to GDP Ratio'!B128&lt;&gt;0,'Debt to GDP Ratio'!B128, ""), "mm/dd/yyyy")</f>
        <v/>
      </c>
      <c r="B124" t="str">
        <f>IFERROR(IF(ISNUMBER('Debt to GDP Ratio'!D128),TEXT('Debt to GDP Ratio'!D128,"0.00"), ""), "")</f>
        <v/>
      </c>
      <c r="C124" t="str">
        <f>IFERROR(IF(ISNUMBER('Debt to GDP Ratio'!E128),TEXT('Debt to GDP Ratio'!E128,"0.00"), ""), "")</f>
        <v/>
      </c>
      <c r="D124" t="str">
        <f>IFERROR(IF(ISNUMBER('Debt to GDP Ratio'!B128),'Debt to GDP Ratio'!G128, ""), "")</f>
        <v/>
      </c>
    </row>
    <row r="125" spans="1:4">
      <c r="A125" t="str">
        <f>TEXT(IF('Debt to GDP Ratio'!B129&lt;&gt;0,'Debt to GDP Ratio'!B129, ""), "mm/dd/yyyy")</f>
        <v/>
      </c>
      <c r="B125" t="str">
        <f>IFERROR(IF(ISNUMBER('Debt to GDP Ratio'!D129),TEXT('Debt to GDP Ratio'!D129,"0.00"), ""), "")</f>
        <v/>
      </c>
      <c r="C125" t="str">
        <f>IFERROR(IF(ISNUMBER('Debt to GDP Ratio'!E129),TEXT('Debt to GDP Ratio'!E129,"0.00"), ""), "")</f>
        <v/>
      </c>
      <c r="D125" t="str">
        <f>IFERROR(IF(ISNUMBER('Debt to GDP Ratio'!B129),'Debt to GDP Ratio'!G129, ""), "")</f>
        <v/>
      </c>
    </row>
    <row r="126" spans="1:4">
      <c r="A126" t="str">
        <f>TEXT(IF('Debt to GDP Ratio'!B130&lt;&gt;0,'Debt to GDP Ratio'!B130, ""), "mm/dd/yyyy")</f>
        <v/>
      </c>
      <c r="B126" t="str">
        <f>IFERROR(IF(ISNUMBER('Debt to GDP Ratio'!D130),TEXT('Debt to GDP Ratio'!D130,"0.00"), ""), "")</f>
        <v/>
      </c>
      <c r="C126" t="str">
        <f>IFERROR(IF(ISNUMBER('Debt to GDP Ratio'!E130),TEXT('Debt to GDP Ratio'!E130,"0.00"), ""), "")</f>
        <v/>
      </c>
      <c r="D126" t="str">
        <f>IFERROR(IF(ISNUMBER('Debt to GDP Ratio'!B130),'Debt to GDP Ratio'!G130, ""), "")</f>
        <v/>
      </c>
    </row>
    <row r="127" spans="1:4">
      <c r="A127" t="str">
        <f>TEXT(IF('Debt to GDP Ratio'!B131&lt;&gt;0,'Debt to GDP Ratio'!B131, ""), "mm/dd/yyyy")</f>
        <v/>
      </c>
      <c r="B127" t="str">
        <f>IFERROR(IF(ISNUMBER('Debt to GDP Ratio'!D131),TEXT('Debt to GDP Ratio'!D131,"0.00"), ""), "")</f>
        <v/>
      </c>
      <c r="C127" t="str">
        <f>IFERROR(IF(ISNUMBER('Debt to GDP Ratio'!E131),TEXT('Debt to GDP Ratio'!E131,"0.00"), ""), "")</f>
        <v/>
      </c>
      <c r="D127" t="str">
        <f>IFERROR(IF(ISNUMBER('Debt to GDP Ratio'!B131),'Debt to GDP Ratio'!G131, ""), "")</f>
        <v/>
      </c>
    </row>
    <row r="128" spans="1:4">
      <c r="A128" t="str">
        <f>TEXT(IF('Debt to GDP Ratio'!B132&lt;&gt;0,'Debt to GDP Ratio'!B132, ""), "mm/dd/yyyy")</f>
        <v/>
      </c>
      <c r="B128" t="str">
        <f>IFERROR(IF(ISNUMBER('Debt to GDP Ratio'!D132),TEXT('Debt to GDP Ratio'!D132,"0.00"), ""), "")</f>
        <v/>
      </c>
      <c r="C128" t="str">
        <f>IFERROR(IF(ISNUMBER('Debt to GDP Ratio'!E132),TEXT('Debt to GDP Ratio'!E132,"0.00"), ""), "")</f>
        <v/>
      </c>
      <c r="D128" t="str">
        <f>IFERROR(IF(ISNUMBER('Debt to GDP Ratio'!B132),'Debt to GDP Ratio'!G132, ""), "")</f>
        <v/>
      </c>
    </row>
    <row r="129" spans="1:4">
      <c r="A129" t="str">
        <f>TEXT(IF('Debt to GDP Ratio'!B133&lt;&gt;0,'Debt to GDP Ratio'!B133, ""), "mm/dd/yyyy")</f>
        <v/>
      </c>
      <c r="B129" t="str">
        <f>IFERROR(IF(ISNUMBER('Debt to GDP Ratio'!D133),TEXT('Debt to GDP Ratio'!D133,"0.00"), ""), "")</f>
        <v/>
      </c>
      <c r="C129" t="str">
        <f>IFERROR(IF(ISNUMBER('Debt to GDP Ratio'!E133),TEXT('Debt to GDP Ratio'!E133,"0.00"), ""), "")</f>
        <v/>
      </c>
      <c r="D129" t="str">
        <f>IFERROR(IF(ISNUMBER('Debt to GDP Ratio'!B133),'Debt to GDP Ratio'!G133, ""), "")</f>
        <v/>
      </c>
    </row>
    <row r="130" spans="1:4">
      <c r="A130" t="str">
        <f>TEXT(IF('Debt to GDP Ratio'!B134&lt;&gt;0,'Debt to GDP Ratio'!B134, ""), "mm/dd/yyyy")</f>
        <v/>
      </c>
      <c r="B130" t="str">
        <f>IFERROR(IF(ISNUMBER('Debt to GDP Ratio'!D134),TEXT('Debt to GDP Ratio'!D134,"0.00"), ""), "")</f>
        <v/>
      </c>
      <c r="C130" t="str">
        <f>IFERROR(IF(ISNUMBER('Debt to GDP Ratio'!E134),TEXT('Debt to GDP Ratio'!E134,"0.00"), ""), "")</f>
        <v/>
      </c>
      <c r="D130" t="str">
        <f>IFERROR(IF(ISNUMBER('Debt to GDP Ratio'!B134),'Debt to GDP Ratio'!G134, ""), "")</f>
        <v/>
      </c>
    </row>
    <row r="131" spans="1:4">
      <c r="A131" t="str">
        <f>TEXT(IF('Debt to GDP Ratio'!B135&lt;&gt;0,'Debt to GDP Ratio'!B135, ""), "mm/dd/yyyy")</f>
        <v/>
      </c>
      <c r="B131" t="str">
        <f>IFERROR(IF(ISNUMBER('Debt to GDP Ratio'!D135),TEXT('Debt to GDP Ratio'!D135,"0.00"), ""), "")</f>
        <v/>
      </c>
      <c r="C131" t="str">
        <f>IFERROR(IF(ISNUMBER('Debt to GDP Ratio'!E135),TEXT('Debt to GDP Ratio'!E135,"0.00"), ""), "")</f>
        <v/>
      </c>
      <c r="D131" t="str">
        <f>IFERROR(IF(ISNUMBER('Debt to GDP Ratio'!B135),'Debt to GDP Ratio'!G135, ""), "")</f>
        <v/>
      </c>
    </row>
    <row r="132" spans="1:4">
      <c r="A132" t="str">
        <f>TEXT(IF('Debt to GDP Ratio'!B136&lt;&gt;0,'Debt to GDP Ratio'!B136, ""), "mm/dd/yyyy")</f>
        <v/>
      </c>
      <c r="B132" t="str">
        <f>IFERROR(IF(ISNUMBER('Debt to GDP Ratio'!D136),TEXT('Debt to GDP Ratio'!D136,"0.00"), ""), "")</f>
        <v/>
      </c>
      <c r="C132" t="str">
        <f>IFERROR(IF(ISNUMBER('Debt to GDP Ratio'!E136),TEXT('Debt to GDP Ratio'!E136,"0.00"), ""), "")</f>
        <v/>
      </c>
      <c r="D132" t="str">
        <f>IFERROR(IF(ISNUMBER('Debt to GDP Ratio'!B136),'Debt to GDP Ratio'!G136, ""), "")</f>
        <v/>
      </c>
    </row>
    <row r="133" spans="1:4">
      <c r="A133" t="str">
        <f>TEXT(IF('Debt to GDP Ratio'!B137&lt;&gt;0,'Debt to GDP Ratio'!B137, ""), "mm/dd/yyyy")</f>
        <v/>
      </c>
      <c r="B133" t="str">
        <f>IFERROR(IF(ISNUMBER('Debt to GDP Ratio'!D137),TEXT('Debt to GDP Ratio'!D137,"0.00"), ""), "")</f>
        <v/>
      </c>
      <c r="C133" t="str">
        <f>IFERROR(IF(ISNUMBER('Debt to GDP Ratio'!E137),TEXT('Debt to GDP Ratio'!E137,"0.00"), ""), "")</f>
        <v/>
      </c>
      <c r="D133" t="str">
        <f>IFERROR(IF(ISNUMBER('Debt to GDP Ratio'!B137),'Debt to GDP Ratio'!G137, ""), "")</f>
        <v/>
      </c>
    </row>
    <row r="134" spans="1:4">
      <c r="A134" t="str">
        <f>TEXT(IF('Debt to GDP Ratio'!B138&lt;&gt;0,'Debt to GDP Ratio'!B138, ""), "mm/dd/yyyy")</f>
        <v/>
      </c>
      <c r="B134" t="str">
        <f>IFERROR(IF(ISNUMBER('Debt to GDP Ratio'!D138),TEXT('Debt to GDP Ratio'!D138,"0.00"), ""), "")</f>
        <v/>
      </c>
      <c r="C134" t="str">
        <f>IFERROR(IF(ISNUMBER('Debt to GDP Ratio'!E138),TEXT('Debt to GDP Ratio'!E138,"0.00"), ""), "")</f>
        <v/>
      </c>
      <c r="D134" t="str">
        <f>IFERROR(IF(ISNUMBER('Debt to GDP Ratio'!B138),'Debt to GDP Ratio'!G138, ""), "")</f>
        <v/>
      </c>
    </row>
    <row r="135" spans="1:4">
      <c r="A135" t="str">
        <f>TEXT(IF('Debt to GDP Ratio'!B139&lt;&gt;0,'Debt to GDP Ratio'!B139, ""), "mm/dd/yyyy")</f>
        <v/>
      </c>
      <c r="B135" t="str">
        <f>IFERROR(IF(ISNUMBER('Debt to GDP Ratio'!D139),TEXT('Debt to GDP Ratio'!D139,"0.00"), ""), "")</f>
        <v/>
      </c>
      <c r="C135" t="str">
        <f>IFERROR(IF(ISNUMBER('Debt to GDP Ratio'!E139),TEXT('Debt to GDP Ratio'!E139,"0.00"), ""), "")</f>
        <v/>
      </c>
      <c r="D135" t="str">
        <f>IFERROR(IF(ISNUMBER('Debt to GDP Ratio'!B139),'Debt to GDP Ratio'!G139, ""), "")</f>
        <v/>
      </c>
    </row>
    <row r="136" spans="1:4">
      <c r="A136" t="str">
        <f>TEXT(IF('Debt to GDP Ratio'!B140&lt;&gt;0,'Debt to GDP Ratio'!B140, ""), "mm/dd/yyyy")</f>
        <v/>
      </c>
      <c r="B136" t="str">
        <f>IFERROR(IF(ISNUMBER('Debt to GDP Ratio'!D140),TEXT('Debt to GDP Ratio'!D140,"0.00"), ""), "")</f>
        <v/>
      </c>
      <c r="C136" t="str">
        <f>IFERROR(IF(ISNUMBER('Debt to GDP Ratio'!E140),TEXT('Debt to GDP Ratio'!E140,"0.00"), ""), "")</f>
        <v/>
      </c>
      <c r="D136" t="str">
        <f>IFERROR(IF(ISNUMBER('Debt to GDP Ratio'!B140),'Debt to GDP Ratio'!G140, ""), "")</f>
        <v/>
      </c>
    </row>
    <row r="137" spans="1:4">
      <c r="A137" t="str">
        <f>TEXT(IF('Debt to GDP Ratio'!B141&lt;&gt;0,'Debt to GDP Ratio'!B141, ""), "mm/dd/yyyy")</f>
        <v/>
      </c>
      <c r="B137" t="str">
        <f>IFERROR(IF(ISNUMBER('Debt to GDP Ratio'!D141),TEXT('Debt to GDP Ratio'!D141,"0.00"), ""), "")</f>
        <v/>
      </c>
      <c r="C137" t="str">
        <f>IFERROR(IF(ISNUMBER('Debt to GDP Ratio'!E141),TEXT('Debt to GDP Ratio'!E141,"0.00"), ""), "")</f>
        <v/>
      </c>
      <c r="D137" t="str">
        <f>IFERROR(IF(ISNUMBER('Debt to GDP Ratio'!B141),'Debt to GDP Ratio'!G141, ""), "")</f>
        <v/>
      </c>
    </row>
    <row r="138" spans="1:4">
      <c r="A138" t="str">
        <f>TEXT(IF('Debt to GDP Ratio'!B142&lt;&gt;0,'Debt to GDP Ratio'!B142, ""), "mm/dd/yyyy")</f>
        <v/>
      </c>
      <c r="B138" t="str">
        <f>IFERROR(IF(ISNUMBER('Debt to GDP Ratio'!D142),TEXT('Debt to GDP Ratio'!D142,"0.00"), ""), "")</f>
        <v/>
      </c>
      <c r="C138" t="str">
        <f>IFERROR(IF(ISNUMBER('Debt to GDP Ratio'!E142),TEXT('Debt to GDP Ratio'!E142,"0.00"), ""), "")</f>
        <v/>
      </c>
      <c r="D138" t="str">
        <f>IFERROR(IF(ISNUMBER('Debt to GDP Ratio'!B142),'Debt to GDP Ratio'!G142, ""), "")</f>
        <v/>
      </c>
    </row>
    <row r="139" spans="1:4">
      <c r="A139" t="str">
        <f>TEXT(IF('Debt to GDP Ratio'!B143&lt;&gt;0,'Debt to GDP Ratio'!B143, ""), "mm/dd/yyyy")</f>
        <v/>
      </c>
      <c r="B139" t="str">
        <f>IFERROR(IF(ISNUMBER('Debt to GDP Ratio'!D143),TEXT('Debt to GDP Ratio'!D143,"0.00"), ""), "")</f>
        <v/>
      </c>
      <c r="C139" t="str">
        <f>IFERROR(IF(ISNUMBER('Debt to GDP Ratio'!E143),TEXT('Debt to GDP Ratio'!E143,"0.00"), ""), "")</f>
        <v/>
      </c>
      <c r="D139" t="str">
        <f>IFERROR(IF(ISNUMBER('Debt to GDP Ratio'!B143),'Debt to GDP Ratio'!G143, ""), "")</f>
        <v/>
      </c>
    </row>
    <row r="140" spans="1:4">
      <c r="A140" t="str">
        <f>TEXT(IF('Debt to GDP Ratio'!B144&lt;&gt;0,'Debt to GDP Ratio'!B144, ""), "mm/dd/yyyy")</f>
        <v/>
      </c>
      <c r="B140" t="str">
        <f>IFERROR(IF(ISNUMBER('Debt to GDP Ratio'!D144),TEXT('Debt to GDP Ratio'!D144,"0.00"), ""), "")</f>
        <v/>
      </c>
      <c r="C140" t="str">
        <f>IFERROR(IF(ISNUMBER('Debt to GDP Ratio'!E144),TEXT('Debt to GDP Ratio'!E144,"0.00"), ""), "")</f>
        <v/>
      </c>
      <c r="D140" t="str">
        <f>IFERROR(IF(ISNUMBER('Debt to GDP Ratio'!B144),'Debt to GDP Ratio'!G144, ""), "")</f>
        <v/>
      </c>
    </row>
    <row r="141" spans="1:4">
      <c r="A141" t="str">
        <f>TEXT(IF('Debt to GDP Ratio'!B145&lt;&gt;0,'Debt to GDP Ratio'!B145, ""), "mm/dd/yyyy")</f>
        <v/>
      </c>
      <c r="B141" t="str">
        <f>IFERROR(IF(ISNUMBER('Debt to GDP Ratio'!D145),TEXT('Debt to GDP Ratio'!D145,"0.00"), ""), "")</f>
        <v/>
      </c>
      <c r="C141" t="str">
        <f>IFERROR(IF(ISNUMBER('Debt to GDP Ratio'!E145),TEXT('Debt to GDP Ratio'!E145,"0.00"), ""), "")</f>
        <v/>
      </c>
      <c r="D141" t="str">
        <f>IFERROR(IF(ISNUMBER('Debt to GDP Ratio'!B145),'Debt to GDP Ratio'!G145, ""), "")</f>
        <v/>
      </c>
    </row>
    <row r="142" spans="1:4">
      <c r="A142" t="str">
        <f>TEXT(IF('Debt to GDP Ratio'!B146&lt;&gt;0,'Debt to GDP Ratio'!B146, ""), "mm/dd/yyyy")</f>
        <v/>
      </c>
      <c r="B142" t="str">
        <f>IFERROR(IF(ISNUMBER('Debt to GDP Ratio'!D146),TEXT('Debt to GDP Ratio'!D146,"0.00"), ""), "")</f>
        <v/>
      </c>
      <c r="C142" t="str">
        <f>IFERROR(IF(ISNUMBER('Debt to GDP Ratio'!E146),TEXT('Debt to GDP Ratio'!E146,"0.00"), ""), "")</f>
        <v/>
      </c>
      <c r="D142" t="str">
        <f>IFERROR(IF(ISNUMBER('Debt to GDP Ratio'!B146),'Debt to GDP Ratio'!G146, ""), "")</f>
        <v/>
      </c>
    </row>
    <row r="143" spans="1:4">
      <c r="A143" t="str">
        <f>TEXT(IF('Debt to GDP Ratio'!B147&lt;&gt;0,'Debt to GDP Ratio'!B147, ""), "mm/dd/yyyy")</f>
        <v/>
      </c>
      <c r="B143" t="str">
        <f>IFERROR(IF(ISNUMBER('Debt to GDP Ratio'!D147),TEXT('Debt to GDP Ratio'!D147,"0.00"), ""), "")</f>
        <v/>
      </c>
      <c r="C143" t="str">
        <f>IFERROR(IF(ISNUMBER('Debt to GDP Ratio'!E147),TEXT('Debt to GDP Ratio'!E147,"0.00"), ""), "")</f>
        <v/>
      </c>
      <c r="D143" t="str">
        <f>IFERROR(IF(ISNUMBER('Debt to GDP Ratio'!B147),'Debt to GDP Ratio'!G147, ""), "")</f>
        <v/>
      </c>
    </row>
    <row r="144" spans="1:4">
      <c r="A144" t="str">
        <f>TEXT(IF('Debt to GDP Ratio'!B148&lt;&gt;0,'Debt to GDP Ratio'!B148, ""), "mm/dd/yyyy")</f>
        <v/>
      </c>
      <c r="B144" t="str">
        <f>IFERROR(IF(ISNUMBER('Debt to GDP Ratio'!D148),TEXT('Debt to GDP Ratio'!D148,"0.00"), ""), "")</f>
        <v/>
      </c>
      <c r="C144" t="str">
        <f>IFERROR(IF(ISNUMBER('Debt to GDP Ratio'!E148),TEXT('Debt to GDP Ratio'!E148,"0.00"), ""), "")</f>
        <v/>
      </c>
      <c r="D144" t="str">
        <f>IFERROR(IF(ISNUMBER('Debt to GDP Ratio'!B148),'Debt to GDP Ratio'!G148, ""), "")</f>
        <v/>
      </c>
    </row>
    <row r="145" spans="1:4">
      <c r="A145" t="str">
        <f>TEXT(IF('Debt to GDP Ratio'!B149&lt;&gt;0,'Debt to GDP Ratio'!B149, ""), "mm/dd/yyyy")</f>
        <v/>
      </c>
      <c r="B145" t="str">
        <f>IFERROR(IF(ISNUMBER('Debt to GDP Ratio'!D149),TEXT('Debt to GDP Ratio'!D149,"0.00"), ""), "")</f>
        <v/>
      </c>
      <c r="C145" t="str">
        <f>IFERROR(IF(ISNUMBER('Debt to GDP Ratio'!E149),TEXT('Debt to GDP Ratio'!E149,"0.00"), ""), "")</f>
        <v/>
      </c>
      <c r="D145" t="str">
        <f>IFERROR(IF(ISNUMBER('Debt to GDP Ratio'!B149),'Debt to GDP Ratio'!G149, ""), "")</f>
        <v/>
      </c>
    </row>
    <row r="146" spans="1:4">
      <c r="A146" t="str">
        <f>TEXT(IF('Debt to GDP Ratio'!B150&lt;&gt;0,'Debt to GDP Ratio'!B150, ""), "mm/dd/yyyy")</f>
        <v/>
      </c>
      <c r="B146" t="str">
        <f>IFERROR(IF(ISNUMBER('Debt to GDP Ratio'!D150),TEXT('Debt to GDP Ratio'!D150,"0.00"), ""), "")</f>
        <v/>
      </c>
      <c r="C146" t="str">
        <f>IFERROR(IF(ISNUMBER('Debt to GDP Ratio'!E150),TEXT('Debt to GDP Ratio'!E150,"0.00"), ""), "")</f>
        <v/>
      </c>
      <c r="D146" t="str">
        <f>IFERROR(IF(ISNUMBER('Debt to GDP Ratio'!B150),'Debt to GDP Ratio'!G150, ""), "")</f>
        <v/>
      </c>
    </row>
    <row r="147" spans="1:4">
      <c r="A147" t="str">
        <f>TEXT(IF('Debt to GDP Ratio'!B151&lt;&gt;0,'Debt to GDP Ratio'!B151, ""), "mm/dd/yyyy")</f>
        <v/>
      </c>
      <c r="B147" t="str">
        <f>IFERROR(IF(ISNUMBER('Debt to GDP Ratio'!D151),TEXT('Debt to GDP Ratio'!D151,"0.00"), ""), "")</f>
        <v/>
      </c>
      <c r="C147" t="str">
        <f>IFERROR(IF(ISNUMBER('Debt to GDP Ratio'!E151),TEXT('Debt to GDP Ratio'!E151,"0.00"), ""), "")</f>
        <v/>
      </c>
      <c r="D147" t="str">
        <f>IFERROR(IF(ISNUMBER('Debt to GDP Ratio'!B151),'Debt to GDP Ratio'!G151, ""), "")</f>
        <v/>
      </c>
    </row>
    <row r="148" spans="1:4">
      <c r="A148" t="str">
        <f>TEXT(IF('Debt to GDP Ratio'!B152&lt;&gt;0,'Debt to GDP Ratio'!B152, ""), "mm/dd/yyyy")</f>
        <v/>
      </c>
      <c r="B148" t="str">
        <f>IFERROR(IF(ISNUMBER('Debt to GDP Ratio'!D152),TEXT('Debt to GDP Ratio'!D152,"0.00"), ""), "")</f>
        <v/>
      </c>
      <c r="C148" t="str">
        <f>IFERROR(IF(ISNUMBER('Debt to GDP Ratio'!E152),TEXT('Debt to GDP Ratio'!E152,"0.00"), ""), "")</f>
        <v/>
      </c>
      <c r="D148" t="str">
        <f>IFERROR(IF(ISNUMBER('Debt to GDP Ratio'!B152),'Debt to GDP Ratio'!G152, ""), "")</f>
        <v/>
      </c>
    </row>
    <row r="149" spans="1:4">
      <c r="A149" t="str">
        <f>TEXT(IF('Debt to GDP Ratio'!B153&lt;&gt;0,'Debt to GDP Ratio'!B153, ""), "mm/dd/yyyy")</f>
        <v/>
      </c>
      <c r="B149" t="str">
        <f>IFERROR(IF(ISNUMBER('Debt to GDP Ratio'!D153),TEXT('Debt to GDP Ratio'!D153,"0.00"), ""), "")</f>
        <v/>
      </c>
      <c r="C149" t="str">
        <f>IFERROR(IF(ISNUMBER('Debt to GDP Ratio'!E153),TEXT('Debt to GDP Ratio'!E153,"0.00"), ""), "")</f>
        <v/>
      </c>
      <c r="D149" t="str">
        <f>IFERROR(IF(ISNUMBER('Debt to GDP Ratio'!B153),'Debt to GDP Ratio'!G153, ""), "")</f>
        <v/>
      </c>
    </row>
    <row r="150" spans="1:4">
      <c r="A150" t="str">
        <f>TEXT(IF('Debt to GDP Ratio'!B154&lt;&gt;0,'Debt to GDP Ratio'!B154, ""), "mm/dd/yyyy")</f>
        <v/>
      </c>
      <c r="B150" t="str">
        <f>IFERROR(IF(ISNUMBER('Debt to GDP Ratio'!D154),TEXT('Debt to GDP Ratio'!D154,"0.00"), ""), "")</f>
        <v/>
      </c>
      <c r="C150" t="str">
        <f>IFERROR(IF(ISNUMBER('Debt to GDP Ratio'!E154),TEXT('Debt to GDP Ratio'!E154,"0.00"), ""), "")</f>
        <v/>
      </c>
      <c r="D150" t="str">
        <f>IFERROR(IF(ISNUMBER('Debt to GDP Ratio'!B154),'Debt to GDP Ratio'!G154, ""), "")</f>
        <v/>
      </c>
    </row>
    <row r="151" spans="1:4">
      <c r="A151" t="str">
        <f>TEXT(IF('Debt to GDP Ratio'!B155&lt;&gt;0,'Debt to GDP Ratio'!B155, ""), "mm/dd/yyyy")</f>
        <v/>
      </c>
      <c r="B151" t="str">
        <f>IFERROR(IF(ISNUMBER('Debt to GDP Ratio'!D155),TEXT('Debt to GDP Ratio'!D155,"0.00"), ""), "")</f>
        <v/>
      </c>
      <c r="C151" t="str">
        <f>IFERROR(IF(ISNUMBER('Debt to GDP Ratio'!E155),TEXT('Debt to GDP Ratio'!E155,"0.00"), ""), "")</f>
        <v/>
      </c>
      <c r="D151" t="str">
        <f>IFERROR(IF(ISNUMBER('Debt to GDP Ratio'!B155),'Debt to GDP Ratio'!G155, ""), "")</f>
        <v/>
      </c>
    </row>
    <row r="152" spans="1:4">
      <c r="A152" t="str">
        <f>TEXT(IF('Debt to GDP Ratio'!B156&lt;&gt;0,'Debt to GDP Ratio'!B156, ""), "mm/dd/yyyy")</f>
        <v/>
      </c>
      <c r="B152" t="str">
        <f>IFERROR(IF(ISNUMBER('Debt to GDP Ratio'!D156),TEXT('Debt to GDP Ratio'!D156,"0.00"), ""), "")</f>
        <v/>
      </c>
      <c r="C152" t="str">
        <f>IFERROR(IF(ISNUMBER('Debt to GDP Ratio'!E156),TEXT('Debt to GDP Ratio'!E156,"0.00"), ""), "")</f>
        <v/>
      </c>
      <c r="D152" t="str">
        <f>IFERROR(IF(ISNUMBER('Debt to GDP Ratio'!B156),'Debt to GDP Ratio'!G156, ""), "")</f>
        <v/>
      </c>
    </row>
    <row r="153" spans="1:4">
      <c r="A153" t="str">
        <f>TEXT(IF('Debt to GDP Ratio'!B157&lt;&gt;0,'Debt to GDP Ratio'!B157, ""), "mm/dd/yyyy")</f>
        <v/>
      </c>
      <c r="B153" t="str">
        <f>IFERROR(IF(ISNUMBER('Debt to GDP Ratio'!D157),TEXT('Debt to GDP Ratio'!D157,"0.00"), ""), "")</f>
        <v/>
      </c>
      <c r="C153" t="str">
        <f>IFERROR(IF(ISNUMBER('Debt to GDP Ratio'!E157),TEXT('Debt to GDP Ratio'!E157,"0.00"), ""), "")</f>
        <v/>
      </c>
      <c r="D153" t="str">
        <f>IFERROR(IF(ISNUMBER('Debt to GDP Ratio'!B157),'Debt to GDP Ratio'!G157, ""), "")</f>
        <v/>
      </c>
    </row>
    <row r="154" spans="1:4">
      <c r="A154" t="str">
        <f>TEXT(IF('Debt to GDP Ratio'!B158&lt;&gt;0,'Debt to GDP Ratio'!B158, ""), "mm/dd/yyyy")</f>
        <v/>
      </c>
      <c r="B154" t="str">
        <f>IFERROR(IF(ISNUMBER('Debt to GDP Ratio'!D158),TEXT('Debt to GDP Ratio'!D158,"0.00"), ""), "")</f>
        <v/>
      </c>
      <c r="C154" t="str">
        <f>IFERROR(IF(ISNUMBER('Debt to GDP Ratio'!E158),TEXT('Debt to GDP Ratio'!E158,"0.00"), ""), "")</f>
        <v/>
      </c>
      <c r="D154" t="str">
        <f>IFERROR(IF(ISNUMBER('Debt to GDP Ratio'!B158),'Debt to GDP Ratio'!G158, ""), "")</f>
        <v/>
      </c>
    </row>
    <row r="155" spans="1:4">
      <c r="A155" t="str">
        <f>TEXT(IF('Debt to GDP Ratio'!B159&lt;&gt;0,'Debt to GDP Ratio'!B159, ""), "mm/dd/yyyy")</f>
        <v/>
      </c>
      <c r="B155" t="str">
        <f>IFERROR(IF(ISNUMBER('Debt to GDP Ratio'!D159),TEXT('Debt to GDP Ratio'!D159,"0.00"), ""), "")</f>
        <v/>
      </c>
      <c r="C155" t="str">
        <f>IFERROR(IF(ISNUMBER('Debt to GDP Ratio'!E159),TEXT('Debt to GDP Ratio'!E159,"0.00"), ""), "")</f>
        <v/>
      </c>
      <c r="D155" t="str">
        <f>IFERROR(IF(ISNUMBER('Debt to GDP Ratio'!B159),'Debt to GDP Ratio'!G159, ""), "")</f>
        <v/>
      </c>
    </row>
    <row r="156" spans="1:4">
      <c r="A156" t="str">
        <f>TEXT(IF('Debt to GDP Ratio'!B160&lt;&gt;0,'Debt to GDP Ratio'!B160, ""), "mm/dd/yyyy")</f>
        <v/>
      </c>
      <c r="B156" t="str">
        <f>IFERROR(IF(ISNUMBER('Debt to GDP Ratio'!D160),TEXT('Debt to GDP Ratio'!D160,"0.00"), ""), "")</f>
        <v/>
      </c>
      <c r="C156" t="str">
        <f>IFERROR(IF(ISNUMBER('Debt to GDP Ratio'!E160),TEXT('Debt to GDP Ratio'!E160,"0.00"), ""), "")</f>
        <v/>
      </c>
      <c r="D156" t="str">
        <f>IFERROR(IF(ISNUMBER('Debt to GDP Ratio'!B160),'Debt to GDP Ratio'!G160, ""), "")</f>
        <v/>
      </c>
    </row>
    <row r="157" spans="1:4">
      <c r="A157" t="str">
        <f>TEXT(IF('Debt to GDP Ratio'!B161&lt;&gt;0,'Debt to GDP Ratio'!B161, ""), "mm/dd/yyyy")</f>
        <v/>
      </c>
      <c r="B157" t="str">
        <f>IFERROR(IF(ISNUMBER('Debt to GDP Ratio'!D161),TEXT('Debt to GDP Ratio'!D161,"0.00"), ""), "")</f>
        <v/>
      </c>
      <c r="C157" t="str">
        <f>IFERROR(IF(ISNUMBER('Debt to GDP Ratio'!E161),TEXT('Debt to GDP Ratio'!E161,"0.00"), ""), "")</f>
        <v/>
      </c>
      <c r="D157" t="str">
        <f>IFERROR(IF(ISNUMBER('Debt to GDP Ratio'!B161),'Debt to GDP Ratio'!G161, ""), "")</f>
        <v/>
      </c>
    </row>
    <row r="158" spans="1:4">
      <c r="A158" t="str">
        <f>TEXT(IF('Debt to GDP Ratio'!B162&lt;&gt;0,'Debt to GDP Ratio'!B162, ""), "mm/dd/yyyy")</f>
        <v/>
      </c>
      <c r="B158" t="str">
        <f>IFERROR(IF(ISNUMBER('Debt to GDP Ratio'!D162),TEXT('Debt to GDP Ratio'!D162,"0.00"), ""), "")</f>
        <v/>
      </c>
      <c r="C158" t="str">
        <f>IFERROR(IF(ISNUMBER('Debt to GDP Ratio'!E162),TEXT('Debt to GDP Ratio'!E162,"0.00"), ""), "")</f>
        <v/>
      </c>
      <c r="D158" t="str">
        <f>IFERROR(IF(ISNUMBER('Debt to GDP Ratio'!B162),'Debt to GDP Ratio'!G162, ""), "")</f>
        <v/>
      </c>
    </row>
    <row r="159" spans="1:4">
      <c r="A159" t="str">
        <f>TEXT(IF('Debt to GDP Ratio'!B163&lt;&gt;0,'Debt to GDP Ratio'!B163, ""), "mm/dd/yyyy")</f>
        <v/>
      </c>
      <c r="B159" t="str">
        <f>IFERROR(IF(ISNUMBER('Debt to GDP Ratio'!D163),TEXT('Debt to GDP Ratio'!D163,"0.00"), ""), "")</f>
        <v/>
      </c>
      <c r="C159" t="str">
        <f>IFERROR(IF(ISNUMBER('Debt to GDP Ratio'!E163),TEXT('Debt to GDP Ratio'!E163,"0.00"), ""), "")</f>
        <v/>
      </c>
      <c r="D159" t="str">
        <f>IFERROR(IF(ISNUMBER('Debt to GDP Ratio'!B163),'Debt to GDP Ratio'!G163, ""), "")</f>
        <v/>
      </c>
    </row>
    <row r="160" spans="1:4">
      <c r="A160" t="str">
        <f>TEXT(IF('Debt to GDP Ratio'!B164&lt;&gt;0,'Debt to GDP Ratio'!B164, ""), "mm/dd/yyyy")</f>
        <v/>
      </c>
      <c r="B160" t="str">
        <f>IFERROR(IF(ISNUMBER('Debt to GDP Ratio'!D164),TEXT('Debt to GDP Ratio'!D164,"0.00"), ""), "")</f>
        <v/>
      </c>
      <c r="C160" t="str">
        <f>IFERROR(IF(ISNUMBER('Debt to GDP Ratio'!E164),TEXT('Debt to GDP Ratio'!E164,"0.00"), ""), "")</f>
        <v/>
      </c>
      <c r="D160" t="str">
        <f>IFERROR(IF(ISNUMBER('Debt to GDP Ratio'!B164),'Debt to GDP Ratio'!G164, ""), "")</f>
        <v/>
      </c>
    </row>
    <row r="161" spans="1:4">
      <c r="A161" t="str">
        <f>TEXT(IF('Debt to GDP Ratio'!B165&lt;&gt;0,'Debt to GDP Ratio'!B165, ""), "mm/dd/yyyy")</f>
        <v/>
      </c>
      <c r="B161" t="str">
        <f>IFERROR(IF(ISNUMBER('Debt to GDP Ratio'!D165),TEXT('Debt to GDP Ratio'!D165,"0.00"), ""), "")</f>
        <v/>
      </c>
      <c r="C161" t="str">
        <f>IFERROR(IF(ISNUMBER('Debt to GDP Ratio'!E165),TEXT('Debt to GDP Ratio'!E165,"0.00"), ""), "")</f>
        <v/>
      </c>
      <c r="D161" t="str">
        <f>IFERROR(IF(ISNUMBER('Debt to GDP Ratio'!B165),'Debt to GDP Ratio'!G165, ""), "")</f>
        <v/>
      </c>
    </row>
    <row r="162" spans="1:4">
      <c r="A162" t="str">
        <f>TEXT(IF('Debt to GDP Ratio'!B166&lt;&gt;0,'Debt to GDP Ratio'!B166, ""), "mm/dd/yyyy")</f>
        <v/>
      </c>
      <c r="B162" t="str">
        <f>IFERROR(IF(ISNUMBER('Debt to GDP Ratio'!D166),TEXT('Debt to GDP Ratio'!D166,"0.00"), ""), "")</f>
        <v/>
      </c>
      <c r="C162" t="str">
        <f>IFERROR(IF(ISNUMBER('Debt to GDP Ratio'!E166),TEXT('Debt to GDP Ratio'!E166,"0.00"), ""), "")</f>
        <v/>
      </c>
      <c r="D162" t="str">
        <f>IFERROR(IF(ISNUMBER('Debt to GDP Ratio'!B166),'Debt to GDP Ratio'!G166, ""), "")</f>
        <v/>
      </c>
    </row>
    <row r="163" spans="1:4">
      <c r="A163" t="str">
        <f>TEXT(IF('Debt to GDP Ratio'!B167&lt;&gt;0,'Debt to GDP Ratio'!B167, ""), "mm/dd/yyyy")</f>
        <v/>
      </c>
      <c r="B163" t="str">
        <f>IFERROR(IF(ISNUMBER('Debt to GDP Ratio'!D167),TEXT('Debt to GDP Ratio'!D167,"0.00"), ""), "")</f>
        <v/>
      </c>
      <c r="C163" t="str">
        <f>IFERROR(IF(ISNUMBER('Debt to GDP Ratio'!E167),TEXT('Debt to GDP Ratio'!E167,"0.00"), ""), "")</f>
        <v/>
      </c>
      <c r="D163" t="str">
        <f>IFERROR(IF(ISNUMBER('Debt to GDP Ratio'!B167),'Debt to GDP Ratio'!G167, ""), "")</f>
        <v/>
      </c>
    </row>
    <row r="164" spans="1:4">
      <c r="A164" t="str">
        <f>TEXT(IF('Debt to GDP Ratio'!B168&lt;&gt;0,'Debt to GDP Ratio'!B168, ""), "mm/dd/yyyy")</f>
        <v/>
      </c>
      <c r="B164" t="str">
        <f>IFERROR(IF(ISNUMBER('Debt to GDP Ratio'!D168),TEXT('Debt to GDP Ratio'!D168,"0.00"), ""), "")</f>
        <v/>
      </c>
      <c r="C164" t="str">
        <f>IFERROR(IF(ISNUMBER('Debt to GDP Ratio'!E168),TEXT('Debt to GDP Ratio'!E168,"0.00"), ""), "")</f>
        <v/>
      </c>
      <c r="D164" t="str">
        <f>IFERROR(IF(ISNUMBER('Debt to GDP Ratio'!B168),'Debt to GDP Ratio'!G168, ""), "")</f>
        <v/>
      </c>
    </row>
    <row r="165" spans="1:4">
      <c r="A165" t="str">
        <f>TEXT(IF('Debt to GDP Ratio'!B169&lt;&gt;0,'Debt to GDP Ratio'!B169, ""), "mm/dd/yyyy")</f>
        <v/>
      </c>
      <c r="B165" t="str">
        <f>IFERROR(IF(ISNUMBER('Debt to GDP Ratio'!D169),TEXT('Debt to GDP Ratio'!D169,"0.00"), ""), "")</f>
        <v/>
      </c>
      <c r="C165" t="str">
        <f>IFERROR(IF(ISNUMBER('Debt to GDP Ratio'!E169),TEXT('Debt to GDP Ratio'!E169,"0.00"), ""), "")</f>
        <v/>
      </c>
      <c r="D165" t="str">
        <f>IFERROR(IF(ISNUMBER('Debt to GDP Ratio'!B169),'Debt to GDP Ratio'!G169, ""), "")</f>
        <v/>
      </c>
    </row>
    <row r="166" spans="1:4">
      <c r="A166" t="str">
        <f>TEXT(IF('Debt to GDP Ratio'!B170&lt;&gt;0,'Debt to GDP Ratio'!B170, ""), "mm/dd/yyyy")</f>
        <v/>
      </c>
      <c r="B166" t="str">
        <f>IFERROR(IF(ISNUMBER('Debt to GDP Ratio'!D170),TEXT('Debt to GDP Ratio'!D170,"0.00"), ""), "")</f>
        <v/>
      </c>
      <c r="C166" t="str">
        <f>IFERROR(IF(ISNUMBER('Debt to GDP Ratio'!E170),TEXT('Debt to GDP Ratio'!E170,"0.00"), ""), "")</f>
        <v/>
      </c>
      <c r="D166" t="str">
        <f>IFERROR(IF(ISNUMBER('Debt to GDP Ratio'!B170),'Debt to GDP Ratio'!G170, ""), "")</f>
        <v/>
      </c>
    </row>
    <row r="167" spans="1:4">
      <c r="A167" t="str">
        <f>TEXT(IF('Debt to GDP Ratio'!B171&lt;&gt;0,'Debt to GDP Ratio'!B171, ""), "mm/dd/yyyy")</f>
        <v/>
      </c>
      <c r="B167" t="str">
        <f>IFERROR(IF(ISNUMBER('Debt to GDP Ratio'!D171),TEXT('Debt to GDP Ratio'!D171,"0.00"), ""), "")</f>
        <v/>
      </c>
      <c r="C167" t="str">
        <f>IFERROR(IF(ISNUMBER('Debt to GDP Ratio'!E171),TEXT('Debt to GDP Ratio'!E171,"0.00"), ""), "")</f>
        <v/>
      </c>
      <c r="D167" t="str">
        <f>IFERROR(IF(ISNUMBER('Debt to GDP Ratio'!B171),'Debt to GDP Ratio'!G171, ""), "")</f>
        <v/>
      </c>
    </row>
    <row r="168" spans="1:4">
      <c r="A168" t="str">
        <f>TEXT(IF('Debt to GDP Ratio'!B172&lt;&gt;0,'Debt to GDP Ratio'!B172, ""), "mm/dd/yyyy")</f>
        <v/>
      </c>
      <c r="B168" t="str">
        <f>IFERROR(IF(ISNUMBER('Debt to GDP Ratio'!D172),TEXT('Debt to GDP Ratio'!D172,"0.00"), ""), "")</f>
        <v/>
      </c>
      <c r="C168" t="str">
        <f>IFERROR(IF(ISNUMBER('Debt to GDP Ratio'!E172),TEXT('Debt to GDP Ratio'!E172,"0.00"), ""), "")</f>
        <v/>
      </c>
      <c r="D168" t="str">
        <f>IFERROR(IF(ISNUMBER('Debt to GDP Ratio'!B172),'Debt to GDP Ratio'!G172, ""), "")</f>
        <v/>
      </c>
    </row>
    <row r="169" spans="1:4">
      <c r="A169" t="str">
        <f>TEXT(IF('Debt to GDP Ratio'!B173&lt;&gt;0,'Debt to GDP Ratio'!B173, ""), "mm/dd/yyyy")</f>
        <v/>
      </c>
      <c r="B169" t="str">
        <f>IFERROR(IF(ISNUMBER('Debt to GDP Ratio'!D173),TEXT('Debt to GDP Ratio'!D173,"0.00"), ""), "")</f>
        <v/>
      </c>
      <c r="C169" t="str">
        <f>IFERROR(IF(ISNUMBER('Debt to GDP Ratio'!E173),TEXT('Debt to GDP Ratio'!E173,"0.00"), ""), "")</f>
        <v/>
      </c>
      <c r="D169" t="str">
        <f>IFERROR(IF(ISNUMBER('Debt to GDP Ratio'!B173),'Debt to GDP Ratio'!G173, ""), "")</f>
        <v/>
      </c>
    </row>
    <row r="170" spans="1:4">
      <c r="A170" t="str">
        <f>TEXT(IF('Debt to GDP Ratio'!B174&lt;&gt;0,'Debt to GDP Ratio'!B174, ""), "mm/dd/yyyy")</f>
        <v/>
      </c>
      <c r="B170" t="str">
        <f>IFERROR(IF(ISNUMBER('Debt to GDP Ratio'!D174),TEXT('Debt to GDP Ratio'!D174,"0.00"), ""), "")</f>
        <v/>
      </c>
      <c r="C170" t="str">
        <f>IFERROR(IF(ISNUMBER('Debt to GDP Ratio'!E174),TEXT('Debt to GDP Ratio'!E174,"0.00"), ""), "")</f>
        <v/>
      </c>
      <c r="D170" t="str">
        <f>IFERROR(IF(ISNUMBER('Debt to GDP Ratio'!B174),'Debt to GDP Ratio'!G174, ""), "")</f>
        <v/>
      </c>
    </row>
    <row r="171" spans="1:4">
      <c r="A171" t="str">
        <f>TEXT(IF('Debt to GDP Ratio'!B175&lt;&gt;0,'Debt to GDP Ratio'!B175, ""), "mm/dd/yyyy")</f>
        <v/>
      </c>
      <c r="B171" t="str">
        <f>IFERROR(IF(ISNUMBER('Debt to GDP Ratio'!D175),TEXT('Debt to GDP Ratio'!D175,"0.00"), ""), "")</f>
        <v/>
      </c>
      <c r="C171" t="str">
        <f>IFERROR(IF(ISNUMBER('Debt to GDP Ratio'!E175),TEXT('Debt to GDP Ratio'!E175,"0.00"), ""), "")</f>
        <v/>
      </c>
      <c r="D171" t="str">
        <f>IFERROR(IF(ISNUMBER('Debt to GDP Ratio'!B175),'Debt to GDP Ratio'!G175, ""), "")</f>
        <v/>
      </c>
    </row>
    <row r="172" spans="1:4">
      <c r="A172" t="str">
        <f>TEXT(IF('Debt to GDP Ratio'!B176&lt;&gt;0,'Debt to GDP Ratio'!B176, ""), "mm/dd/yyyy")</f>
        <v/>
      </c>
      <c r="B172" t="str">
        <f>IFERROR(IF(ISNUMBER('Debt to GDP Ratio'!D176),TEXT('Debt to GDP Ratio'!D176,"0.00"), ""), "")</f>
        <v/>
      </c>
      <c r="C172" t="str">
        <f>IFERROR(IF(ISNUMBER('Debt to GDP Ratio'!E176),TEXT('Debt to GDP Ratio'!E176,"0.00"), ""), "")</f>
        <v/>
      </c>
      <c r="D172" t="str">
        <f>IFERROR(IF(ISNUMBER('Debt to GDP Ratio'!B176),'Debt to GDP Ratio'!G176, ""), "")</f>
        <v/>
      </c>
    </row>
    <row r="173" spans="1:4">
      <c r="A173" t="str">
        <f>TEXT(IF('Debt to GDP Ratio'!B177&lt;&gt;0,'Debt to GDP Ratio'!B177, ""), "mm/dd/yyyy")</f>
        <v/>
      </c>
      <c r="B173" t="str">
        <f>IFERROR(IF(ISNUMBER('Debt to GDP Ratio'!D177),TEXT('Debt to GDP Ratio'!D177,"0.00"), ""), "")</f>
        <v/>
      </c>
      <c r="C173" t="str">
        <f>IFERROR(IF(ISNUMBER('Debt to GDP Ratio'!E177),TEXT('Debt to GDP Ratio'!E177,"0.00"), ""), "")</f>
        <v/>
      </c>
      <c r="D173" t="str">
        <f>IFERROR(IF(ISNUMBER('Debt to GDP Ratio'!B177),'Debt to GDP Ratio'!G177, ""), "")</f>
        <v/>
      </c>
    </row>
    <row r="174" spans="1:4">
      <c r="A174" t="str">
        <f>TEXT(IF('Debt to GDP Ratio'!B178&lt;&gt;0,'Debt to GDP Ratio'!B178, ""), "mm/dd/yyyy")</f>
        <v/>
      </c>
      <c r="B174" t="str">
        <f>IFERROR(IF(ISNUMBER('Debt to GDP Ratio'!D178),TEXT('Debt to GDP Ratio'!D178,"0.00"), ""), "")</f>
        <v/>
      </c>
      <c r="C174" t="str">
        <f>IFERROR(IF(ISNUMBER('Debt to GDP Ratio'!E178),TEXT('Debt to GDP Ratio'!E178,"0.00"), ""), "")</f>
        <v/>
      </c>
      <c r="D174" t="str">
        <f>IFERROR(IF(ISNUMBER('Debt to GDP Ratio'!B178),'Debt to GDP Ratio'!G178, ""), "")</f>
        <v/>
      </c>
    </row>
    <row r="175" spans="1:4">
      <c r="A175" t="str">
        <f>TEXT(IF('Debt to GDP Ratio'!B179&lt;&gt;0,'Debt to GDP Ratio'!B179, ""), "mm/dd/yyyy")</f>
        <v/>
      </c>
      <c r="B175" t="str">
        <f>IFERROR(IF(ISNUMBER('Debt to GDP Ratio'!D179),TEXT('Debt to GDP Ratio'!D179,"0.00"), ""), "")</f>
        <v/>
      </c>
      <c r="C175" t="str">
        <f>IFERROR(IF(ISNUMBER('Debt to GDP Ratio'!E179),TEXT('Debt to GDP Ratio'!E179,"0.00"), ""), "")</f>
        <v/>
      </c>
      <c r="D175" t="str">
        <f>IFERROR(IF(ISNUMBER('Debt to GDP Ratio'!B179),'Debt to GDP Ratio'!G179, ""), "")</f>
        <v/>
      </c>
    </row>
    <row r="176" spans="1:4">
      <c r="A176" t="str">
        <f>TEXT(IF('Debt to GDP Ratio'!B180&lt;&gt;0,'Debt to GDP Ratio'!B180, ""), "mm/dd/yyyy")</f>
        <v/>
      </c>
      <c r="B176" t="str">
        <f>IFERROR(IF(ISNUMBER('Debt to GDP Ratio'!D180),TEXT('Debt to GDP Ratio'!D180,"0.00"), ""), "")</f>
        <v/>
      </c>
      <c r="C176" t="str">
        <f>IFERROR(IF(ISNUMBER('Debt to GDP Ratio'!E180),TEXT('Debt to GDP Ratio'!E180,"0.00"), ""), "")</f>
        <v/>
      </c>
      <c r="D176" t="str">
        <f>IFERROR(IF(ISNUMBER('Debt to GDP Ratio'!B180),'Debt to GDP Ratio'!G180, ""), "")</f>
        <v/>
      </c>
    </row>
    <row r="177" spans="1:4">
      <c r="A177" t="str">
        <f>TEXT(IF('Debt to GDP Ratio'!B181&lt;&gt;0,'Debt to GDP Ratio'!B181, ""), "mm/dd/yyyy")</f>
        <v/>
      </c>
      <c r="B177" t="str">
        <f>IFERROR(IF(ISNUMBER('Debt to GDP Ratio'!D181),TEXT('Debt to GDP Ratio'!D181,"0.00"), ""), "")</f>
        <v/>
      </c>
      <c r="C177" t="str">
        <f>IFERROR(IF(ISNUMBER('Debt to GDP Ratio'!E181),TEXT('Debt to GDP Ratio'!E181,"0.00"), ""), "")</f>
        <v/>
      </c>
      <c r="D177" t="str">
        <f>IFERROR(IF(ISNUMBER('Debt to GDP Ratio'!B181),'Debt to GDP Ratio'!G181, ""), "")</f>
        <v/>
      </c>
    </row>
    <row r="178" spans="1:4">
      <c r="A178" t="str">
        <f>TEXT(IF('Debt to GDP Ratio'!B182&lt;&gt;0,'Debt to GDP Ratio'!B182, ""), "mm/dd/yyyy")</f>
        <v/>
      </c>
      <c r="B178" t="str">
        <f>IFERROR(IF(ISNUMBER('Debt to GDP Ratio'!D182),TEXT('Debt to GDP Ratio'!D182,"0.00"), ""), "")</f>
        <v/>
      </c>
      <c r="C178" t="str">
        <f>IFERROR(IF(ISNUMBER('Debt to GDP Ratio'!E182),TEXT('Debt to GDP Ratio'!E182,"0.00"), ""), "")</f>
        <v/>
      </c>
      <c r="D178" t="str">
        <f>IFERROR(IF(ISNUMBER('Debt to GDP Ratio'!B182),'Debt to GDP Ratio'!G182, ""), "")</f>
        <v/>
      </c>
    </row>
    <row r="179" spans="1:4">
      <c r="A179" t="str">
        <f>TEXT(IF('Debt to GDP Ratio'!B183&lt;&gt;0,'Debt to GDP Ratio'!B183, ""), "mm/dd/yyyy")</f>
        <v/>
      </c>
      <c r="B179" t="str">
        <f>IFERROR(IF(ISNUMBER('Debt to GDP Ratio'!D183),TEXT('Debt to GDP Ratio'!D183,"0.00"), ""), "")</f>
        <v/>
      </c>
      <c r="C179" t="str">
        <f>IFERROR(IF(ISNUMBER('Debt to GDP Ratio'!E183),TEXT('Debt to GDP Ratio'!E183,"0.00"), ""), "")</f>
        <v/>
      </c>
      <c r="D179" t="str">
        <f>IFERROR(IF(ISNUMBER('Debt to GDP Ratio'!B183),'Debt to GDP Ratio'!G183, ""), "")</f>
        <v/>
      </c>
    </row>
    <row r="180" spans="1:4">
      <c r="A180" t="str">
        <f>TEXT(IF('Debt to GDP Ratio'!B184&lt;&gt;0,'Debt to GDP Ratio'!B184, ""), "mm/dd/yyyy")</f>
        <v/>
      </c>
      <c r="B180" t="str">
        <f>IFERROR(IF(ISNUMBER('Debt to GDP Ratio'!D184),TEXT('Debt to GDP Ratio'!D184,"0.00"), ""), "")</f>
        <v/>
      </c>
      <c r="C180" t="str">
        <f>IFERROR(IF(ISNUMBER('Debt to GDP Ratio'!E184),TEXT('Debt to GDP Ratio'!E184,"0.00"), ""), "")</f>
        <v/>
      </c>
      <c r="D180" t="str">
        <f>IFERROR(IF(ISNUMBER('Debt to GDP Ratio'!B184),'Debt to GDP Ratio'!G184, ""), "")</f>
        <v/>
      </c>
    </row>
    <row r="181" spans="1:4">
      <c r="A181" t="str">
        <f>TEXT(IF('Debt to GDP Ratio'!B185&lt;&gt;0,'Debt to GDP Ratio'!B185, ""), "mm/dd/yyyy")</f>
        <v/>
      </c>
      <c r="B181" t="str">
        <f>IFERROR(IF(ISNUMBER('Debt to GDP Ratio'!D185),TEXT('Debt to GDP Ratio'!D185,"0.00"), ""), "")</f>
        <v/>
      </c>
      <c r="C181" t="str">
        <f>IFERROR(IF(ISNUMBER('Debt to GDP Ratio'!E185),TEXT('Debt to GDP Ratio'!E185,"0.00"), ""), "")</f>
        <v/>
      </c>
      <c r="D181" t="str">
        <f>IFERROR(IF(ISNUMBER('Debt to GDP Ratio'!B185),'Debt to GDP Ratio'!G185, ""), "")</f>
        <v/>
      </c>
    </row>
    <row r="182" spans="1:4">
      <c r="A182" t="str">
        <f>TEXT(IF('Debt to GDP Ratio'!B186&lt;&gt;0,'Debt to GDP Ratio'!B186, ""), "mm/dd/yyyy")</f>
        <v/>
      </c>
      <c r="B182" t="str">
        <f>IFERROR(IF(ISNUMBER('Debt to GDP Ratio'!D186),TEXT('Debt to GDP Ratio'!D186,"0.00"), ""), "")</f>
        <v/>
      </c>
      <c r="C182" t="str">
        <f>IFERROR(IF(ISNUMBER('Debt to GDP Ratio'!E186),TEXT('Debt to GDP Ratio'!E186,"0.00"), ""), "")</f>
        <v/>
      </c>
      <c r="D182" t="str">
        <f>IFERROR(IF(ISNUMBER('Debt to GDP Ratio'!B186),'Debt to GDP Ratio'!G186, ""), "")</f>
        <v/>
      </c>
    </row>
    <row r="183" spans="1:4">
      <c r="A183" t="str">
        <f>TEXT(IF('Debt to GDP Ratio'!B187&lt;&gt;0,'Debt to GDP Ratio'!B187, ""), "mm/dd/yyyy")</f>
        <v/>
      </c>
      <c r="B183" t="str">
        <f>IFERROR(IF(ISNUMBER('Debt to GDP Ratio'!D187),TEXT('Debt to GDP Ratio'!D187,"0.00"), ""), "")</f>
        <v/>
      </c>
      <c r="C183" t="str">
        <f>IFERROR(IF(ISNUMBER('Debt to GDP Ratio'!E187),TEXT('Debt to GDP Ratio'!E187,"0.00"), ""), "")</f>
        <v/>
      </c>
      <c r="D183" t="str">
        <f>IFERROR(IF(ISNUMBER('Debt to GDP Ratio'!B187),'Debt to GDP Ratio'!G187, ""), "")</f>
        <v/>
      </c>
    </row>
    <row r="184" spans="1:4">
      <c r="A184" t="str">
        <f>TEXT(IF('Debt to GDP Ratio'!B188&lt;&gt;0,'Debt to GDP Ratio'!B188, ""), "mm/dd/yyyy")</f>
        <v/>
      </c>
      <c r="B184" t="str">
        <f>IFERROR(IF(ISNUMBER('Debt to GDP Ratio'!D188),TEXT('Debt to GDP Ratio'!D188,"0.00"), ""), "")</f>
        <v/>
      </c>
      <c r="C184" t="str">
        <f>IFERROR(IF(ISNUMBER('Debt to GDP Ratio'!E188),TEXT('Debt to GDP Ratio'!E188,"0.00"), ""), "")</f>
        <v/>
      </c>
      <c r="D184" t="str">
        <f>IFERROR(IF(ISNUMBER('Debt to GDP Ratio'!B188),'Debt to GDP Ratio'!G188, ""), "")</f>
        <v/>
      </c>
    </row>
    <row r="185" spans="1:4">
      <c r="A185" t="str">
        <f>TEXT(IF('Debt to GDP Ratio'!B189&lt;&gt;0,'Debt to GDP Ratio'!B189, ""), "mm/dd/yyyy")</f>
        <v/>
      </c>
      <c r="B185" t="str">
        <f>IFERROR(IF(ISNUMBER('Debt to GDP Ratio'!D189),TEXT('Debt to GDP Ratio'!D189,"0.00"), ""), "")</f>
        <v/>
      </c>
      <c r="C185" t="str">
        <f>IFERROR(IF(ISNUMBER('Debt to GDP Ratio'!E189),TEXT('Debt to GDP Ratio'!E189,"0.00"), ""), "")</f>
        <v/>
      </c>
      <c r="D185" t="str">
        <f>IFERROR(IF(ISNUMBER('Debt to GDP Ratio'!B189),'Debt to GDP Ratio'!G189, ""), "")</f>
        <v/>
      </c>
    </row>
    <row r="186" spans="1:4">
      <c r="A186" t="str">
        <f>TEXT(IF('Debt to GDP Ratio'!B190&lt;&gt;0,'Debt to GDP Ratio'!B190, ""), "mm/dd/yyyy")</f>
        <v/>
      </c>
      <c r="B186" t="str">
        <f>IFERROR(IF(ISNUMBER('Debt to GDP Ratio'!D190),TEXT('Debt to GDP Ratio'!D190,"0.00"), ""), "")</f>
        <v/>
      </c>
      <c r="C186" t="str">
        <f>IFERROR(IF(ISNUMBER('Debt to GDP Ratio'!E190),TEXT('Debt to GDP Ratio'!E190,"0.00"), ""), "")</f>
        <v/>
      </c>
      <c r="D186" t="str">
        <f>IFERROR(IF(ISNUMBER('Debt to GDP Ratio'!B190),'Debt to GDP Ratio'!G190, ""), "")</f>
        <v/>
      </c>
    </row>
    <row r="187" spans="1:4">
      <c r="A187" t="str">
        <f>TEXT(IF('Debt to GDP Ratio'!B191&lt;&gt;0,'Debt to GDP Ratio'!B191, ""), "mm/dd/yyyy")</f>
        <v/>
      </c>
      <c r="B187" t="str">
        <f>IFERROR(IF(ISNUMBER('Debt to GDP Ratio'!D191),TEXT('Debt to GDP Ratio'!D191,"0.00"), ""), "")</f>
        <v/>
      </c>
      <c r="C187" t="str">
        <f>IFERROR(IF(ISNUMBER('Debt to GDP Ratio'!E191),TEXT('Debt to GDP Ratio'!E191,"0.00"), ""), "")</f>
        <v/>
      </c>
      <c r="D187" t="str">
        <f>IFERROR(IF(ISNUMBER('Debt to GDP Ratio'!B191),'Debt to GDP Ratio'!G191, ""), "")</f>
        <v/>
      </c>
    </row>
    <row r="188" spans="1:4">
      <c r="A188" t="str">
        <f>TEXT(IF('Debt to GDP Ratio'!B192&lt;&gt;0,'Debt to GDP Ratio'!B192, ""), "mm/dd/yyyy")</f>
        <v/>
      </c>
      <c r="B188" t="str">
        <f>IFERROR(IF(ISNUMBER('Debt to GDP Ratio'!D192),TEXT('Debt to GDP Ratio'!D192,"0.00"), ""), "")</f>
        <v/>
      </c>
      <c r="C188" t="str">
        <f>IFERROR(IF(ISNUMBER('Debt to GDP Ratio'!E192),TEXT('Debt to GDP Ratio'!E192,"0.00"), ""), "")</f>
        <v/>
      </c>
      <c r="D188" t="str">
        <f>IFERROR(IF(ISNUMBER('Debt to GDP Ratio'!B192),'Debt to GDP Ratio'!G192, ""), "")</f>
        <v/>
      </c>
    </row>
    <row r="189" spans="1:4">
      <c r="A189" t="str">
        <f>TEXT(IF('Debt to GDP Ratio'!B193&lt;&gt;0,'Debt to GDP Ratio'!B193, ""), "mm/dd/yyyy")</f>
        <v/>
      </c>
      <c r="B189" t="str">
        <f>IFERROR(IF(ISNUMBER('Debt to GDP Ratio'!D193),TEXT('Debt to GDP Ratio'!D193,"0.00"), ""), "")</f>
        <v/>
      </c>
      <c r="C189" t="str">
        <f>IFERROR(IF(ISNUMBER('Debt to GDP Ratio'!E193),TEXT('Debt to GDP Ratio'!E193,"0.00"), ""), "")</f>
        <v/>
      </c>
      <c r="D189" t="str">
        <f>IFERROR(IF(ISNUMBER('Debt to GDP Ratio'!B193),'Debt to GDP Ratio'!G193, ""), "")</f>
        <v/>
      </c>
    </row>
    <row r="190" spans="1:4">
      <c r="A190" t="str">
        <f>TEXT(IF('Debt to GDP Ratio'!B194&lt;&gt;0,'Debt to GDP Ratio'!B194, ""), "mm/dd/yyyy")</f>
        <v/>
      </c>
      <c r="B190" t="str">
        <f>IFERROR(IF(ISNUMBER('Debt to GDP Ratio'!D194),TEXT('Debt to GDP Ratio'!D194,"0.00"), ""), "")</f>
        <v/>
      </c>
      <c r="C190" t="str">
        <f>IFERROR(IF(ISNUMBER('Debt to GDP Ratio'!E194),TEXT('Debt to GDP Ratio'!E194,"0.00"), ""), "")</f>
        <v/>
      </c>
      <c r="D190" t="str">
        <f>IFERROR(IF(ISNUMBER('Debt to GDP Ratio'!B194),'Debt to GDP Ratio'!G194, ""), "")</f>
        <v/>
      </c>
    </row>
    <row r="191" spans="1:4">
      <c r="A191" t="str">
        <f>TEXT(IF('Debt to GDP Ratio'!B195&lt;&gt;0,'Debt to GDP Ratio'!B195, ""), "mm/dd/yyyy")</f>
        <v/>
      </c>
      <c r="B191" t="str">
        <f>IFERROR(IF(ISNUMBER('Debt to GDP Ratio'!D195),TEXT('Debt to GDP Ratio'!D195,"0.00"), ""), "")</f>
        <v/>
      </c>
      <c r="C191" t="str">
        <f>IFERROR(IF(ISNUMBER('Debt to GDP Ratio'!E195),TEXT('Debt to GDP Ratio'!E195,"0.00"), ""), "")</f>
        <v/>
      </c>
      <c r="D191" t="str">
        <f>IFERROR(IF(ISNUMBER('Debt to GDP Ratio'!B195),'Debt to GDP Ratio'!G195, ""), "")</f>
        <v/>
      </c>
    </row>
    <row r="192" spans="1:4">
      <c r="A192" t="str">
        <f>TEXT(IF('Debt to GDP Ratio'!B196&lt;&gt;0,'Debt to GDP Ratio'!B196, ""), "mm/dd/yyyy")</f>
        <v/>
      </c>
      <c r="B192" t="str">
        <f>IFERROR(IF(ISNUMBER('Debt to GDP Ratio'!D196),TEXT('Debt to GDP Ratio'!D196,"0.00"), ""), "")</f>
        <v/>
      </c>
      <c r="C192" t="str">
        <f>IFERROR(IF(ISNUMBER('Debt to GDP Ratio'!E196),TEXT('Debt to GDP Ratio'!E196,"0.00"), ""), "")</f>
        <v/>
      </c>
      <c r="D192" t="str">
        <f>IFERROR(IF(ISNUMBER('Debt to GDP Ratio'!B196),'Debt to GDP Ratio'!G196, ""), "")</f>
        <v/>
      </c>
    </row>
    <row r="193" spans="1:4">
      <c r="A193" t="str">
        <f>TEXT(IF('Debt to GDP Ratio'!B197&lt;&gt;0,'Debt to GDP Ratio'!B197, ""), "mm/dd/yyyy")</f>
        <v/>
      </c>
      <c r="B193" t="str">
        <f>IFERROR(IF(ISNUMBER('Debt to GDP Ratio'!D197),TEXT('Debt to GDP Ratio'!D197,"0.00"), ""), "")</f>
        <v/>
      </c>
      <c r="C193" t="str">
        <f>IFERROR(IF(ISNUMBER('Debt to GDP Ratio'!E197),TEXT('Debt to GDP Ratio'!E197,"0.00"), ""), "")</f>
        <v/>
      </c>
      <c r="D193" t="str">
        <f>IFERROR(IF(ISNUMBER('Debt to GDP Ratio'!B197),'Debt to GDP Ratio'!G197, ""), "")</f>
        <v/>
      </c>
    </row>
    <row r="194" spans="1:4">
      <c r="A194" t="str">
        <f>TEXT(IF('Debt to GDP Ratio'!B198&lt;&gt;0,'Debt to GDP Ratio'!B198, ""), "mm/dd/yyyy")</f>
        <v/>
      </c>
      <c r="B194" t="str">
        <f>IFERROR(IF(ISNUMBER('Debt to GDP Ratio'!D198),TEXT('Debt to GDP Ratio'!D198,"0.00"), ""), "")</f>
        <v/>
      </c>
      <c r="C194" t="str">
        <f>IFERROR(IF(ISNUMBER('Debt to GDP Ratio'!E198),TEXT('Debt to GDP Ratio'!E198,"0.00"), ""), "")</f>
        <v/>
      </c>
      <c r="D194" t="str">
        <f>IFERROR(IF(ISNUMBER('Debt to GDP Ratio'!B198),'Debt to GDP Ratio'!G198, ""), "")</f>
        <v/>
      </c>
    </row>
    <row r="195" spans="1:4">
      <c r="A195" t="str">
        <f>TEXT(IF('Debt to GDP Ratio'!B199&lt;&gt;0,'Debt to GDP Ratio'!B199, ""), "mm/dd/yyyy")</f>
        <v/>
      </c>
      <c r="B195" t="str">
        <f>IFERROR(IF(ISNUMBER('Debt to GDP Ratio'!D199),TEXT('Debt to GDP Ratio'!D199,"0.00"), ""), "")</f>
        <v/>
      </c>
      <c r="C195" t="str">
        <f>IFERROR(IF(ISNUMBER('Debt to GDP Ratio'!E199),TEXT('Debt to GDP Ratio'!E199,"0.00"), ""), "")</f>
        <v/>
      </c>
      <c r="D195" t="str">
        <f>IFERROR(IF(ISNUMBER('Debt to GDP Ratio'!B199),'Debt to GDP Ratio'!G199, ""), "")</f>
        <v/>
      </c>
    </row>
    <row r="196" spans="1:4">
      <c r="A196" t="str">
        <f>TEXT(IF('Debt to GDP Ratio'!B200&lt;&gt;0,'Debt to GDP Ratio'!B200, ""), "mm/dd/yyyy")</f>
        <v/>
      </c>
      <c r="B196" t="str">
        <f>IFERROR(IF(ISNUMBER('Debt to GDP Ratio'!D200),TEXT('Debt to GDP Ratio'!D200,"0.00"), ""), "")</f>
        <v/>
      </c>
      <c r="C196" t="str">
        <f>IFERROR(IF(ISNUMBER('Debt to GDP Ratio'!E200),TEXT('Debt to GDP Ratio'!E200,"0.00"), ""), "")</f>
        <v/>
      </c>
      <c r="D196" t="str">
        <f>IFERROR(IF(ISNUMBER('Debt to GDP Ratio'!B200),'Debt to GDP Ratio'!G200, ""), "")</f>
        <v/>
      </c>
    </row>
    <row r="197" spans="1:4">
      <c r="A197" t="str">
        <f>TEXT(IF('Debt to GDP Ratio'!B201&lt;&gt;0,'Debt to GDP Ratio'!B201, ""), "mm/dd/yyyy")</f>
        <v/>
      </c>
      <c r="B197" t="str">
        <f>IFERROR(IF(ISNUMBER('Debt to GDP Ratio'!D201),TEXT('Debt to GDP Ratio'!D201,"0.00"), ""), "")</f>
        <v/>
      </c>
      <c r="C197" t="str">
        <f>IFERROR(IF(ISNUMBER('Debt to GDP Ratio'!E201),TEXT('Debt to GDP Ratio'!E201,"0.00"), ""), "")</f>
        <v/>
      </c>
      <c r="D197" t="str">
        <f>IFERROR(IF(ISNUMBER('Debt to GDP Ratio'!B201),'Debt to GDP Ratio'!G201, ""), "")</f>
        <v/>
      </c>
    </row>
    <row r="198" spans="1:4">
      <c r="A198" t="str">
        <f>TEXT(IF('Debt to GDP Ratio'!B202&lt;&gt;0,'Debt to GDP Ratio'!B202, ""), "mm/dd/yyyy")</f>
        <v/>
      </c>
      <c r="B198" t="str">
        <f>IFERROR(IF(ISNUMBER('Debt to GDP Ratio'!D202),TEXT('Debt to GDP Ratio'!D202,"0.00"), ""), "")</f>
        <v/>
      </c>
      <c r="C198" t="str">
        <f>IFERROR(IF(ISNUMBER('Debt to GDP Ratio'!E202),TEXT('Debt to GDP Ratio'!E202,"0.00"), ""), "")</f>
        <v/>
      </c>
      <c r="D198" t="str">
        <f>IFERROR(IF(ISNUMBER('Debt to GDP Ratio'!B202),'Debt to GDP Ratio'!G202, ""), "")</f>
        <v/>
      </c>
    </row>
    <row r="199" spans="1:4">
      <c r="A199" t="str">
        <f>TEXT(IF('Debt to GDP Ratio'!B203&lt;&gt;0,'Debt to GDP Ratio'!B203, ""), "mm/dd/yyyy")</f>
        <v/>
      </c>
      <c r="B199" t="str">
        <f>IFERROR(IF(ISNUMBER('Debt to GDP Ratio'!D203),TEXT('Debt to GDP Ratio'!D203,"0.00"), ""), "")</f>
        <v/>
      </c>
      <c r="C199" t="str">
        <f>IFERROR(IF(ISNUMBER('Debt to GDP Ratio'!E203),TEXT('Debt to GDP Ratio'!E203,"0.00"), ""), "")</f>
        <v/>
      </c>
      <c r="D199" t="str">
        <f>IFERROR(IF(ISNUMBER('Debt to GDP Ratio'!B203),'Debt to GDP Ratio'!G203, ""), "")</f>
        <v/>
      </c>
    </row>
    <row r="200" spans="1:4">
      <c r="A200" t="str">
        <f>TEXT(IF('Debt to GDP Ratio'!B204&lt;&gt;0,'Debt to GDP Ratio'!B204, ""), "mm/dd/yyyy")</f>
        <v/>
      </c>
      <c r="B200" t="str">
        <f>IFERROR(IF(ISNUMBER('Debt to GDP Ratio'!D204),TEXT('Debt to GDP Ratio'!D204,"0.00"), ""), "")</f>
        <v/>
      </c>
      <c r="C200" t="str">
        <f>IFERROR(IF(ISNUMBER('Debt to GDP Ratio'!E204),TEXT('Debt to GDP Ratio'!E204,"0.00"), ""), "")</f>
        <v/>
      </c>
      <c r="D200" t="str">
        <f>IFERROR(IF(ISNUMBER('Debt to GDP Ratio'!B204),'Debt to GDP Ratio'!G204, ""), "")</f>
        <v/>
      </c>
    </row>
    <row r="201" spans="1:4">
      <c r="A201" t="str">
        <f>TEXT(IF('Debt to GDP Ratio'!B205&lt;&gt;0,'Debt to GDP Ratio'!B205, ""), "mm/dd/yyyy")</f>
        <v/>
      </c>
      <c r="B201" t="str">
        <f>IFERROR(IF(ISNUMBER('Debt to GDP Ratio'!D205),TEXT('Debt to GDP Ratio'!D205,"0.00"), ""), "")</f>
        <v/>
      </c>
      <c r="C201" t="str">
        <f>IFERROR(IF(ISNUMBER('Debt to GDP Ratio'!E205),TEXT('Debt to GDP Ratio'!E205,"0.00"), ""), "")</f>
        <v/>
      </c>
      <c r="D201" t="str">
        <f>IFERROR(IF(ISNUMBER('Debt to GDP Ratio'!B205),'Debt to GDP Ratio'!G205, ""), "")</f>
        <v/>
      </c>
    </row>
    <row r="202" spans="1:4">
      <c r="A202" t="str">
        <f>TEXT(IF('Debt to GDP Ratio'!B206&lt;&gt;0,'Debt to GDP Ratio'!B206, ""), "mm/dd/yyyy")</f>
        <v/>
      </c>
      <c r="B202" t="str">
        <f>IFERROR(IF(ISNUMBER('Debt to GDP Ratio'!D206),TEXT('Debt to GDP Ratio'!D206,"0.00"), ""), "")</f>
        <v/>
      </c>
      <c r="C202" t="str">
        <f>IFERROR(IF(ISNUMBER('Debt to GDP Ratio'!E206),TEXT('Debt to GDP Ratio'!E206,"0.00"), ""), "")</f>
        <v/>
      </c>
      <c r="D202" t="str">
        <f>IFERROR(IF(ISNUMBER('Debt to GDP Ratio'!B206),'Debt to GDP Ratio'!G206, ""), "")</f>
        <v/>
      </c>
    </row>
    <row r="203" spans="1:4">
      <c r="A203" t="str">
        <f>TEXT(IF('Debt to GDP Ratio'!B207&lt;&gt;0,'Debt to GDP Ratio'!B207, ""), "mm/dd/yyyy")</f>
        <v/>
      </c>
      <c r="B203" t="str">
        <f>IFERROR(IF(ISNUMBER('Debt to GDP Ratio'!D207),TEXT('Debt to GDP Ratio'!D207,"0.00"), ""), "")</f>
        <v/>
      </c>
      <c r="C203" t="str">
        <f>IFERROR(IF(ISNUMBER('Debt to GDP Ratio'!E207),TEXT('Debt to GDP Ratio'!E207,"0.00"), ""), "")</f>
        <v/>
      </c>
      <c r="D203" t="str">
        <f>IFERROR(IF(ISNUMBER('Debt to GDP Ratio'!B207),'Debt to GDP Ratio'!G207, ""), "")</f>
        <v/>
      </c>
    </row>
    <row r="204" spans="1:4">
      <c r="A204" t="str">
        <f>TEXT(IF('Debt to GDP Ratio'!B208&lt;&gt;0,'Debt to GDP Ratio'!B208, ""), "mm/dd/yyyy")</f>
        <v/>
      </c>
      <c r="B204" t="str">
        <f>IFERROR(IF(ISNUMBER('Debt to GDP Ratio'!D208),TEXT('Debt to GDP Ratio'!D208,"0.00"), ""), "")</f>
        <v/>
      </c>
      <c r="C204" t="str">
        <f>IFERROR(IF(ISNUMBER('Debt to GDP Ratio'!E208),TEXT('Debt to GDP Ratio'!E208,"0.00"), ""), "")</f>
        <v/>
      </c>
      <c r="D204" t="str">
        <f>IFERROR(IF(ISNUMBER('Debt to GDP Ratio'!B208),'Debt to GDP Ratio'!G208, ""), "")</f>
        <v/>
      </c>
    </row>
    <row r="205" spans="1:4">
      <c r="A205" t="str">
        <f>TEXT(IF('Debt to GDP Ratio'!B209&lt;&gt;0,'Debt to GDP Ratio'!B209, ""), "mm/dd/yyyy")</f>
        <v/>
      </c>
      <c r="B205" t="str">
        <f>IFERROR(IF(ISNUMBER('Debt to GDP Ratio'!D209),TEXT('Debt to GDP Ratio'!D209,"0.00"), ""), "")</f>
        <v/>
      </c>
      <c r="C205" t="str">
        <f>IFERROR(IF(ISNUMBER('Debt to GDP Ratio'!E209),TEXT('Debt to GDP Ratio'!E209,"0.00"), ""), "")</f>
        <v/>
      </c>
      <c r="D205" t="str">
        <f>IFERROR(IF(ISNUMBER('Debt to GDP Ratio'!B209),'Debt to GDP Ratio'!G209, ""), "")</f>
        <v/>
      </c>
    </row>
    <row r="206" spans="1:4">
      <c r="A206" t="str">
        <f>TEXT(IF('Debt to GDP Ratio'!B210&lt;&gt;0,'Debt to GDP Ratio'!B210, ""), "mm/dd/yyyy")</f>
        <v/>
      </c>
      <c r="B206" t="str">
        <f>IFERROR(IF(ISNUMBER('Debt to GDP Ratio'!D210),TEXT('Debt to GDP Ratio'!D210,"0.00"), ""), "")</f>
        <v/>
      </c>
      <c r="C206" t="str">
        <f>IFERROR(IF(ISNUMBER('Debt to GDP Ratio'!E210),TEXT('Debt to GDP Ratio'!E210,"0.00"), ""), "")</f>
        <v/>
      </c>
      <c r="D206" t="str">
        <f>IFERROR(IF(ISNUMBER('Debt to GDP Ratio'!B210),'Debt to GDP Ratio'!G210, ""), "")</f>
        <v/>
      </c>
    </row>
    <row r="207" spans="1:4">
      <c r="A207" t="str">
        <f>TEXT(IF('Debt to GDP Ratio'!B211&lt;&gt;0,'Debt to GDP Ratio'!B211, ""), "mm/dd/yyyy")</f>
        <v/>
      </c>
      <c r="B207" t="str">
        <f>IFERROR(IF(ISNUMBER('Debt to GDP Ratio'!D211),TEXT('Debt to GDP Ratio'!D211,"0.00"), ""), "")</f>
        <v/>
      </c>
      <c r="C207" t="str">
        <f>IFERROR(IF(ISNUMBER('Debt to GDP Ratio'!E211),TEXT('Debt to GDP Ratio'!E211,"0.00"), ""), "")</f>
        <v/>
      </c>
      <c r="D207" t="str">
        <f>IFERROR(IF(ISNUMBER('Debt to GDP Ratio'!B211),'Debt to GDP Ratio'!G211, ""), "")</f>
        <v/>
      </c>
    </row>
    <row r="208" spans="1:4">
      <c r="A208" t="str">
        <f>TEXT(IF('Debt to GDP Ratio'!B212&lt;&gt;0,'Debt to GDP Ratio'!B212, ""), "mm/dd/yyyy")</f>
        <v/>
      </c>
      <c r="B208" t="str">
        <f>IFERROR(IF(ISNUMBER('Debt to GDP Ratio'!D212),TEXT('Debt to GDP Ratio'!D212,"0.00"), ""), "")</f>
        <v/>
      </c>
      <c r="C208" t="str">
        <f>IFERROR(IF(ISNUMBER('Debt to GDP Ratio'!E212),TEXT('Debt to GDP Ratio'!E212,"0.00"), ""), "")</f>
        <v/>
      </c>
      <c r="D208" t="str">
        <f>IFERROR(IF(ISNUMBER('Debt to GDP Ratio'!B212),'Debt to GDP Ratio'!G212, ""), "")</f>
        <v/>
      </c>
    </row>
    <row r="209" spans="1:4">
      <c r="A209" t="str">
        <f>TEXT(IF('Debt to GDP Ratio'!B213&lt;&gt;0,'Debt to GDP Ratio'!B213, ""), "mm/dd/yyyy")</f>
        <v/>
      </c>
      <c r="B209" t="str">
        <f>IFERROR(IF(ISNUMBER('Debt to GDP Ratio'!D213),TEXT('Debt to GDP Ratio'!D213,"0.00"), ""), "")</f>
        <v/>
      </c>
      <c r="C209" t="str">
        <f>IFERROR(IF(ISNUMBER('Debt to GDP Ratio'!E213),TEXT('Debt to GDP Ratio'!E213,"0.00"), ""), "")</f>
        <v/>
      </c>
      <c r="D209" t="str">
        <f>IFERROR(IF(ISNUMBER('Debt to GDP Ratio'!B213),'Debt to GDP Ratio'!G213, ""), "")</f>
        <v/>
      </c>
    </row>
    <row r="210" spans="1:4">
      <c r="A210" t="str">
        <f>TEXT(IF('Debt to GDP Ratio'!B214&lt;&gt;0,'Debt to GDP Ratio'!B214, ""), "mm/dd/yyyy")</f>
        <v/>
      </c>
      <c r="B210" t="str">
        <f>IFERROR(IF(ISNUMBER('Debt to GDP Ratio'!D214),TEXT('Debt to GDP Ratio'!D214,"0.00"), ""), "")</f>
        <v/>
      </c>
      <c r="C210" t="str">
        <f>IFERROR(IF(ISNUMBER('Debt to GDP Ratio'!E214),TEXT('Debt to GDP Ratio'!E214,"0.00"), ""), "")</f>
        <v/>
      </c>
      <c r="D210" t="str">
        <f>IFERROR(IF(ISNUMBER('Debt to GDP Ratio'!B214),'Debt to GDP Ratio'!G214, ""), "")</f>
        <v/>
      </c>
    </row>
    <row r="211" spans="1:4">
      <c r="A211" t="str">
        <f>TEXT(IF('Debt to GDP Ratio'!B215&lt;&gt;0,'Debt to GDP Ratio'!B215, ""), "mm/dd/yyyy")</f>
        <v/>
      </c>
      <c r="B211" t="str">
        <f>IFERROR(IF(ISNUMBER('Debt to GDP Ratio'!D215),TEXT('Debt to GDP Ratio'!D215,"0.00"), ""), "")</f>
        <v/>
      </c>
      <c r="C211" t="str">
        <f>IFERROR(IF(ISNUMBER('Debt to GDP Ratio'!E215),TEXT('Debt to GDP Ratio'!E215,"0.00"), ""), "")</f>
        <v/>
      </c>
      <c r="D211" t="str">
        <f>IFERROR(IF(ISNUMBER('Debt to GDP Ratio'!B215),'Debt to GDP Ratio'!G215, ""), "")</f>
        <v/>
      </c>
    </row>
    <row r="212" spans="1:4">
      <c r="A212" t="str">
        <f>TEXT(IF('Debt to GDP Ratio'!B216&lt;&gt;0,'Debt to GDP Ratio'!B216, ""), "mm/dd/yyyy")</f>
        <v/>
      </c>
      <c r="B212" t="str">
        <f>IFERROR(IF(ISNUMBER('Debt to GDP Ratio'!D216),TEXT('Debt to GDP Ratio'!D216,"0.00"), ""), "")</f>
        <v/>
      </c>
      <c r="C212" t="str">
        <f>IFERROR(IF(ISNUMBER('Debt to GDP Ratio'!E216),TEXT('Debt to GDP Ratio'!E216,"0.00"), ""), "")</f>
        <v/>
      </c>
      <c r="D212" t="str">
        <f>IFERROR(IF(ISNUMBER('Debt to GDP Ratio'!B216),'Debt to GDP Ratio'!G216, ""), "")</f>
        <v/>
      </c>
    </row>
    <row r="213" spans="1:4">
      <c r="A213" t="str">
        <f>TEXT(IF('Debt to GDP Ratio'!B217&lt;&gt;0,'Debt to GDP Ratio'!B217, ""), "mm/dd/yyyy")</f>
        <v/>
      </c>
      <c r="B213" t="str">
        <f>IFERROR(IF(ISNUMBER('Debt to GDP Ratio'!D217),TEXT('Debt to GDP Ratio'!D217,"0.00"), ""), "")</f>
        <v/>
      </c>
      <c r="C213" t="str">
        <f>IFERROR(IF(ISNUMBER('Debt to GDP Ratio'!E217),TEXT('Debt to GDP Ratio'!E217,"0.00"), ""), "")</f>
        <v/>
      </c>
      <c r="D213" t="str">
        <f>IFERROR(IF(ISNUMBER('Debt to GDP Ratio'!B217),'Debt to GDP Ratio'!G217, ""), "")</f>
        <v/>
      </c>
    </row>
    <row r="214" spans="1:4">
      <c r="A214" t="str">
        <f>TEXT(IF('Debt to GDP Ratio'!B218&lt;&gt;0,'Debt to GDP Ratio'!B218, ""), "mm/dd/yyyy")</f>
        <v/>
      </c>
      <c r="B214" t="str">
        <f>IFERROR(IF(ISNUMBER('Debt to GDP Ratio'!D218),TEXT('Debt to GDP Ratio'!D218,"0.00"), ""), "")</f>
        <v/>
      </c>
      <c r="C214" t="str">
        <f>IFERROR(IF(ISNUMBER('Debt to GDP Ratio'!E218),TEXT('Debt to GDP Ratio'!E218,"0.00"), ""), "")</f>
        <v/>
      </c>
      <c r="D214" t="str">
        <f>IFERROR(IF(ISNUMBER('Debt to GDP Ratio'!B218),'Debt to GDP Ratio'!G218, ""), "")</f>
        <v/>
      </c>
    </row>
    <row r="215" spans="1:4">
      <c r="A215" t="str">
        <f>TEXT(IF('Debt to GDP Ratio'!B219&lt;&gt;0,'Debt to GDP Ratio'!B219, ""), "mm/dd/yyyy")</f>
        <v/>
      </c>
      <c r="B215" t="str">
        <f>IFERROR(IF(ISNUMBER('Debt to GDP Ratio'!D219),TEXT('Debt to GDP Ratio'!D219,"0.00"), ""), "")</f>
        <v/>
      </c>
      <c r="C215" t="str">
        <f>IFERROR(IF(ISNUMBER('Debt to GDP Ratio'!E219),TEXT('Debt to GDP Ratio'!E219,"0.00"), ""), "")</f>
        <v/>
      </c>
      <c r="D215" t="str">
        <f>IFERROR(IF(ISNUMBER('Debt to GDP Ratio'!B219),'Debt to GDP Ratio'!G219, ""), "")</f>
        <v/>
      </c>
    </row>
    <row r="216" spans="1:4">
      <c r="A216" t="str">
        <f>TEXT(IF('Debt to GDP Ratio'!B220&lt;&gt;0,'Debt to GDP Ratio'!B220, ""), "mm/dd/yyyy")</f>
        <v/>
      </c>
      <c r="B216" t="str">
        <f>IFERROR(IF(ISNUMBER('Debt to GDP Ratio'!D220),TEXT('Debt to GDP Ratio'!D220,"0.00"), ""), "")</f>
        <v/>
      </c>
      <c r="C216" t="str">
        <f>IFERROR(IF(ISNUMBER('Debt to GDP Ratio'!E220),TEXT('Debt to GDP Ratio'!E220,"0.00"), ""), "")</f>
        <v/>
      </c>
      <c r="D216" t="str">
        <f>IFERROR(IF(ISNUMBER('Debt to GDP Ratio'!B220),'Debt to GDP Ratio'!G220, ""), "")</f>
        <v/>
      </c>
    </row>
    <row r="217" spans="1:4">
      <c r="A217" t="str">
        <f>TEXT(IF('Debt to GDP Ratio'!B221&lt;&gt;0,'Debt to GDP Ratio'!B221, ""), "mm/dd/yyyy")</f>
        <v/>
      </c>
      <c r="B217" t="str">
        <f>IFERROR(IF(ISNUMBER('Debt to GDP Ratio'!D221),TEXT('Debt to GDP Ratio'!D221,"0.00"), ""), "")</f>
        <v/>
      </c>
      <c r="C217" t="str">
        <f>IFERROR(IF(ISNUMBER('Debt to GDP Ratio'!E221),TEXT('Debt to GDP Ratio'!E221,"0.00"), ""), "")</f>
        <v/>
      </c>
      <c r="D217" t="str">
        <f>IFERROR(IF(ISNUMBER('Debt to GDP Ratio'!B221),'Debt to GDP Ratio'!G221, ""), "")</f>
        <v/>
      </c>
    </row>
    <row r="218" spans="1:4">
      <c r="A218" t="str">
        <f>TEXT(IF('Debt to GDP Ratio'!B222&lt;&gt;0,'Debt to GDP Ratio'!B222, ""), "mm/dd/yyyy")</f>
        <v/>
      </c>
      <c r="B218" t="str">
        <f>IFERROR(IF(ISNUMBER('Debt to GDP Ratio'!D222),TEXT('Debt to GDP Ratio'!D222,"0.00"), ""), "")</f>
        <v/>
      </c>
      <c r="C218" t="str">
        <f>IFERROR(IF(ISNUMBER('Debt to GDP Ratio'!E222),TEXT('Debt to GDP Ratio'!E222,"0.00"), ""), "")</f>
        <v/>
      </c>
      <c r="D218" t="str">
        <f>IFERROR(IF(ISNUMBER('Debt to GDP Ratio'!B222),'Debt to GDP Ratio'!G222, ""), "")</f>
        <v/>
      </c>
    </row>
    <row r="219" spans="1:4">
      <c r="A219" t="str">
        <f>TEXT(IF('Debt to GDP Ratio'!B223&lt;&gt;0,'Debt to GDP Ratio'!B223, ""), "mm/dd/yyyy")</f>
        <v/>
      </c>
      <c r="B219" t="str">
        <f>IFERROR(IF(ISNUMBER('Debt to GDP Ratio'!D223),TEXT('Debt to GDP Ratio'!D223,"0.00"), ""), "")</f>
        <v/>
      </c>
      <c r="C219" t="str">
        <f>IFERROR(IF(ISNUMBER('Debt to GDP Ratio'!E223),TEXT('Debt to GDP Ratio'!E223,"0.00"), ""), "")</f>
        <v/>
      </c>
      <c r="D219" t="str">
        <f>IFERROR(IF(ISNUMBER('Debt to GDP Ratio'!B223),'Debt to GDP Ratio'!G223, ""), "")</f>
        <v/>
      </c>
    </row>
    <row r="220" spans="1:4">
      <c r="A220" t="str">
        <f>TEXT(IF('Debt to GDP Ratio'!B224&lt;&gt;0,'Debt to GDP Ratio'!B224, ""), "mm/dd/yyyy")</f>
        <v/>
      </c>
      <c r="B220" t="str">
        <f>IFERROR(IF(ISNUMBER('Debt to GDP Ratio'!D224),TEXT('Debt to GDP Ratio'!D224,"0.00"), ""), "")</f>
        <v/>
      </c>
      <c r="C220" t="str">
        <f>IFERROR(IF(ISNUMBER('Debt to GDP Ratio'!E224),TEXT('Debt to GDP Ratio'!E224,"0.00"), ""), "")</f>
        <v/>
      </c>
      <c r="D220" t="str">
        <f>IFERROR(IF(ISNUMBER('Debt to GDP Ratio'!B224),'Debt to GDP Ratio'!G224, ""), "")</f>
        <v/>
      </c>
    </row>
    <row r="221" spans="1:4">
      <c r="A221" t="str">
        <f>TEXT(IF('Debt to GDP Ratio'!B225&lt;&gt;0,'Debt to GDP Ratio'!B225, ""), "mm/dd/yyyy")</f>
        <v/>
      </c>
      <c r="B221" t="str">
        <f>IFERROR(IF(ISNUMBER('Debt to GDP Ratio'!D225),TEXT('Debt to GDP Ratio'!D225,"0.00"), ""), "")</f>
        <v/>
      </c>
      <c r="C221" t="str">
        <f>IFERROR(IF(ISNUMBER('Debt to GDP Ratio'!E225),TEXT('Debt to GDP Ratio'!E225,"0.00"), ""), "")</f>
        <v/>
      </c>
      <c r="D221" t="str">
        <f>IFERROR(IF(ISNUMBER('Debt to GDP Ratio'!B225),'Debt to GDP Ratio'!G225, ""), "")</f>
        <v/>
      </c>
    </row>
    <row r="222" spans="1:4">
      <c r="A222" t="str">
        <f>TEXT(IF('Debt to GDP Ratio'!B226&lt;&gt;0,'Debt to GDP Ratio'!B226, ""), "mm/dd/yyyy")</f>
        <v/>
      </c>
      <c r="B222" t="str">
        <f>IFERROR(IF(ISNUMBER('Debt to GDP Ratio'!D226),TEXT('Debt to GDP Ratio'!D226,"0.00"), ""), "")</f>
        <v/>
      </c>
      <c r="C222" t="str">
        <f>IFERROR(IF(ISNUMBER('Debt to GDP Ratio'!E226),TEXT('Debt to GDP Ratio'!E226,"0.00"), ""), "")</f>
        <v/>
      </c>
      <c r="D222" t="str">
        <f>IFERROR(IF(ISNUMBER('Debt to GDP Ratio'!B226),'Debt to GDP Ratio'!G226, ""), "")</f>
        <v/>
      </c>
    </row>
    <row r="223" spans="1:4">
      <c r="A223" t="str">
        <f>TEXT(IF('Debt to GDP Ratio'!B227&lt;&gt;0,'Debt to GDP Ratio'!B227, ""), "mm/dd/yyyy")</f>
        <v/>
      </c>
      <c r="B223" t="str">
        <f>IFERROR(IF(ISNUMBER('Debt to GDP Ratio'!D227),TEXT('Debt to GDP Ratio'!D227,"0.00"), ""), "")</f>
        <v/>
      </c>
      <c r="C223" t="str">
        <f>IFERROR(IF(ISNUMBER('Debt to GDP Ratio'!E227),TEXT('Debt to GDP Ratio'!E227,"0.00"), ""), "")</f>
        <v/>
      </c>
      <c r="D223" t="str">
        <f>IFERROR(IF(ISNUMBER('Debt to GDP Ratio'!B227),'Debt to GDP Ratio'!G227, ""), "")</f>
        <v/>
      </c>
    </row>
    <row r="224" spans="1:4">
      <c r="A224" t="str">
        <f>TEXT(IF('Debt to GDP Ratio'!B228&lt;&gt;0,'Debt to GDP Ratio'!B228, ""), "mm/dd/yyyy")</f>
        <v/>
      </c>
      <c r="B224" t="str">
        <f>IFERROR(IF(ISNUMBER('Debt to GDP Ratio'!D228),TEXT('Debt to GDP Ratio'!D228,"0.00"), ""), "")</f>
        <v/>
      </c>
      <c r="C224" t="str">
        <f>IFERROR(IF(ISNUMBER('Debt to GDP Ratio'!E228),TEXT('Debt to GDP Ratio'!E228,"0.00"), ""), "")</f>
        <v/>
      </c>
      <c r="D224" t="str">
        <f>IFERROR(IF(ISNUMBER('Debt to GDP Ratio'!B228),'Debt to GDP Ratio'!G228, ""), "")</f>
        <v/>
      </c>
    </row>
    <row r="225" spans="1:4">
      <c r="A225" t="str">
        <f>TEXT(IF('Debt to GDP Ratio'!B229&lt;&gt;0,'Debt to GDP Ratio'!B229, ""), "mm/dd/yyyy")</f>
        <v/>
      </c>
      <c r="B225" t="str">
        <f>IFERROR(IF(ISNUMBER('Debt to GDP Ratio'!D229),TEXT('Debt to GDP Ratio'!D229,"0.00"), ""), "")</f>
        <v/>
      </c>
      <c r="C225" t="str">
        <f>IFERROR(IF(ISNUMBER('Debt to GDP Ratio'!E229),TEXT('Debt to GDP Ratio'!E229,"0.00"), ""), "")</f>
        <v/>
      </c>
      <c r="D225" t="str">
        <f>IFERROR(IF(ISNUMBER('Debt to GDP Ratio'!B229),'Debt to GDP Ratio'!G229, ""), "")</f>
        <v/>
      </c>
    </row>
    <row r="226" spans="1:4">
      <c r="A226" t="str">
        <f>TEXT(IF('Debt to GDP Ratio'!B230&lt;&gt;0,'Debt to GDP Ratio'!B230, ""), "mm/dd/yyyy")</f>
        <v/>
      </c>
      <c r="B226" t="str">
        <f>IFERROR(IF(ISNUMBER('Debt to GDP Ratio'!D230),TEXT('Debt to GDP Ratio'!D230,"0.00"), ""), "")</f>
        <v/>
      </c>
      <c r="C226" t="str">
        <f>IFERROR(IF(ISNUMBER('Debt to GDP Ratio'!E230),TEXT('Debt to GDP Ratio'!E230,"0.00"), ""), "")</f>
        <v/>
      </c>
      <c r="D226" t="str">
        <f>IFERROR(IF(ISNUMBER('Debt to GDP Ratio'!B230),'Debt to GDP Ratio'!G230, ""), "")</f>
        <v/>
      </c>
    </row>
    <row r="227" spans="1:4">
      <c r="A227" t="str">
        <f>TEXT(IF('Debt to GDP Ratio'!B231&lt;&gt;0,'Debt to GDP Ratio'!B231, ""), "mm/dd/yyyy")</f>
        <v/>
      </c>
      <c r="B227" t="str">
        <f>IFERROR(IF(ISNUMBER('Debt to GDP Ratio'!D231),TEXT('Debt to GDP Ratio'!D231,"0.00"), ""), "")</f>
        <v/>
      </c>
      <c r="C227" t="str">
        <f>IFERROR(IF(ISNUMBER('Debt to GDP Ratio'!E231),TEXT('Debt to GDP Ratio'!E231,"0.00"), ""), "")</f>
        <v/>
      </c>
      <c r="D227" t="str">
        <f>IFERROR(IF(ISNUMBER('Debt to GDP Ratio'!B231),'Debt to GDP Ratio'!G231, ""), "")</f>
        <v/>
      </c>
    </row>
    <row r="228" spans="1:4">
      <c r="A228" t="str">
        <f>TEXT(IF('Debt to GDP Ratio'!B232&lt;&gt;0,'Debt to GDP Ratio'!B232, ""), "mm/dd/yyyy")</f>
        <v/>
      </c>
      <c r="B228" t="str">
        <f>IFERROR(IF(ISNUMBER('Debt to GDP Ratio'!D232),TEXT('Debt to GDP Ratio'!D232,"0.00"), ""), "")</f>
        <v/>
      </c>
      <c r="C228" t="str">
        <f>IFERROR(IF(ISNUMBER('Debt to GDP Ratio'!E232),TEXT('Debt to GDP Ratio'!E232,"0.00"), ""), "")</f>
        <v/>
      </c>
      <c r="D228" t="str">
        <f>IFERROR(IF(ISNUMBER('Debt to GDP Ratio'!B232),'Debt to GDP Ratio'!G232, ""), "")</f>
        <v/>
      </c>
    </row>
    <row r="229" spans="1:4">
      <c r="A229" t="str">
        <f>TEXT(IF('Debt to GDP Ratio'!B233&lt;&gt;0,'Debt to GDP Ratio'!B233, ""), "mm/dd/yyyy")</f>
        <v/>
      </c>
      <c r="B229" t="str">
        <f>IFERROR(IF(ISNUMBER('Debt to GDP Ratio'!D233),TEXT('Debt to GDP Ratio'!D233,"0.00"), ""), "")</f>
        <v/>
      </c>
      <c r="C229" t="str">
        <f>IFERROR(IF(ISNUMBER('Debt to GDP Ratio'!E233),TEXT('Debt to GDP Ratio'!E233,"0.00"), ""), "")</f>
        <v/>
      </c>
      <c r="D229" t="str">
        <f>IFERROR(IF(ISNUMBER('Debt to GDP Ratio'!B233),'Debt to GDP Ratio'!G233, ""), "")</f>
        <v/>
      </c>
    </row>
    <row r="230" spans="1:4">
      <c r="A230" t="str">
        <f>TEXT(IF('Debt to GDP Ratio'!B234&lt;&gt;0,'Debt to GDP Ratio'!B234, ""), "mm/dd/yyyy")</f>
        <v/>
      </c>
      <c r="B230" t="str">
        <f>IFERROR(IF(ISNUMBER('Debt to GDP Ratio'!D234),TEXT('Debt to GDP Ratio'!D234,"0.00"), ""), "")</f>
        <v/>
      </c>
      <c r="C230" t="str">
        <f>IFERROR(IF(ISNUMBER('Debt to GDP Ratio'!E234),TEXT('Debt to GDP Ratio'!E234,"0.00"), ""), "")</f>
        <v/>
      </c>
      <c r="D230" t="str">
        <f>IFERROR(IF(ISNUMBER('Debt to GDP Ratio'!B234),'Debt to GDP Ratio'!G234, ""), "")</f>
        <v/>
      </c>
    </row>
    <row r="231" spans="1:4">
      <c r="A231" t="str">
        <f>TEXT(IF('Debt to GDP Ratio'!B235&lt;&gt;0,'Debt to GDP Ratio'!B235, ""), "mm/dd/yyyy")</f>
        <v/>
      </c>
      <c r="B231" t="str">
        <f>IFERROR(IF(ISNUMBER('Debt to GDP Ratio'!D235),TEXT('Debt to GDP Ratio'!D235,"0.00"), ""), "")</f>
        <v/>
      </c>
      <c r="C231" t="str">
        <f>IFERROR(IF(ISNUMBER('Debt to GDP Ratio'!E235),TEXT('Debt to GDP Ratio'!E235,"0.00"), ""), "")</f>
        <v/>
      </c>
      <c r="D231" t="str">
        <f>IFERROR(IF(ISNUMBER('Debt to GDP Ratio'!B235),'Debt to GDP Ratio'!G235, ""), "")</f>
        <v/>
      </c>
    </row>
    <row r="232" spans="1:4">
      <c r="A232" t="str">
        <f>TEXT(IF('Debt to GDP Ratio'!B236&lt;&gt;0,'Debt to GDP Ratio'!B236, ""), "mm/dd/yyyy")</f>
        <v/>
      </c>
      <c r="B232" t="str">
        <f>IFERROR(IF(ISNUMBER('Debt to GDP Ratio'!D236),TEXT('Debt to GDP Ratio'!D236,"0.00"), ""), "")</f>
        <v/>
      </c>
      <c r="C232" t="str">
        <f>IFERROR(IF(ISNUMBER('Debt to GDP Ratio'!E236),TEXT('Debt to GDP Ratio'!E236,"0.00"), ""), "")</f>
        <v/>
      </c>
      <c r="D232" t="str">
        <f>IFERROR(IF(ISNUMBER('Debt to GDP Ratio'!B236),'Debt to GDP Ratio'!G236, ""), "")</f>
        <v/>
      </c>
    </row>
    <row r="233" spans="1:4">
      <c r="A233" t="str">
        <f>TEXT(IF('Debt to GDP Ratio'!B237&lt;&gt;0,'Debt to GDP Ratio'!B237, ""), "mm/dd/yyyy")</f>
        <v/>
      </c>
      <c r="B233" t="str">
        <f>IFERROR(IF(ISNUMBER('Debt to GDP Ratio'!D237),TEXT('Debt to GDP Ratio'!D237,"0.00"), ""), "")</f>
        <v/>
      </c>
      <c r="C233" t="str">
        <f>IFERROR(IF(ISNUMBER('Debt to GDP Ratio'!E237),TEXT('Debt to GDP Ratio'!E237,"0.00"), ""), "")</f>
        <v/>
      </c>
      <c r="D233" t="str">
        <f>IFERROR(IF(ISNUMBER('Debt to GDP Ratio'!B237),'Debt to GDP Ratio'!G237, ""), "")</f>
        <v/>
      </c>
    </row>
    <row r="234" spans="1:4">
      <c r="A234" t="str">
        <f>TEXT(IF('Debt to GDP Ratio'!B238&lt;&gt;0,'Debt to GDP Ratio'!B238, ""), "mm/dd/yyyy")</f>
        <v/>
      </c>
      <c r="B234" t="str">
        <f>IFERROR(IF(ISNUMBER('Debt to GDP Ratio'!D238),TEXT('Debt to GDP Ratio'!D238,"0.00"), ""), "")</f>
        <v/>
      </c>
      <c r="C234" t="str">
        <f>IFERROR(IF(ISNUMBER('Debt to GDP Ratio'!E238),TEXT('Debt to GDP Ratio'!E238,"0.00"), ""), "")</f>
        <v/>
      </c>
      <c r="D234" t="str">
        <f>IFERROR(IF(ISNUMBER('Debt to GDP Ratio'!B238),'Debt to GDP Ratio'!G238, ""), "")</f>
        <v/>
      </c>
    </row>
    <row r="235" spans="1:4">
      <c r="A235" t="str">
        <f>TEXT(IF('Debt to GDP Ratio'!B239&lt;&gt;0,'Debt to GDP Ratio'!B239, ""), "mm/dd/yyyy")</f>
        <v/>
      </c>
      <c r="B235" t="str">
        <f>IFERROR(IF(ISNUMBER('Debt to GDP Ratio'!D239),TEXT('Debt to GDP Ratio'!D239,"0.00"), ""), "")</f>
        <v/>
      </c>
      <c r="C235" t="str">
        <f>IFERROR(IF(ISNUMBER('Debt to GDP Ratio'!E239),TEXT('Debt to GDP Ratio'!E239,"0.00"), ""), "")</f>
        <v/>
      </c>
      <c r="D235" t="str">
        <f>IFERROR(IF(ISNUMBER('Debt to GDP Ratio'!B239),'Debt to GDP Ratio'!G239, ""), "")</f>
        <v/>
      </c>
    </row>
    <row r="236" spans="1:4">
      <c r="A236" t="str">
        <f>TEXT(IF('Debt to GDP Ratio'!B240&lt;&gt;0,'Debt to GDP Ratio'!B240, ""), "mm/dd/yyyy")</f>
        <v/>
      </c>
      <c r="B236" t="str">
        <f>IFERROR(IF(ISNUMBER('Debt to GDP Ratio'!D240),TEXT('Debt to GDP Ratio'!D240,"0.00"), ""), "")</f>
        <v/>
      </c>
      <c r="C236" t="str">
        <f>IFERROR(IF(ISNUMBER('Debt to GDP Ratio'!E240),TEXT('Debt to GDP Ratio'!E240,"0.00"), ""), "")</f>
        <v/>
      </c>
      <c r="D236" t="str">
        <f>IFERROR(IF(ISNUMBER('Debt to GDP Ratio'!B240),'Debt to GDP Ratio'!G240, ""), "")</f>
        <v/>
      </c>
    </row>
    <row r="237" spans="1:4">
      <c r="A237" t="str">
        <f>TEXT(IF('Debt to GDP Ratio'!B241&lt;&gt;0,'Debt to GDP Ratio'!B241, ""), "mm/dd/yyyy")</f>
        <v/>
      </c>
      <c r="B237" t="str">
        <f>IFERROR(IF(ISNUMBER('Debt to GDP Ratio'!D241),TEXT('Debt to GDP Ratio'!D241,"0.00"), ""), "")</f>
        <v/>
      </c>
      <c r="C237" t="str">
        <f>IFERROR(IF(ISNUMBER('Debt to GDP Ratio'!E241),TEXT('Debt to GDP Ratio'!E241,"0.00"), ""), "")</f>
        <v/>
      </c>
      <c r="D237" t="str">
        <f>IFERROR(IF(ISNUMBER('Debt to GDP Ratio'!B241),'Debt to GDP Ratio'!G241, ""), "")</f>
        <v/>
      </c>
    </row>
    <row r="238" spans="1:4">
      <c r="A238" t="str">
        <f>TEXT(IF('Debt to GDP Ratio'!B242&lt;&gt;0,'Debt to GDP Ratio'!B242, ""), "mm/dd/yyyy")</f>
        <v/>
      </c>
      <c r="B238" t="str">
        <f>IFERROR(IF(ISNUMBER('Debt to GDP Ratio'!D242),TEXT('Debt to GDP Ratio'!D242,"0.00"), ""), "")</f>
        <v/>
      </c>
      <c r="C238" t="str">
        <f>IFERROR(IF(ISNUMBER('Debt to GDP Ratio'!E242),TEXT('Debt to GDP Ratio'!E242,"0.00"), ""), "")</f>
        <v/>
      </c>
      <c r="D238" t="str">
        <f>IFERROR(IF(ISNUMBER('Debt to GDP Ratio'!B242),'Debt to GDP Ratio'!G242, ""), "")</f>
        <v/>
      </c>
    </row>
    <row r="239" spans="1:4">
      <c r="A239" t="str">
        <f>TEXT(IF('Debt to GDP Ratio'!B243&lt;&gt;0,'Debt to GDP Ratio'!B243, ""), "mm/dd/yyyy")</f>
        <v/>
      </c>
      <c r="B239" t="str">
        <f>IFERROR(IF(ISNUMBER('Debt to GDP Ratio'!D243),TEXT('Debt to GDP Ratio'!D243,"0.00"), ""), "")</f>
        <v/>
      </c>
      <c r="C239" t="str">
        <f>IFERROR(IF(ISNUMBER('Debt to GDP Ratio'!E243),TEXT('Debt to GDP Ratio'!E243,"0.00"), ""), "")</f>
        <v/>
      </c>
      <c r="D239" t="str">
        <f>IFERROR(IF(ISNUMBER('Debt to GDP Ratio'!B243),'Debt to GDP Ratio'!G243, ""), "")</f>
        <v/>
      </c>
    </row>
    <row r="240" spans="1:4">
      <c r="A240" t="str">
        <f>TEXT(IF('Debt to GDP Ratio'!B244&lt;&gt;0,'Debt to GDP Ratio'!B244, ""), "mm/dd/yyyy")</f>
        <v/>
      </c>
      <c r="B240" t="str">
        <f>IFERROR(IF(ISNUMBER('Debt to GDP Ratio'!D244),TEXT('Debt to GDP Ratio'!D244,"0.00"), ""), "")</f>
        <v/>
      </c>
      <c r="C240" t="str">
        <f>IFERROR(IF(ISNUMBER('Debt to GDP Ratio'!E244),TEXT('Debt to GDP Ratio'!E244,"0.00"), ""), "")</f>
        <v/>
      </c>
      <c r="D240" t="str">
        <f>IFERROR(IF(ISNUMBER('Debt to GDP Ratio'!B244),'Debt to GDP Ratio'!G244, ""), "")</f>
        <v/>
      </c>
    </row>
    <row r="241" spans="1:4">
      <c r="A241" t="str">
        <f>TEXT(IF('Debt to GDP Ratio'!B245&lt;&gt;0,'Debt to GDP Ratio'!B245, ""), "mm/dd/yyyy")</f>
        <v/>
      </c>
      <c r="B241" t="str">
        <f>IFERROR(IF(ISNUMBER('Debt to GDP Ratio'!D245),TEXT('Debt to GDP Ratio'!D245,"0.00"), ""), "")</f>
        <v/>
      </c>
      <c r="C241" t="str">
        <f>IFERROR(IF(ISNUMBER('Debt to GDP Ratio'!E245),TEXT('Debt to GDP Ratio'!E245,"0.00"), ""), "")</f>
        <v/>
      </c>
      <c r="D241" t="str">
        <f>IFERROR(IF(ISNUMBER('Debt to GDP Ratio'!B245),'Debt to GDP Ratio'!G245, ""), "")</f>
        <v/>
      </c>
    </row>
    <row r="242" spans="1:4">
      <c r="A242" t="str">
        <f>TEXT(IF('Debt to GDP Ratio'!B246&lt;&gt;0,'Debt to GDP Ratio'!B246, ""), "mm/dd/yyyy")</f>
        <v/>
      </c>
      <c r="B242" t="str">
        <f>IFERROR(IF(ISNUMBER('Debt to GDP Ratio'!D246),TEXT('Debt to GDP Ratio'!D246,"0.00"), ""), "")</f>
        <v/>
      </c>
      <c r="C242" t="str">
        <f>IFERROR(IF(ISNUMBER('Debt to GDP Ratio'!E246),TEXT('Debt to GDP Ratio'!E246,"0.00"), ""), "")</f>
        <v/>
      </c>
      <c r="D242" t="str">
        <f>IFERROR(IF(ISNUMBER('Debt to GDP Ratio'!B246),'Debt to GDP Ratio'!G246, ""), "")</f>
        <v/>
      </c>
    </row>
    <row r="243" spans="1:4">
      <c r="A243" t="str">
        <f>TEXT(IF('Debt to GDP Ratio'!B247&lt;&gt;0,'Debt to GDP Ratio'!B247, ""), "mm/dd/yyyy")</f>
        <v/>
      </c>
      <c r="B243" t="str">
        <f>IFERROR(IF(ISNUMBER('Debt to GDP Ratio'!D247),TEXT('Debt to GDP Ratio'!D247,"0.00"), ""), "")</f>
        <v/>
      </c>
      <c r="C243" t="str">
        <f>IFERROR(IF(ISNUMBER('Debt to GDP Ratio'!E247),TEXT('Debt to GDP Ratio'!E247,"0.00"), ""), "")</f>
        <v/>
      </c>
      <c r="D243" t="str">
        <f>IFERROR(IF(ISNUMBER('Debt to GDP Ratio'!B247),'Debt to GDP Ratio'!G247, ""), "")</f>
        <v/>
      </c>
    </row>
    <row r="244" spans="1:4">
      <c r="A244" t="str">
        <f>TEXT(IF('Debt to GDP Ratio'!B248&lt;&gt;0,'Debt to GDP Ratio'!B248, ""), "mm/dd/yyyy")</f>
        <v/>
      </c>
      <c r="B244" t="str">
        <f>IFERROR(IF(ISNUMBER('Debt to GDP Ratio'!D248),TEXT('Debt to GDP Ratio'!D248,"0.00"), ""), "")</f>
        <v/>
      </c>
      <c r="C244" t="str">
        <f>IFERROR(IF(ISNUMBER('Debt to GDP Ratio'!E248),TEXT('Debt to GDP Ratio'!E248,"0.00"), ""), "")</f>
        <v/>
      </c>
      <c r="D244" t="str">
        <f>IFERROR(IF(ISNUMBER('Debt to GDP Ratio'!B248),'Debt to GDP Ratio'!G248, ""), "")</f>
        <v/>
      </c>
    </row>
    <row r="245" spans="1:4">
      <c r="A245" t="str">
        <f>TEXT(IF('Debt to GDP Ratio'!B249&lt;&gt;0,'Debt to GDP Ratio'!B249, ""), "mm/dd/yyyy")</f>
        <v/>
      </c>
      <c r="B245" t="str">
        <f>IFERROR(IF(ISNUMBER('Debt to GDP Ratio'!D249),TEXT('Debt to GDP Ratio'!D249,"0.00"), ""), "")</f>
        <v/>
      </c>
      <c r="C245" t="str">
        <f>IFERROR(IF(ISNUMBER('Debt to GDP Ratio'!E249),TEXT('Debt to GDP Ratio'!E249,"0.00"), ""), "")</f>
        <v/>
      </c>
      <c r="D245" t="str">
        <f>IFERROR(IF(ISNUMBER('Debt to GDP Ratio'!B249),'Debt to GDP Ratio'!G249, ""), "")</f>
        <v/>
      </c>
    </row>
    <row r="246" spans="1:4">
      <c r="A246" t="str">
        <f>TEXT(IF('Debt to GDP Ratio'!B250&lt;&gt;0,'Debt to GDP Ratio'!B250, ""), "mm/dd/yyyy")</f>
        <v/>
      </c>
      <c r="B246" t="str">
        <f>IFERROR(IF(ISNUMBER('Debt to GDP Ratio'!D250),TEXT('Debt to GDP Ratio'!D250,"0.00"), ""), "")</f>
        <v/>
      </c>
      <c r="C246" t="str">
        <f>IFERROR(IF(ISNUMBER('Debt to GDP Ratio'!E250),TEXT('Debt to GDP Ratio'!E250,"0.00"), ""), "")</f>
        <v/>
      </c>
      <c r="D246" t="str">
        <f>IFERROR(IF(ISNUMBER('Debt to GDP Ratio'!B250),'Debt to GDP Ratio'!G250, ""), "")</f>
        <v/>
      </c>
    </row>
    <row r="247" spans="1:4">
      <c r="A247" t="str">
        <f>TEXT(IF('Debt to GDP Ratio'!B251&lt;&gt;0,'Debt to GDP Ratio'!B251, ""), "mm/dd/yyyy")</f>
        <v/>
      </c>
      <c r="B247" t="str">
        <f>IFERROR(IF(ISNUMBER('Debt to GDP Ratio'!D251),TEXT('Debt to GDP Ratio'!D251,"0.00"), ""), "")</f>
        <v/>
      </c>
      <c r="C247" t="str">
        <f>IFERROR(IF(ISNUMBER('Debt to GDP Ratio'!E251),TEXT('Debt to GDP Ratio'!E251,"0.00"), ""), "")</f>
        <v/>
      </c>
      <c r="D247" t="str">
        <f>IFERROR(IF(ISNUMBER('Debt to GDP Ratio'!B251),'Debt to GDP Ratio'!G251, ""), "")</f>
        <v/>
      </c>
    </row>
    <row r="248" spans="1:4">
      <c r="A248" t="str">
        <f>TEXT(IF('Debt to GDP Ratio'!B252&lt;&gt;0,'Debt to GDP Ratio'!B252, ""), "mm/dd/yyyy")</f>
        <v/>
      </c>
      <c r="B248" t="str">
        <f>IFERROR(IF(ISNUMBER('Debt to GDP Ratio'!D252),TEXT('Debt to GDP Ratio'!D252,"0.00"), ""), "")</f>
        <v/>
      </c>
      <c r="C248" t="str">
        <f>IFERROR(IF(ISNUMBER('Debt to GDP Ratio'!E252),TEXT('Debt to GDP Ratio'!E252,"0.00"), ""), "")</f>
        <v/>
      </c>
      <c r="D248" t="str">
        <f>IFERROR(IF(ISNUMBER('Debt to GDP Ratio'!B252),'Debt to GDP Ratio'!G252, ""), "")</f>
        <v/>
      </c>
    </row>
    <row r="249" spans="1:4">
      <c r="A249" t="str">
        <f>TEXT(IF('Debt to GDP Ratio'!B253&lt;&gt;0,'Debt to GDP Ratio'!B253, ""), "mm/dd/yyyy")</f>
        <v/>
      </c>
      <c r="B249" t="str">
        <f>IFERROR(IF(ISNUMBER('Debt to GDP Ratio'!D253),TEXT('Debt to GDP Ratio'!D253,"0.00"), ""), "")</f>
        <v/>
      </c>
      <c r="C249" t="str">
        <f>IFERROR(IF(ISNUMBER('Debt to GDP Ratio'!E253),TEXT('Debt to GDP Ratio'!E253,"0.00"), ""), "")</f>
        <v/>
      </c>
      <c r="D249" t="str">
        <f>IFERROR(IF(ISNUMBER('Debt to GDP Ratio'!B253),'Debt to GDP Ratio'!G253, ""), "")</f>
        <v/>
      </c>
    </row>
    <row r="250" spans="1:4">
      <c r="A250" t="str">
        <f>TEXT(IF('Debt to GDP Ratio'!B254&lt;&gt;0,'Debt to GDP Ratio'!B254, ""), "mm/dd/yyyy")</f>
        <v/>
      </c>
      <c r="B250" t="str">
        <f>IFERROR(IF(ISNUMBER('Debt to GDP Ratio'!D254),TEXT('Debt to GDP Ratio'!D254,"0.00"), ""), "")</f>
        <v/>
      </c>
      <c r="C250" t="str">
        <f>IFERROR(IF(ISNUMBER('Debt to GDP Ratio'!E254),TEXT('Debt to GDP Ratio'!E254,"0.00"), ""), "")</f>
        <v/>
      </c>
      <c r="D250" t="str">
        <f>IFERROR(IF(ISNUMBER('Debt to GDP Ratio'!B254),'Debt to GDP Ratio'!G254, ""), "")</f>
        <v/>
      </c>
    </row>
    <row r="251" spans="1:4">
      <c r="A251" t="str">
        <f>TEXT(IF('Debt to GDP Ratio'!B255&lt;&gt;0,'Debt to GDP Ratio'!B255, ""), "mm/dd/yyyy")</f>
        <v/>
      </c>
      <c r="B251" t="str">
        <f>IFERROR(IF(ISNUMBER('Debt to GDP Ratio'!D255),TEXT('Debt to GDP Ratio'!D255,"0.00"), ""), "")</f>
        <v/>
      </c>
      <c r="C251" t="str">
        <f>IFERROR(IF(ISNUMBER('Debt to GDP Ratio'!E255),TEXT('Debt to GDP Ratio'!E255,"0.00"), ""), "")</f>
        <v/>
      </c>
      <c r="D251" t="str">
        <f>IFERROR(IF(ISNUMBER('Debt to GDP Ratio'!B255),'Debt to GDP Ratio'!G255, ""), "")</f>
        <v/>
      </c>
    </row>
    <row r="252" spans="1:4">
      <c r="A252" t="str">
        <f>TEXT(IF('Debt to GDP Ratio'!B256&lt;&gt;0,'Debt to GDP Ratio'!B256, ""), "mm/dd/yyyy")</f>
        <v/>
      </c>
      <c r="B252" t="str">
        <f>IFERROR(IF(ISNUMBER('Debt to GDP Ratio'!D256),TEXT('Debt to GDP Ratio'!D256,"0.00"), ""), "")</f>
        <v/>
      </c>
      <c r="C252" t="str">
        <f>IFERROR(IF(ISNUMBER('Debt to GDP Ratio'!E256),TEXT('Debt to GDP Ratio'!E256,"0.00"), ""), "")</f>
        <v/>
      </c>
      <c r="D252" t="str">
        <f>IFERROR(IF(ISNUMBER('Debt to GDP Ratio'!B256),'Debt to GDP Ratio'!G256, ""), "")</f>
        <v/>
      </c>
    </row>
    <row r="253" spans="1:4">
      <c r="A253" t="str">
        <f>TEXT(IF('Debt to GDP Ratio'!B257&lt;&gt;0,'Debt to GDP Ratio'!B257, ""), "mm/dd/yyyy")</f>
        <v/>
      </c>
      <c r="B253" t="str">
        <f>IFERROR(IF(ISNUMBER('Debt to GDP Ratio'!D257),TEXT('Debt to GDP Ratio'!D257,"0.00"), ""), "")</f>
        <v/>
      </c>
      <c r="C253" t="str">
        <f>IFERROR(IF(ISNUMBER('Debt to GDP Ratio'!E257),TEXT('Debt to GDP Ratio'!E257,"0.00"), ""), "")</f>
        <v/>
      </c>
      <c r="D253" t="str">
        <f>IFERROR(IF(ISNUMBER('Debt to GDP Ratio'!B257),'Debt to GDP Ratio'!G257, ""), "")</f>
        <v/>
      </c>
    </row>
    <row r="254" spans="1:4">
      <c r="A254" t="str">
        <f>TEXT(IF('Debt to GDP Ratio'!B258&lt;&gt;0,'Debt to GDP Ratio'!B258, ""), "mm/dd/yyyy")</f>
        <v/>
      </c>
      <c r="B254" t="str">
        <f>IFERROR(IF(ISNUMBER('Debt to GDP Ratio'!D258),TEXT('Debt to GDP Ratio'!D258,"0.00"), ""), "")</f>
        <v/>
      </c>
      <c r="C254" t="str">
        <f>IFERROR(IF(ISNUMBER('Debt to GDP Ratio'!E258),TEXT('Debt to GDP Ratio'!E258,"0.00"), ""), "")</f>
        <v/>
      </c>
      <c r="D254" t="str">
        <f>IFERROR(IF(ISNUMBER('Debt to GDP Ratio'!B258),'Debt to GDP Ratio'!G258, ""), "")</f>
        <v/>
      </c>
    </row>
    <row r="255" spans="1:4">
      <c r="A255" t="str">
        <f>TEXT(IF('Debt to GDP Ratio'!B259&lt;&gt;0,'Debt to GDP Ratio'!B259, ""), "mm/dd/yyyy")</f>
        <v/>
      </c>
      <c r="B255" t="str">
        <f>IFERROR(IF(ISNUMBER('Debt to GDP Ratio'!D259),TEXT('Debt to GDP Ratio'!D259,"0.00"), ""), "")</f>
        <v/>
      </c>
      <c r="C255" t="str">
        <f>IFERROR(IF(ISNUMBER('Debt to GDP Ratio'!E259),TEXT('Debt to GDP Ratio'!E259,"0.00"), ""), "")</f>
        <v/>
      </c>
      <c r="D255" t="str">
        <f>IFERROR(IF(ISNUMBER('Debt to GDP Ratio'!B259),'Debt to GDP Ratio'!G259, ""), "")</f>
        <v/>
      </c>
    </row>
    <row r="256" spans="1:4">
      <c r="A256" t="str">
        <f>TEXT(IF('Debt to GDP Ratio'!B260&lt;&gt;0,'Debt to GDP Ratio'!B260, ""), "mm/dd/yyyy")</f>
        <v/>
      </c>
      <c r="B256" t="str">
        <f>IFERROR(IF(ISNUMBER('Debt to GDP Ratio'!D260),TEXT('Debt to GDP Ratio'!D260,"0.00"), ""), "")</f>
        <v/>
      </c>
      <c r="C256" t="str">
        <f>IFERROR(IF(ISNUMBER('Debt to GDP Ratio'!E260),TEXT('Debt to GDP Ratio'!E260,"0.00"), ""), "")</f>
        <v/>
      </c>
      <c r="D256" t="str">
        <f>IFERROR(IF(ISNUMBER('Debt to GDP Ratio'!B260),'Debt to GDP Ratio'!G260, ""), "")</f>
        <v/>
      </c>
    </row>
    <row r="257" spans="1:4">
      <c r="A257" t="str">
        <f>TEXT(IF('Debt to GDP Ratio'!B261&lt;&gt;0,'Debt to GDP Ratio'!B261, ""), "mm/dd/yyyy")</f>
        <v/>
      </c>
      <c r="B257" t="str">
        <f>IFERROR(IF(ISNUMBER('Debt to GDP Ratio'!D261),TEXT('Debt to GDP Ratio'!D261,"0.00"), ""), "")</f>
        <v/>
      </c>
      <c r="C257" t="str">
        <f>IFERROR(IF(ISNUMBER('Debt to GDP Ratio'!E261),TEXT('Debt to GDP Ratio'!E261,"0.00"), ""), "")</f>
        <v/>
      </c>
      <c r="D257" t="str">
        <f>IFERROR(IF(ISNUMBER('Debt to GDP Ratio'!B261),'Debt to GDP Ratio'!G261, ""), "")</f>
        <v/>
      </c>
    </row>
    <row r="258" spans="1:4">
      <c r="A258" t="str">
        <f>TEXT(IF('Debt to GDP Ratio'!B262&lt;&gt;0,'Debt to GDP Ratio'!B262, ""), "mm/dd/yyyy")</f>
        <v/>
      </c>
      <c r="B258" t="str">
        <f>IFERROR(IF(ISNUMBER('Debt to GDP Ratio'!D262),TEXT('Debt to GDP Ratio'!D262,"0.00"), ""), "")</f>
        <v/>
      </c>
      <c r="C258" t="str">
        <f>IFERROR(IF(ISNUMBER('Debt to GDP Ratio'!E262),TEXT('Debt to GDP Ratio'!E262,"0.00"), ""), "")</f>
        <v/>
      </c>
      <c r="D258" t="str">
        <f>IFERROR(IF(ISNUMBER('Debt to GDP Ratio'!B262),'Debt to GDP Ratio'!G262, ""), "")</f>
        <v/>
      </c>
    </row>
    <row r="259" spans="1:4">
      <c r="A259" t="str">
        <f>TEXT(IF('Debt to GDP Ratio'!B263&lt;&gt;0,'Debt to GDP Ratio'!B263, ""), "mm/dd/yyyy")</f>
        <v/>
      </c>
      <c r="B259" t="str">
        <f>IFERROR(IF(ISNUMBER('Debt to GDP Ratio'!D263),TEXT('Debt to GDP Ratio'!D263,"0.00"), ""), "")</f>
        <v/>
      </c>
      <c r="C259" t="str">
        <f>IFERROR(IF(ISNUMBER('Debt to GDP Ratio'!E263),TEXT('Debt to GDP Ratio'!E263,"0.00"), ""), "")</f>
        <v/>
      </c>
      <c r="D259" t="str">
        <f>IFERROR(IF(ISNUMBER('Debt to GDP Ratio'!B263),'Debt to GDP Ratio'!G263, ""), "")</f>
        <v/>
      </c>
    </row>
    <row r="260" spans="1:4">
      <c r="A260" t="str">
        <f>TEXT(IF('Debt to GDP Ratio'!B264&lt;&gt;0,'Debt to GDP Ratio'!B264, ""), "mm/dd/yyyy")</f>
        <v/>
      </c>
      <c r="B260" t="str">
        <f>IFERROR(IF(ISNUMBER('Debt to GDP Ratio'!D264),TEXT('Debt to GDP Ratio'!D264,"0.00"), ""), "")</f>
        <v/>
      </c>
      <c r="C260" t="str">
        <f>IFERROR(IF(ISNUMBER('Debt to GDP Ratio'!E264),TEXT('Debt to GDP Ratio'!E264,"0.00"), ""), "")</f>
        <v/>
      </c>
      <c r="D260" t="str">
        <f>IFERROR(IF(ISNUMBER('Debt to GDP Ratio'!B264),'Debt to GDP Ratio'!G264, ""), "")</f>
        <v/>
      </c>
    </row>
    <row r="261" spans="1:4">
      <c r="A261" t="str">
        <f>TEXT(IF('Debt to GDP Ratio'!B265&lt;&gt;0,'Debt to GDP Ratio'!B265, ""), "mm/dd/yyyy")</f>
        <v/>
      </c>
      <c r="B261" t="str">
        <f>IFERROR(IF(ISNUMBER('Debt to GDP Ratio'!D265),TEXT('Debt to GDP Ratio'!D265,"0.00"), ""), "")</f>
        <v/>
      </c>
      <c r="C261" t="str">
        <f>IFERROR(IF(ISNUMBER('Debt to GDP Ratio'!E265),TEXT('Debt to GDP Ratio'!E265,"0.00"), ""), "")</f>
        <v/>
      </c>
      <c r="D261" t="str">
        <f>IFERROR(IF(ISNUMBER('Debt to GDP Ratio'!B265),'Debt to GDP Ratio'!G265, ""), "")</f>
        <v/>
      </c>
    </row>
    <row r="262" spans="1:4">
      <c r="A262" t="str">
        <f>TEXT(IF('Debt to GDP Ratio'!B266&lt;&gt;0,'Debt to GDP Ratio'!B266, ""), "mm/dd/yyyy")</f>
        <v/>
      </c>
      <c r="B262" t="str">
        <f>IFERROR(IF(ISNUMBER('Debt to GDP Ratio'!D266),TEXT('Debt to GDP Ratio'!D266,"0.00"), ""), "")</f>
        <v/>
      </c>
      <c r="C262" t="str">
        <f>IFERROR(IF(ISNUMBER('Debt to GDP Ratio'!E266),TEXT('Debt to GDP Ratio'!E266,"0.00"), ""), "")</f>
        <v/>
      </c>
      <c r="D262" t="str">
        <f>IFERROR(IF(ISNUMBER('Debt to GDP Ratio'!B266),'Debt to GDP Ratio'!G266, ""), "")</f>
        <v/>
      </c>
    </row>
    <row r="263" spans="1:4">
      <c r="A263" t="str">
        <f>TEXT(IF('Debt to GDP Ratio'!B267&lt;&gt;0,'Debt to GDP Ratio'!B267, ""), "mm/dd/yyyy")</f>
        <v/>
      </c>
      <c r="B263" t="str">
        <f>IFERROR(IF(ISNUMBER('Debt to GDP Ratio'!D267),TEXT('Debt to GDP Ratio'!D267,"0.00"), ""), "")</f>
        <v/>
      </c>
      <c r="C263" t="str">
        <f>IFERROR(IF(ISNUMBER('Debt to GDP Ratio'!E267),TEXT('Debt to GDP Ratio'!E267,"0.00"), ""), "")</f>
        <v/>
      </c>
      <c r="D263" t="str">
        <f>IFERROR(IF(ISNUMBER('Debt to GDP Ratio'!B267),'Debt to GDP Ratio'!G267, ""), "")</f>
        <v/>
      </c>
    </row>
    <row r="264" spans="1:4">
      <c r="A264" t="str">
        <f>TEXT(IF('Debt to GDP Ratio'!B268&lt;&gt;0,'Debt to GDP Ratio'!B268, ""), "mm/dd/yyyy")</f>
        <v/>
      </c>
      <c r="B264" t="str">
        <f>IFERROR(IF(ISNUMBER('Debt to GDP Ratio'!D268),TEXT('Debt to GDP Ratio'!D268,"0.00"), ""), "")</f>
        <v/>
      </c>
      <c r="C264" t="str">
        <f>IFERROR(IF(ISNUMBER('Debt to GDP Ratio'!E268),TEXT('Debt to GDP Ratio'!E268,"0.00"), ""), "")</f>
        <v/>
      </c>
      <c r="D264" t="str">
        <f>IFERROR(IF(ISNUMBER('Debt to GDP Ratio'!B268),'Debt to GDP Ratio'!G268, ""), "")</f>
        <v/>
      </c>
    </row>
    <row r="265" spans="1:4">
      <c r="A265" t="str">
        <f>TEXT(IF('Debt to GDP Ratio'!B269&lt;&gt;0,'Debt to GDP Ratio'!B269, ""), "mm/dd/yyyy")</f>
        <v/>
      </c>
      <c r="B265" t="str">
        <f>IFERROR(IF(ISNUMBER('Debt to GDP Ratio'!D269),TEXT('Debt to GDP Ratio'!D269,"0.00"), ""), "")</f>
        <v/>
      </c>
      <c r="C265" t="str">
        <f>IFERROR(IF(ISNUMBER('Debt to GDP Ratio'!E269),TEXT('Debt to GDP Ratio'!E269,"0.00"), ""), "")</f>
        <v/>
      </c>
      <c r="D265" t="str">
        <f>IFERROR(IF(ISNUMBER('Debt to GDP Ratio'!B269),'Debt to GDP Ratio'!G269, ""), "")</f>
        <v/>
      </c>
    </row>
    <row r="266" spans="1:4">
      <c r="A266" t="str">
        <f>TEXT(IF('Debt to GDP Ratio'!B270&lt;&gt;0,'Debt to GDP Ratio'!B270, ""), "mm/dd/yyyy")</f>
        <v/>
      </c>
      <c r="B266" t="str">
        <f>IFERROR(IF(ISNUMBER('Debt to GDP Ratio'!D270),TEXT('Debt to GDP Ratio'!D270,"0.00"), ""), "")</f>
        <v/>
      </c>
      <c r="C266" t="str">
        <f>IFERROR(IF(ISNUMBER('Debt to GDP Ratio'!E270),TEXT('Debt to GDP Ratio'!E270,"0.00"), ""), "")</f>
        <v/>
      </c>
      <c r="D266" t="str">
        <f>IFERROR(IF(ISNUMBER('Debt to GDP Ratio'!B270),'Debt to GDP Ratio'!G270, ""), "")</f>
        <v/>
      </c>
    </row>
    <row r="267" spans="1:4">
      <c r="A267" t="str">
        <f>TEXT(IF('Debt to GDP Ratio'!B271&lt;&gt;0,'Debt to GDP Ratio'!B271, ""), "mm/dd/yyyy")</f>
        <v/>
      </c>
      <c r="B267" t="str">
        <f>IFERROR(IF(ISNUMBER('Debt to GDP Ratio'!D271),TEXT('Debt to GDP Ratio'!D271,"0.00"), ""), "")</f>
        <v/>
      </c>
      <c r="C267" t="str">
        <f>IFERROR(IF(ISNUMBER('Debt to GDP Ratio'!E271),TEXT('Debt to GDP Ratio'!E271,"0.00"), ""), "")</f>
        <v/>
      </c>
      <c r="D267" t="str">
        <f>IFERROR(IF(ISNUMBER('Debt to GDP Ratio'!B271),'Debt to GDP Ratio'!G271, ""), "")</f>
        <v/>
      </c>
    </row>
    <row r="268" spans="1:4">
      <c r="A268" t="str">
        <f>TEXT(IF('Debt to GDP Ratio'!B272&lt;&gt;0,'Debt to GDP Ratio'!B272, ""), "mm/dd/yyyy")</f>
        <v/>
      </c>
      <c r="B268" t="str">
        <f>IFERROR(IF(ISNUMBER('Debt to GDP Ratio'!D272),TEXT('Debt to GDP Ratio'!D272,"0.00"), ""), "")</f>
        <v/>
      </c>
      <c r="C268" t="str">
        <f>IFERROR(IF(ISNUMBER('Debt to GDP Ratio'!E272),TEXT('Debt to GDP Ratio'!E272,"0.00"), ""), "")</f>
        <v/>
      </c>
      <c r="D268" t="str">
        <f>IFERROR(IF(ISNUMBER('Debt to GDP Ratio'!B272),'Debt to GDP Ratio'!G272, ""), "")</f>
        <v/>
      </c>
    </row>
    <row r="269" spans="1:4">
      <c r="A269" t="str">
        <f>TEXT(IF('Debt to GDP Ratio'!B273&lt;&gt;0,'Debt to GDP Ratio'!B273, ""), "mm/dd/yyyy")</f>
        <v/>
      </c>
      <c r="B269" t="str">
        <f>IFERROR(IF(ISNUMBER('Debt to GDP Ratio'!D273),TEXT('Debt to GDP Ratio'!D273,"0.00"), ""), "")</f>
        <v/>
      </c>
      <c r="C269" t="str">
        <f>IFERROR(IF(ISNUMBER('Debt to GDP Ratio'!E273),TEXT('Debt to GDP Ratio'!E273,"0.00"), ""), "")</f>
        <v/>
      </c>
      <c r="D269" t="str">
        <f>IFERROR(IF(ISNUMBER('Debt to GDP Ratio'!B273),'Debt to GDP Ratio'!G273, ""), "")</f>
        <v/>
      </c>
    </row>
    <row r="270" spans="1:4">
      <c r="A270" t="str">
        <f>TEXT(IF('Debt to GDP Ratio'!B274&lt;&gt;0,'Debt to GDP Ratio'!B274, ""), "mm/dd/yyyy")</f>
        <v/>
      </c>
      <c r="B270" t="str">
        <f>IFERROR(IF(ISNUMBER('Debt to GDP Ratio'!D274),TEXT('Debt to GDP Ratio'!D274,"0.00"), ""), "")</f>
        <v/>
      </c>
      <c r="C270" t="str">
        <f>IFERROR(IF(ISNUMBER('Debt to GDP Ratio'!E274),TEXT('Debt to GDP Ratio'!E274,"0.00"), ""), "")</f>
        <v/>
      </c>
      <c r="D270" t="str">
        <f>IFERROR(IF(ISNUMBER('Debt to GDP Ratio'!B274),'Debt to GDP Ratio'!G274, ""), "")</f>
        <v/>
      </c>
    </row>
    <row r="271" spans="1:4">
      <c r="A271" t="str">
        <f>TEXT(IF('Debt to GDP Ratio'!B275&lt;&gt;0,'Debt to GDP Ratio'!B275, ""), "mm/dd/yyyy")</f>
        <v/>
      </c>
      <c r="B271" t="str">
        <f>IFERROR(IF(ISNUMBER('Debt to GDP Ratio'!D275),TEXT('Debt to GDP Ratio'!D275,"0.00"), ""), "")</f>
        <v/>
      </c>
      <c r="C271" t="str">
        <f>IFERROR(IF(ISNUMBER('Debt to GDP Ratio'!E275),TEXT('Debt to GDP Ratio'!E275,"0.00"), ""), "")</f>
        <v/>
      </c>
      <c r="D271" t="str">
        <f>IFERROR(IF(ISNUMBER('Debt to GDP Ratio'!B275),'Debt to GDP Ratio'!G275, ""), "")</f>
        <v/>
      </c>
    </row>
    <row r="272" spans="1:4">
      <c r="A272" t="str">
        <f>TEXT(IF('Debt to GDP Ratio'!B276&lt;&gt;0,'Debt to GDP Ratio'!B276, ""), "mm/dd/yyyy")</f>
        <v/>
      </c>
      <c r="B272" t="str">
        <f>IFERROR(IF(ISNUMBER('Debt to GDP Ratio'!D276),TEXT('Debt to GDP Ratio'!D276,"0.00"), ""), "")</f>
        <v/>
      </c>
      <c r="C272" t="str">
        <f>IFERROR(IF(ISNUMBER('Debt to GDP Ratio'!E276),TEXT('Debt to GDP Ratio'!E276,"0.00"), ""), "")</f>
        <v/>
      </c>
      <c r="D272" t="str">
        <f>IFERROR(IF(ISNUMBER('Debt to GDP Ratio'!B276),'Debt to GDP Ratio'!G276, ""), "")</f>
        <v/>
      </c>
    </row>
    <row r="273" spans="1:4">
      <c r="A273" t="str">
        <f>TEXT(IF('Debt to GDP Ratio'!B277&lt;&gt;0,'Debt to GDP Ratio'!B277, ""), "mm/dd/yyyy")</f>
        <v/>
      </c>
      <c r="B273" t="str">
        <f>IFERROR(IF(ISNUMBER('Debt to GDP Ratio'!D277),TEXT('Debt to GDP Ratio'!D277,"0.00"), ""), "")</f>
        <v/>
      </c>
      <c r="C273" t="str">
        <f>IFERROR(IF(ISNUMBER('Debt to GDP Ratio'!E277),TEXT('Debt to GDP Ratio'!E277,"0.00"), ""), "")</f>
        <v/>
      </c>
      <c r="D273" t="str">
        <f>IFERROR(IF(ISNUMBER('Debt to GDP Ratio'!B277),'Debt to GDP Ratio'!G277, ""), "")</f>
        <v/>
      </c>
    </row>
    <row r="274" spans="1:4">
      <c r="A274" t="str">
        <f>TEXT(IF('Debt to GDP Ratio'!B278&lt;&gt;0,'Debt to GDP Ratio'!B278, ""), "mm/dd/yyyy")</f>
        <v/>
      </c>
      <c r="B274" t="str">
        <f>IFERROR(IF(ISNUMBER('Debt to GDP Ratio'!D278),TEXT('Debt to GDP Ratio'!D278,"0.00"), ""), "")</f>
        <v/>
      </c>
      <c r="C274" t="str">
        <f>IFERROR(IF(ISNUMBER('Debt to GDP Ratio'!E278),TEXT('Debt to GDP Ratio'!E278,"0.00"), ""), "")</f>
        <v/>
      </c>
      <c r="D274" t="str">
        <f>IFERROR(IF(ISNUMBER('Debt to GDP Ratio'!B278),'Debt to GDP Ratio'!G278, ""), "")</f>
        <v/>
      </c>
    </row>
    <row r="275" spans="1:4">
      <c r="A275" t="str">
        <f>TEXT(IF('Debt to GDP Ratio'!B279&lt;&gt;0,'Debt to GDP Ratio'!B279, ""), "mm/dd/yyyy")</f>
        <v/>
      </c>
      <c r="B275" t="str">
        <f>IFERROR(IF(ISNUMBER('Debt to GDP Ratio'!D279),TEXT('Debt to GDP Ratio'!D279,"0.00"), ""), "")</f>
        <v/>
      </c>
      <c r="C275" t="str">
        <f>IFERROR(IF(ISNUMBER('Debt to GDP Ratio'!E279),TEXT('Debt to GDP Ratio'!E279,"0.00"), ""), "")</f>
        <v/>
      </c>
      <c r="D275" t="str">
        <f>IFERROR(IF(ISNUMBER('Debt to GDP Ratio'!B279),'Debt to GDP Ratio'!G279, ""), "")</f>
        <v/>
      </c>
    </row>
    <row r="276" spans="1:4">
      <c r="A276" t="str">
        <f>TEXT(IF('Debt to GDP Ratio'!B280&lt;&gt;0,'Debt to GDP Ratio'!B280, ""), "mm/dd/yyyy")</f>
        <v/>
      </c>
      <c r="B276" t="str">
        <f>IFERROR(IF(ISNUMBER('Debt to GDP Ratio'!D280),TEXT('Debt to GDP Ratio'!D280,"0.00"), ""), "")</f>
        <v/>
      </c>
      <c r="C276" t="str">
        <f>IFERROR(IF(ISNUMBER('Debt to GDP Ratio'!E280),TEXT('Debt to GDP Ratio'!E280,"0.00"), ""), "")</f>
        <v/>
      </c>
      <c r="D276" t="str">
        <f>IFERROR(IF(ISNUMBER('Debt to GDP Ratio'!B280),'Debt to GDP Ratio'!G280, ""), "")</f>
        <v/>
      </c>
    </row>
    <row r="277" spans="1:4">
      <c r="A277" t="str">
        <f>TEXT(IF('Debt to GDP Ratio'!B281&lt;&gt;0,'Debt to GDP Ratio'!B281, ""), "mm/dd/yyyy")</f>
        <v/>
      </c>
      <c r="B277" t="str">
        <f>IFERROR(IF(ISNUMBER('Debt to GDP Ratio'!D281),TEXT('Debt to GDP Ratio'!D281,"0.00"), ""), "")</f>
        <v/>
      </c>
      <c r="C277" t="str">
        <f>IFERROR(IF(ISNUMBER('Debt to GDP Ratio'!E281),TEXT('Debt to GDP Ratio'!E281,"0.00"), ""), "")</f>
        <v/>
      </c>
      <c r="D277" t="str">
        <f>IFERROR(IF(ISNUMBER('Debt to GDP Ratio'!B281),'Debt to GDP Ratio'!G281, ""), "")</f>
        <v/>
      </c>
    </row>
    <row r="278" spans="1:4">
      <c r="A278" t="str">
        <f>TEXT(IF('Debt to GDP Ratio'!B282&lt;&gt;0,'Debt to GDP Ratio'!B282, ""), "mm/dd/yyyy")</f>
        <v/>
      </c>
      <c r="B278" t="str">
        <f>IFERROR(IF(ISNUMBER('Debt to GDP Ratio'!D282),TEXT('Debt to GDP Ratio'!D282,"0.00"), ""), "")</f>
        <v/>
      </c>
      <c r="C278" t="str">
        <f>IFERROR(IF(ISNUMBER('Debt to GDP Ratio'!E282),TEXT('Debt to GDP Ratio'!E282,"0.00"), ""), "")</f>
        <v/>
      </c>
      <c r="D278" t="str">
        <f>IFERROR(IF(ISNUMBER('Debt to GDP Ratio'!B282),'Debt to GDP Ratio'!G282, ""), "")</f>
        <v/>
      </c>
    </row>
    <row r="279" spans="1:4">
      <c r="A279" t="str">
        <f>TEXT(IF('Debt to GDP Ratio'!B283&lt;&gt;0,'Debt to GDP Ratio'!B283, ""), "mm/dd/yyyy")</f>
        <v/>
      </c>
      <c r="B279" t="str">
        <f>IFERROR(IF(ISNUMBER('Debt to GDP Ratio'!D283),TEXT('Debt to GDP Ratio'!D283,"0.00"), ""), "")</f>
        <v/>
      </c>
      <c r="C279" t="str">
        <f>IFERROR(IF(ISNUMBER('Debt to GDP Ratio'!E283),TEXT('Debt to GDP Ratio'!E283,"0.00"), ""), "")</f>
        <v/>
      </c>
      <c r="D279" t="str">
        <f>IFERROR(IF(ISNUMBER('Debt to GDP Ratio'!B283),'Debt to GDP Ratio'!G283, ""), "")</f>
        <v/>
      </c>
    </row>
    <row r="280" spans="1:4">
      <c r="A280" t="str">
        <f>TEXT(IF('Debt to GDP Ratio'!B284&lt;&gt;0,'Debt to GDP Ratio'!B284, ""), "mm/dd/yyyy")</f>
        <v/>
      </c>
      <c r="B280" t="str">
        <f>IFERROR(IF(ISNUMBER('Debt to GDP Ratio'!D284),TEXT('Debt to GDP Ratio'!D284,"0.00"), ""), "")</f>
        <v/>
      </c>
      <c r="C280" t="str">
        <f>IFERROR(IF(ISNUMBER('Debt to GDP Ratio'!E284),TEXT('Debt to GDP Ratio'!E284,"0.00"), ""), "")</f>
        <v/>
      </c>
      <c r="D280" t="str">
        <f>IFERROR(IF(ISNUMBER('Debt to GDP Ratio'!B284),'Debt to GDP Ratio'!G284, ""), "")</f>
        <v/>
      </c>
    </row>
    <row r="281" spans="1:4">
      <c r="A281" t="str">
        <f>TEXT(IF('Debt to GDP Ratio'!B285&lt;&gt;0,'Debt to GDP Ratio'!B285, ""), "mm/dd/yyyy")</f>
        <v/>
      </c>
      <c r="B281" t="str">
        <f>IFERROR(IF(ISNUMBER('Debt to GDP Ratio'!D285),TEXT('Debt to GDP Ratio'!D285,"0.00"), ""), "")</f>
        <v/>
      </c>
      <c r="C281" t="str">
        <f>IFERROR(IF(ISNUMBER('Debt to GDP Ratio'!E285),TEXT('Debt to GDP Ratio'!E285,"0.00"), ""), "")</f>
        <v/>
      </c>
      <c r="D281" t="str">
        <f>IFERROR(IF(ISNUMBER('Debt to GDP Ratio'!B285),'Debt to GDP Ratio'!G285, ""), "")</f>
        <v/>
      </c>
    </row>
    <row r="282" spans="1:4">
      <c r="A282" t="str">
        <f>TEXT(IF('Debt to GDP Ratio'!B286&lt;&gt;0,'Debt to GDP Ratio'!B286, ""), "mm/dd/yyyy")</f>
        <v/>
      </c>
      <c r="B282" t="str">
        <f>IFERROR(IF(ISNUMBER('Debt to GDP Ratio'!D286),TEXT('Debt to GDP Ratio'!D286,"0.00"), ""), "")</f>
        <v/>
      </c>
      <c r="C282" t="str">
        <f>IFERROR(IF(ISNUMBER('Debt to GDP Ratio'!E286),TEXT('Debt to GDP Ratio'!E286,"0.00"), ""), "")</f>
        <v/>
      </c>
      <c r="D282" t="str">
        <f>IFERROR(IF(ISNUMBER('Debt to GDP Ratio'!B286),'Debt to GDP Ratio'!G286, ""), "")</f>
        <v/>
      </c>
    </row>
    <row r="283" spans="1:4">
      <c r="A283" t="str">
        <f>TEXT(IF('Debt to GDP Ratio'!B287&lt;&gt;0,'Debt to GDP Ratio'!B287, ""), "mm/dd/yyyy")</f>
        <v/>
      </c>
      <c r="B283" t="str">
        <f>IFERROR(IF(ISNUMBER('Debt to GDP Ratio'!D287),TEXT('Debt to GDP Ratio'!D287,"0.00"), ""), "")</f>
        <v/>
      </c>
      <c r="C283" t="str">
        <f>IFERROR(IF(ISNUMBER('Debt to GDP Ratio'!E287),TEXT('Debt to GDP Ratio'!E287,"0.00"), ""), "")</f>
        <v/>
      </c>
      <c r="D283" t="str">
        <f>IFERROR(IF(ISNUMBER('Debt to GDP Ratio'!B287),'Debt to GDP Ratio'!G287, ""), "")</f>
        <v/>
      </c>
    </row>
    <row r="284" spans="1:4">
      <c r="A284" t="str">
        <f>TEXT(IF('Debt to GDP Ratio'!B288&lt;&gt;0,'Debt to GDP Ratio'!B288, ""), "mm/dd/yyyy")</f>
        <v/>
      </c>
      <c r="B284" t="str">
        <f>IFERROR(IF(ISNUMBER('Debt to GDP Ratio'!D288),TEXT('Debt to GDP Ratio'!D288,"0.00"), ""), "")</f>
        <v/>
      </c>
      <c r="C284" t="str">
        <f>IFERROR(IF(ISNUMBER('Debt to GDP Ratio'!E288),TEXT('Debt to GDP Ratio'!E288,"0.00"), ""), "")</f>
        <v/>
      </c>
      <c r="D284" t="str">
        <f>IFERROR(IF(ISNUMBER('Debt to GDP Ratio'!B288),'Debt to GDP Ratio'!G288, ""), "")</f>
        <v/>
      </c>
    </row>
    <row r="285" spans="1:4">
      <c r="A285" t="str">
        <f>TEXT(IF('Debt to GDP Ratio'!B289&lt;&gt;0,'Debt to GDP Ratio'!B289, ""), "mm/dd/yyyy")</f>
        <v/>
      </c>
      <c r="B285" t="str">
        <f>IFERROR(IF(ISNUMBER('Debt to GDP Ratio'!D289),TEXT('Debt to GDP Ratio'!D289,"0.00"), ""), "")</f>
        <v/>
      </c>
      <c r="C285" t="str">
        <f>IFERROR(IF(ISNUMBER('Debt to GDP Ratio'!E289),TEXT('Debt to GDP Ratio'!E289,"0.00"), ""), "")</f>
        <v/>
      </c>
      <c r="D285" t="str">
        <f>IFERROR(IF(ISNUMBER('Debt to GDP Ratio'!B289),'Debt to GDP Ratio'!G289, ""), "")</f>
        <v/>
      </c>
    </row>
    <row r="286" spans="1:4">
      <c r="A286" t="str">
        <f>TEXT(IF('Debt to GDP Ratio'!B290&lt;&gt;0,'Debt to GDP Ratio'!B290, ""), "mm/dd/yyyy")</f>
        <v/>
      </c>
      <c r="B286" t="str">
        <f>IFERROR(IF(ISNUMBER('Debt to GDP Ratio'!D290),TEXT('Debt to GDP Ratio'!D290,"0.00"), ""), "")</f>
        <v/>
      </c>
      <c r="C286" t="str">
        <f>IFERROR(IF(ISNUMBER('Debt to GDP Ratio'!E290),TEXT('Debt to GDP Ratio'!E290,"0.00"), ""), "")</f>
        <v/>
      </c>
      <c r="D286" t="str">
        <f>IFERROR(IF(ISNUMBER('Debt to GDP Ratio'!B290),'Debt to GDP Ratio'!G290, ""), "")</f>
        <v/>
      </c>
    </row>
    <row r="287" spans="1:4">
      <c r="A287" t="str">
        <f>TEXT(IF('Debt to GDP Ratio'!B291&lt;&gt;0,'Debt to GDP Ratio'!B291, ""), "mm/dd/yyyy")</f>
        <v/>
      </c>
      <c r="B287" t="str">
        <f>IFERROR(IF(ISNUMBER('Debt to GDP Ratio'!D291),TEXT('Debt to GDP Ratio'!D291,"0.00"), ""), "")</f>
        <v/>
      </c>
      <c r="C287" t="str">
        <f>IFERROR(IF(ISNUMBER('Debt to GDP Ratio'!E291),TEXT('Debt to GDP Ratio'!E291,"0.00"), ""), "")</f>
        <v/>
      </c>
      <c r="D287" t="str">
        <f>IFERROR(IF(ISNUMBER('Debt to GDP Ratio'!B291),'Debt to GDP Ratio'!G291, ""), "")</f>
        <v/>
      </c>
    </row>
    <row r="288" spans="1:4">
      <c r="A288" t="str">
        <f>TEXT(IF('Debt to GDP Ratio'!B292&lt;&gt;0,'Debt to GDP Ratio'!B292, ""), "mm/dd/yyyy")</f>
        <v/>
      </c>
      <c r="B288" t="str">
        <f>IFERROR(IF(ISNUMBER('Debt to GDP Ratio'!D292),TEXT('Debt to GDP Ratio'!D292,"0.00"), ""), "")</f>
        <v/>
      </c>
      <c r="C288" t="str">
        <f>IFERROR(IF(ISNUMBER('Debt to GDP Ratio'!E292),TEXT('Debt to GDP Ratio'!E292,"0.00"), ""), "")</f>
        <v/>
      </c>
      <c r="D288" t="str">
        <f>IFERROR(IF(ISNUMBER('Debt to GDP Ratio'!B292),'Debt to GDP Ratio'!G292, ""), "")</f>
        <v/>
      </c>
    </row>
    <row r="289" spans="1:4">
      <c r="A289" t="str">
        <f>TEXT(IF('Debt to GDP Ratio'!B293&lt;&gt;0,'Debt to GDP Ratio'!B293, ""), "mm/dd/yyyy")</f>
        <v/>
      </c>
      <c r="B289" t="str">
        <f>IFERROR(IF(ISNUMBER('Debt to GDP Ratio'!D293),TEXT('Debt to GDP Ratio'!D293,"0.00"), ""), "")</f>
        <v/>
      </c>
      <c r="C289" t="str">
        <f>IFERROR(IF(ISNUMBER('Debt to GDP Ratio'!E293),TEXT('Debt to GDP Ratio'!E293,"0.00"), ""), "")</f>
        <v/>
      </c>
      <c r="D289" t="str">
        <f>IFERROR(IF(ISNUMBER('Debt to GDP Ratio'!B293),'Debt to GDP Ratio'!G293, ""), "")</f>
        <v/>
      </c>
    </row>
    <row r="290" spans="1:4">
      <c r="A290" t="str">
        <f>TEXT(IF('Debt to GDP Ratio'!B294&lt;&gt;0,'Debt to GDP Ratio'!B294, ""), "mm/dd/yyyy")</f>
        <v/>
      </c>
      <c r="B290" t="str">
        <f>IFERROR(IF(ISNUMBER('Debt to GDP Ratio'!D294),TEXT('Debt to GDP Ratio'!D294,"0.00"), ""), "")</f>
        <v/>
      </c>
      <c r="C290" t="str">
        <f>IFERROR(IF(ISNUMBER('Debt to GDP Ratio'!E294),TEXT('Debt to GDP Ratio'!E294,"0.00"), ""), "")</f>
        <v/>
      </c>
      <c r="D290" t="str">
        <f>IFERROR(IF(ISNUMBER('Debt to GDP Ratio'!B294),'Debt to GDP Ratio'!G294, ""), "")</f>
        <v/>
      </c>
    </row>
    <row r="291" spans="1:4">
      <c r="A291" t="str">
        <f>TEXT(IF('Debt to GDP Ratio'!B295&lt;&gt;0,'Debt to GDP Ratio'!B295, ""), "mm/dd/yyyy")</f>
        <v/>
      </c>
      <c r="B291" t="str">
        <f>IFERROR(IF(ISNUMBER('Debt to GDP Ratio'!D295),TEXT('Debt to GDP Ratio'!D295,"0.00"), ""), "")</f>
        <v/>
      </c>
      <c r="C291" t="str">
        <f>IFERROR(IF(ISNUMBER('Debt to GDP Ratio'!E295),TEXT('Debt to GDP Ratio'!E295,"0.00"), ""), "")</f>
        <v/>
      </c>
      <c r="D291" t="str">
        <f>IFERROR(IF(ISNUMBER('Debt to GDP Ratio'!B295),'Debt to GDP Ratio'!G295, ""), "")</f>
        <v/>
      </c>
    </row>
    <row r="292" spans="1:4">
      <c r="A292" t="str">
        <f>TEXT(IF('Debt to GDP Ratio'!B296&lt;&gt;0,'Debt to GDP Ratio'!B296, ""), "mm/dd/yyyy")</f>
        <v/>
      </c>
      <c r="B292" t="str">
        <f>IFERROR(IF(ISNUMBER('Debt to GDP Ratio'!D296),TEXT('Debt to GDP Ratio'!D296,"0.00"), ""), "")</f>
        <v/>
      </c>
      <c r="C292" t="str">
        <f>IFERROR(IF(ISNUMBER('Debt to GDP Ratio'!E296),TEXT('Debt to GDP Ratio'!E296,"0.00"), ""), "")</f>
        <v/>
      </c>
      <c r="D292" t="str">
        <f>IFERROR(IF(ISNUMBER('Debt to GDP Ratio'!B296),'Debt to GDP Ratio'!G296, ""), "")</f>
        <v/>
      </c>
    </row>
    <row r="293" spans="1:4">
      <c r="A293" t="str">
        <f>TEXT(IF('Debt to GDP Ratio'!B297&lt;&gt;0,'Debt to GDP Ratio'!B297, ""), "mm/dd/yyyy")</f>
        <v/>
      </c>
      <c r="B293" t="str">
        <f>IFERROR(IF(ISNUMBER('Debt to GDP Ratio'!D297),TEXT('Debt to GDP Ratio'!D297,"0.00"), ""), "")</f>
        <v/>
      </c>
      <c r="C293" t="str">
        <f>IFERROR(IF(ISNUMBER('Debt to GDP Ratio'!E297),TEXT('Debt to GDP Ratio'!E297,"0.00"), ""), "")</f>
        <v/>
      </c>
      <c r="D293" t="str">
        <f>IFERROR(IF(ISNUMBER('Debt to GDP Ratio'!B297),'Debt to GDP Ratio'!G297, ""), "")</f>
        <v/>
      </c>
    </row>
    <row r="294" spans="1:4">
      <c r="A294" t="str">
        <f>TEXT(IF('Debt to GDP Ratio'!B298&lt;&gt;0,'Debt to GDP Ratio'!B298, ""), "mm/dd/yyyy")</f>
        <v/>
      </c>
      <c r="B294" t="str">
        <f>IFERROR(IF(ISNUMBER('Debt to GDP Ratio'!D298),TEXT('Debt to GDP Ratio'!D298,"0.00"), ""), "")</f>
        <v/>
      </c>
      <c r="C294" t="str">
        <f>IFERROR(IF(ISNUMBER('Debt to GDP Ratio'!E298),TEXT('Debt to GDP Ratio'!E298,"0.00"), ""), "")</f>
        <v/>
      </c>
      <c r="D294" t="str">
        <f>IFERROR(IF(ISNUMBER('Debt to GDP Ratio'!B298),'Debt to GDP Ratio'!G298, ""), "")</f>
        <v/>
      </c>
    </row>
    <row r="295" spans="1:4">
      <c r="A295" t="str">
        <f>TEXT(IF('Debt to GDP Ratio'!B299&lt;&gt;0,'Debt to GDP Ratio'!B299, ""), "mm/dd/yyyy")</f>
        <v/>
      </c>
      <c r="B295" t="str">
        <f>IFERROR(IF(ISNUMBER('Debt to GDP Ratio'!D299),TEXT('Debt to GDP Ratio'!D299,"0.00"), ""), "")</f>
        <v/>
      </c>
      <c r="C295" t="str">
        <f>IFERROR(IF(ISNUMBER('Debt to GDP Ratio'!E299),TEXT('Debt to GDP Ratio'!E299,"0.00"), ""), "")</f>
        <v/>
      </c>
      <c r="D295" t="str">
        <f>IFERROR(IF(ISNUMBER('Debt to GDP Ratio'!B299),'Debt to GDP Ratio'!G299, ""), "")</f>
        <v/>
      </c>
    </row>
    <row r="296" spans="1:4">
      <c r="A296" t="str">
        <f>TEXT(IF('Debt to GDP Ratio'!B300&lt;&gt;0,'Debt to GDP Ratio'!B300, ""), "mm/dd/yyyy")</f>
        <v/>
      </c>
      <c r="B296" t="str">
        <f>IFERROR(IF(ISNUMBER('Debt to GDP Ratio'!D300),TEXT('Debt to GDP Ratio'!D300,"0.00"), ""), "")</f>
        <v/>
      </c>
      <c r="C296" t="str">
        <f>IFERROR(IF(ISNUMBER('Debt to GDP Ratio'!E300),TEXT('Debt to GDP Ratio'!E300,"0.00"), ""), "")</f>
        <v/>
      </c>
      <c r="D296" t="str">
        <f>IFERROR(IF(ISNUMBER('Debt to GDP Ratio'!B300),'Debt to GDP Ratio'!G300, ""), "")</f>
        <v/>
      </c>
    </row>
    <row r="297" spans="1:4">
      <c r="A297" t="str">
        <f>TEXT(IF('Debt to GDP Ratio'!B301&lt;&gt;0,'Debt to GDP Ratio'!B301, ""), "mm/dd/yyyy")</f>
        <v/>
      </c>
      <c r="B297" t="str">
        <f>IFERROR(IF(ISNUMBER('Debt to GDP Ratio'!D301),TEXT('Debt to GDP Ratio'!D301,"0.00"), ""), "")</f>
        <v/>
      </c>
      <c r="C297" t="str">
        <f>IFERROR(IF(ISNUMBER('Debt to GDP Ratio'!E301),TEXT('Debt to GDP Ratio'!E301,"0.00"), ""), "")</f>
        <v/>
      </c>
      <c r="D297" t="str">
        <f>IFERROR(IF(ISNUMBER('Debt to GDP Ratio'!B301),'Debt to GDP Ratio'!G301, ""), "")</f>
        <v/>
      </c>
    </row>
    <row r="298" spans="1:4">
      <c r="A298" t="str">
        <f>TEXT(IF('Debt to GDP Ratio'!B302&lt;&gt;0,'Debt to GDP Ratio'!B302, ""), "mm/dd/yyyy")</f>
        <v/>
      </c>
      <c r="B298" t="str">
        <f>IFERROR(IF(ISNUMBER('Debt to GDP Ratio'!D302),TEXT('Debt to GDP Ratio'!D302,"0.00"), ""), "")</f>
        <v/>
      </c>
      <c r="C298" t="str">
        <f>IFERROR(IF(ISNUMBER('Debt to GDP Ratio'!E302),TEXT('Debt to GDP Ratio'!E302,"0.00"), ""), "")</f>
        <v/>
      </c>
      <c r="D298" t="str">
        <f>IFERROR(IF(ISNUMBER('Debt to GDP Ratio'!B302),'Debt to GDP Ratio'!G302, ""), "")</f>
        <v/>
      </c>
    </row>
    <row r="299" spans="1:4">
      <c r="A299" t="str">
        <f>TEXT(IF('Debt to GDP Ratio'!B303&lt;&gt;0,'Debt to GDP Ratio'!B303, ""), "mm/dd/yyyy")</f>
        <v/>
      </c>
      <c r="B299" t="str">
        <f>IFERROR(IF(ISNUMBER('Debt to GDP Ratio'!D303),TEXT('Debt to GDP Ratio'!D303,"0.00"), ""), "")</f>
        <v/>
      </c>
      <c r="C299" t="str">
        <f>IFERROR(IF(ISNUMBER('Debt to GDP Ratio'!E303),TEXT('Debt to GDP Ratio'!E303,"0.00"), ""), "")</f>
        <v/>
      </c>
      <c r="D299" t="str">
        <f>IFERROR(IF(ISNUMBER('Debt to GDP Ratio'!B303),'Debt to GDP Ratio'!G303, ""), "")</f>
        <v/>
      </c>
    </row>
    <row r="300" spans="1:4">
      <c r="A300" t="str">
        <f>TEXT(IF('Debt to GDP Ratio'!B304&lt;&gt;0,'Debt to GDP Ratio'!B304, ""), "mm/dd/yyyy")</f>
        <v/>
      </c>
      <c r="B300" t="str">
        <f>IFERROR(IF(ISNUMBER('Debt to GDP Ratio'!D304),TEXT('Debt to GDP Ratio'!D304,"0.00"), ""), "")</f>
        <v/>
      </c>
      <c r="C300" t="str">
        <f>IFERROR(IF(ISNUMBER('Debt to GDP Ratio'!E304),TEXT('Debt to GDP Ratio'!E304,"0.00"), ""), "")</f>
        <v/>
      </c>
      <c r="D300" t="str">
        <f>IFERROR(IF(ISNUMBER('Debt to GDP Ratio'!B304),'Debt to GDP Ratio'!G304, ""), "")</f>
        <v/>
      </c>
    </row>
    <row r="301" spans="1:4">
      <c r="A301" t="str">
        <f>TEXT(IF('Debt to GDP Ratio'!B305&lt;&gt;0,'Debt to GDP Ratio'!B305, ""), "mm/dd/yyyy")</f>
        <v/>
      </c>
      <c r="B301" t="str">
        <f>IFERROR(IF(ISNUMBER('Debt to GDP Ratio'!D305),TEXT('Debt to GDP Ratio'!D305,"0.00"), ""), "")</f>
        <v/>
      </c>
      <c r="C301" t="str">
        <f>IFERROR(IF(ISNUMBER('Debt to GDP Ratio'!E305),TEXT('Debt to GDP Ratio'!E305,"0.00"), ""), "")</f>
        <v/>
      </c>
      <c r="D301" t="str">
        <f>IFERROR(IF(ISNUMBER('Debt to GDP Ratio'!B305),'Debt to GDP Ratio'!G305, ""), "")</f>
        <v/>
      </c>
    </row>
    <row r="302" spans="1:4">
      <c r="A302" t="str">
        <f>TEXT(IF('Debt to GDP Ratio'!B306&lt;&gt;0,'Debt to GDP Ratio'!B306, ""), "mm/dd/yyyy")</f>
        <v/>
      </c>
      <c r="B302" t="str">
        <f>IFERROR(IF(ISNUMBER('Debt to GDP Ratio'!D306),TEXT('Debt to GDP Ratio'!D306,"0.00"), ""), "")</f>
        <v/>
      </c>
      <c r="C302" t="str">
        <f>IFERROR(IF(ISNUMBER('Debt to GDP Ratio'!E306),TEXT('Debt to GDP Ratio'!E306,"0.00"), ""), "")</f>
        <v/>
      </c>
      <c r="D302" t="str">
        <f>IFERROR(IF(ISNUMBER('Debt to GDP Ratio'!B306),'Debt to GDP Ratio'!G306, ""), "")</f>
        <v/>
      </c>
    </row>
    <row r="303" spans="1:4">
      <c r="A303" t="str">
        <f>TEXT(IF('Debt to GDP Ratio'!B307&lt;&gt;0,'Debt to GDP Ratio'!B307, ""), "mm/dd/yyyy")</f>
        <v/>
      </c>
      <c r="B303" t="str">
        <f>IFERROR(IF(ISNUMBER('Debt to GDP Ratio'!D307),TEXT('Debt to GDP Ratio'!D307,"0.00"), ""), "")</f>
        <v/>
      </c>
      <c r="C303" t="str">
        <f>IFERROR(IF(ISNUMBER('Debt to GDP Ratio'!E307),TEXT('Debt to GDP Ratio'!E307,"0.00"), ""), "")</f>
        <v/>
      </c>
      <c r="D303" t="str">
        <f>IFERROR(IF(ISNUMBER('Debt to GDP Ratio'!B307),'Debt to GDP Ratio'!G307, ""), "")</f>
        <v/>
      </c>
    </row>
    <row r="304" spans="1:4">
      <c r="A304" t="str">
        <f>TEXT(IF('Debt to GDP Ratio'!B308&lt;&gt;0,'Debt to GDP Ratio'!B308, ""), "mm/dd/yyyy")</f>
        <v/>
      </c>
      <c r="B304" t="str">
        <f>IFERROR(IF(ISNUMBER('Debt to GDP Ratio'!D308),TEXT('Debt to GDP Ratio'!D308,"0.00"), ""), "")</f>
        <v/>
      </c>
      <c r="C304" t="str">
        <f>IFERROR(IF(ISNUMBER('Debt to GDP Ratio'!E308),TEXT('Debt to GDP Ratio'!E308,"0.00"), ""), "")</f>
        <v/>
      </c>
      <c r="D304" t="str">
        <f>IFERROR(IF(ISNUMBER('Debt to GDP Ratio'!B308),'Debt to GDP Ratio'!G308, ""), "")</f>
        <v/>
      </c>
    </row>
    <row r="305" spans="1:4">
      <c r="A305" t="str">
        <f>TEXT(IF('Debt to GDP Ratio'!B309&lt;&gt;0,'Debt to GDP Ratio'!B309, ""), "mm/dd/yyyy")</f>
        <v/>
      </c>
      <c r="B305" t="str">
        <f>IFERROR(IF(ISNUMBER('Debt to GDP Ratio'!D309),TEXT('Debt to GDP Ratio'!D309,"0.00"), ""), "")</f>
        <v/>
      </c>
      <c r="C305" t="str">
        <f>IFERROR(IF(ISNUMBER('Debt to GDP Ratio'!E309),TEXT('Debt to GDP Ratio'!E309,"0.00"), ""), "")</f>
        <v/>
      </c>
      <c r="D305" t="str">
        <f>IFERROR(IF(ISNUMBER('Debt to GDP Ratio'!B309),'Debt to GDP Ratio'!G309, ""), "")</f>
        <v/>
      </c>
    </row>
    <row r="306" spans="1:4">
      <c r="A306" t="str">
        <f>TEXT(IF('Debt to GDP Ratio'!B310&lt;&gt;0,'Debt to GDP Ratio'!B310, ""), "mm/dd/yyyy")</f>
        <v/>
      </c>
      <c r="B306" t="str">
        <f>IFERROR(IF(ISNUMBER('Debt to GDP Ratio'!D310),TEXT('Debt to GDP Ratio'!D310,"0.00"), ""), "")</f>
        <v/>
      </c>
      <c r="C306" t="str">
        <f>IFERROR(IF(ISNUMBER('Debt to GDP Ratio'!E310),TEXT('Debt to GDP Ratio'!E310,"0.00"), ""), "")</f>
        <v/>
      </c>
      <c r="D306" t="str">
        <f>IFERROR(IF(ISNUMBER('Debt to GDP Ratio'!B310),'Debt to GDP Ratio'!G310, ""), "")</f>
        <v/>
      </c>
    </row>
    <row r="307" spans="1:4">
      <c r="A307" t="str">
        <f>TEXT(IF('Debt to GDP Ratio'!B311&lt;&gt;0,'Debt to GDP Ratio'!B311, ""), "mm/dd/yyyy")</f>
        <v/>
      </c>
      <c r="B307" t="str">
        <f>IFERROR(IF(ISNUMBER('Debt to GDP Ratio'!D311),TEXT('Debt to GDP Ratio'!D311,"0.00"), ""), "")</f>
        <v/>
      </c>
      <c r="C307" t="str">
        <f>IFERROR(IF(ISNUMBER('Debt to GDP Ratio'!E311),TEXT('Debt to GDP Ratio'!E311,"0.00"), ""), "")</f>
        <v/>
      </c>
      <c r="D307" t="str">
        <f>IFERROR(IF(ISNUMBER('Debt to GDP Ratio'!B311),'Debt to GDP Ratio'!G311, ""), "")</f>
        <v/>
      </c>
    </row>
    <row r="308" spans="1:4">
      <c r="A308" t="str">
        <f>TEXT(IF('Debt to GDP Ratio'!B312&lt;&gt;0,'Debt to GDP Ratio'!B312, ""), "mm/dd/yyyy")</f>
        <v/>
      </c>
      <c r="B308" t="str">
        <f>IFERROR(IF(ISNUMBER('Debt to GDP Ratio'!D312),TEXT('Debt to GDP Ratio'!D312,"0.00"), ""), "")</f>
        <v/>
      </c>
      <c r="C308" t="str">
        <f>IFERROR(IF(ISNUMBER('Debt to GDP Ratio'!E312),TEXT('Debt to GDP Ratio'!E312,"0.00"), ""), "")</f>
        <v/>
      </c>
      <c r="D308" t="str">
        <f>IFERROR(IF(ISNUMBER('Debt to GDP Ratio'!B312),'Debt to GDP Ratio'!G312, ""), "")</f>
        <v/>
      </c>
    </row>
    <row r="309" spans="1:4">
      <c r="A309" t="str">
        <f>TEXT(IF('Debt to GDP Ratio'!B313&lt;&gt;0,'Debt to GDP Ratio'!B313, ""), "mm/dd/yyyy")</f>
        <v/>
      </c>
      <c r="B309" t="str">
        <f>IFERROR(IF(ISNUMBER('Debt to GDP Ratio'!D313),TEXT('Debt to GDP Ratio'!D313,"0.00"), ""), "")</f>
        <v/>
      </c>
      <c r="C309" t="str">
        <f>IFERROR(IF(ISNUMBER('Debt to GDP Ratio'!E313),TEXT('Debt to GDP Ratio'!E313,"0.00"), ""), "")</f>
        <v/>
      </c>
      <c r="D309" t="str">
        <f>IFERROR(IF(ISNUMBER('Debt to GDP Ratio'!B313),'Debt to GDP Ratio'!G313, ""), "")</f>
        <v/>
      </c>
    </row>
    <row r="310" spans="1:4">
      <c r="A310" t="str">
        <f>TEXT(IF('Debt to GDP Ratio'!B314&lt;&gt;0,'Debt to GDP Ratio'!B314, ""), "mm/dd/yyyy")</f>
        <v/>
      </c>
      <c r="B310" t="str">
        <f>IFERROR(IF(ISNUMBER('Debt to GDP Ratio'!D314),TEXT('Debt to GDP Ratio'!D314,"0.00"), ""), "")</f>
        <v/>
      </c>
      <c r="C310" t="str">
        <f>IFERROR(IF(ISNUMBER('Debt to GDP Ratio'!E314),TEXT('Debt to GDP Ratio'!E314,"0.00"), ""), "")</f>
        <v/>
      </c>
      <c r="D310" t="str">
        <f>IFERROR(IF(ISNUMBER('Debt to GDP Ratio'!B314),'Debt to GDP Ratio'!G314, ""), "")</f>
        <v/>
      </c>
    </row>
    <row r="311" spans="1:4">
      <c r="A311" t="str">
        <f>TEXT(IF('Debt to GDP Ratio'!B315&lt;&gt;0,'Debt to GDP Ratio'!B315, ""), "mm/dd/yyyy")</f>
        <v/>
      </c>
      <c r="B311" t="str">
        <f>IFERROR(IF(ISNUMBER('Debt to GDP Ratio'!D315),TEXT('Debt to GDP Ratio'!D315,"0.00"), ""), "")</f>
        <v/>
      </c>
      <c r="C311" t="str">
        <f>IFERROR(IF(ISNUMBER('Debt to GDP Ratio'!E315),TEXT('Debt to GDP Ratio'!E315,"0.00"), ""), "")</f>
        <v/>
      </c>
      <c r="D311" t="str">
        <f>IFERROR(IF(ISNUMBER('Debt to GDP Ratio'!B315),'Debt to GDP Ratio'!G315, ""), "")</f>
        <v/>
      </c>
    </row>
    <row r="312" spans="1:4">
      <c r="A312" t="str">
        <f>TEXT(IF('Debt to GDP Ratio'!B316&lt;&gt;0,'Debt to GDP Ratio'!B316, ""), "mm/dd/yyyy")</f>
        <v/>
      </c>
      <c r="B312" t="str">
        <f>IFERROR(IF(ISNUMBER('Debt to GDP Ratio'!D316),TEXT('Debt to GDP Ratio'!D316,"0.00"), ""), "")</f>
        <v/>
      </c>
      <c r="C312" t="str">
        <f>IFERROR(IF(ISNUMBER('Debt to GDP Ratio'!E316),TEXT('Debt to GDP Ratio'!E316,"0.00"), ""), "")</f>
        <v/>
      </c>
      <c r="D312" t="str">
        <f>IFERROR(IF(ISNUMBER('Debt to GDP Ratio'!B316),'Debt to GDP Ratio'!G316, ""), "")</f>
        <v/>
      </c>
    </row>
    <row r="313" spans="1:4">
      <c r="A313" t="str">
        <f>TEXT(IF('Debt to GDP Ratio'!B317&lt;&gt;0,'Debt to GDP Ratio'!B317, ""), "mm/dd/yyyy")</f>
        <v/>
      </c>
      <c r="B313" t="str">
        <f>IFERROR(IF(ISNUMBER('Debt to GDP Ratio'!D317),TEXT('Debt to GDP Ratio'!D317,"0.00"), ""), "")</f>
        <v/>
      </c>
      <c r="C313" t="str">
        <f>IFERROR(IF(ISNUMBER('Debt to GDP Ratio'!E317),TEXT('Debt to GDP Ratio'!E317,"0.00"), ""), "")</f>
        <v/>
      </c>
      <c r="D313" t="str">
        <f>IFERROR(IF(ISNUMBER('Debt to GDP Ratio'!B317),'Debt to GDP Ratio'!G317, ""), "")</f>
        <v/>
      </c>
    </row>
    <row r="314" spans="1:4">
      <c r="A314" t="str">
        <f>TEXT(IF('Debt to GDP Ratio'!B318&lt;&gt;0,'Debt to GDP Ratio'!B318, ""), "mm/dd/yyyy")</f>
        <v/>
      </c>
      <c r="B314" t="str">
        <f>IFERROR(IF(ISNUMBER('Debt to GDP Ratio'!D318),TEXT('Debt to GDP Ratio'!D318,"0.00"), ""), "")</f>
        <v/>
      </c>
      <c r="C314" t="str">
        <f>IFERROR(IF(ISNUMBER('Debt to GDP Ratio'!E318),TEXT('Debt to GDP Ratio'!E318,"0.00"), ""), "")</f>
        <v/>
      </c>
      <c r="D314" t="str">
        <f>IFERROR(IF(ISNUMBER('Debt to GDP Ratio'!B318),'Debt to GDP Ratio'!G318, ""), "")</f>
        <v/>
      </c>
    </row>
    <row r="315" spans="1:4">
      <c r="A315" t="str">
        <f>TEXT(IF('Debt to GDP Ratio'!B319&lt;&gt;0,'Debt to GDP Ratio'!B319, ""), "mm/dd/yyyy")</f>
        <v/>
      </c>
      <c r="B315" t="str">
        <f>IFERROR(IF(ISNUMBER('Debt to GDP Ratio'!D319),TEXT('Debt to GDP Ratio'!D319,"0.00"), ""), "")</f>
        <v/>
      </c>
      <c r="C315" t="str">
        <f>IFERROR(IF(ISNUMBER('Debt to GDP Ratio'!E319),TEXT('Debt to GDP Ratio'!E319,"0.00"), ""), "")</f>
        <v/>
      </c>
      <c r="D315" t="str">
        <f>IFERROR(IF(ISNUMBER('Debt to GDP Ratio'!B319),'Debt to GDP Ratio'!G319, ""), "")</f>
        <v/>
      </c>
    </row>
    <row r="316" spans="1:4">
      <c r="A316" t="str">
        <f>TEXT(IF('Debt to GDP Ratio'!B320&lt;&gt;0,'Debt to GDP Ratio'!B320, ""), "mm/dd/yyyy")</f>
        <v/>
      </c>
      <c r="B316" t="str">
        <f>IFERROR(IF(ISNUMBER('Debt to GDP Ratio'!D320),TEXT('Debt to GDP Ratio'!D320,"0.00"), ""), "")</f>
        <v/>
      </c>
      <c r="C316" t="str">
        <f>IFERROR(IF(ISNUMBER('Debt to GDP Ratio'!E320),TEXT('Debt to GDP Ratio'!E320,"0.00"), ""), "")</f>
        <v/>
      </c>
      <c r="D316" t="str">
        <f>IFERROR(IF(ISNUMBER('Debt to GDP Ratio'!B320),'Debt to GDP Ratio'!G320, ""), "")</f>
        <v/>
      </c>
    </row>
    <row r="317" spans="1:4">
      <c r="A317" t="str">
        <f>TEXT(IF('Debt to GDP Ratio'!B321&lt;&gt;0,'Debt to GDP Ratio'!B321, ""), "mm/dd/yyyy")</f>
        <v/>
      </c>
      <c r="B317" t="str">
        <f>IFERROR(IF(ISNUMBER('Debt to GDP Ratio'!D321),TEXT('Debt to GDP Ratio'!D321,"0.00"), ""), "")</f>
        <v/>
      </c>
      <c r="C317" t="str">
        <f>IFERROR(IF(ISNUMBER('Debt to GDP Ratio'!E321),TEXT('Debt to GDP Ratio'!E321,"0.00"), ""), "")</f>
        <v/>
      </c>
      <c r="D317" t="str">
        <f>IFERROR(IF(ISNUMBER('Debt to GDP Ratio'!B321),'Debt to GDP Ratio'!G321, ""), "")</f>
        <v/>
      </c>
    </row>
    <row r="318" spans="1:4">
      <c r="A318" t="str">
        <f>TEXT(IF('Debt to GDP Ratio'!B322&lt;&gt;0,'Debt to GDP Ratio'!B322, ""), "mm/dd/yyyy")</f>
        <v/>
      </c>
      <c r="B318" t="str">
        <f>IFERROR(IF(ISNUMBER('Debt to GDP Ratio'!D322),TEXT('Debt to GDP Ratio'!D322,"0.00"), ""), "")</f>
        <v/>
      </c>
      <c r="C318" t="str">
        <f>IFERROR(IF(ISNUMBER('Debt to GDP Ratio'!E322),TEXT('Debt to GDP Ratio'!E322,"0.00"), ""), "")</f>
        <v/>
      </c>
      <c r="D318" t="str">
        <f>IFERROR(IF(ISNUMBER('Debt to GDP Ratio'!B322),'Debt to GDP Ratio'!G322, ""), "")</f>
        <v/>
      </c>
    </row>
    <row r="319" spans="1:4">
      <c r="A319" t="str">
        <f>TEXT(IF('Debt to GDP Ratio'!B323&lt;&gt;0,'Debt to GDP Ratio'!B323, ""), "mm/dd/yyyy")</f>
        <v/>
      </c>
      <c r="B319" t="str">
        <f>IFERROR(IF(ISNUMBER('Debt to GDP Ratio'!D323),TEXT('Debt to GDP Ratio'!D323,"0.00"), ""), "")</f>
        <v/>
      </c>
      <c r="C319" t="str">
        <f>IFERROR(IF(ISNUMBER('Debt to GDP Ratio'!E323),TEXT('Debt to GDP Ratio'!E323,"0.00"), ""), "")</f>
        <v/>
      </c>
      <c r="D319" t="str">
        <f>IFERROR(IF(ISNUMBER('Debt to GDP Ratio'!B323),'Debt to GDP Ratio'!G323, ""), "")</f>
        <v/>
      </c>
    </row>
    <row r="320" spans="1:4">
      <c r="A320" t="str">
        <f>TEXT(IF('Debt to GDP Ratio'!B324&lt;&gt;0,'Debt to GDP Ratio'!B324, ""), "mm/dd/yyyy")</f>
        <v/>
      </c>
      <c r="B320" t="str">
        <f>IFERROR(IF(ISNUMBER('Debt to GDP Ratio'!D324),TEXT('Debt to GDP Ratio'!D324,"0.00"), ""), "")</f>
        <v/>
      </c>
      <c r="C320" t="str">
        <f>IFERROR(IF(ISNUMBER('Debt to GDP Ratio'!E324),TEXT('Debt to GDP Ratio'!E324,"0.00"), ""), "")</f>
        <v/>
      </c>
      <c r="D320" t="str">
        <f>IFERROR(IF(ISNUMBER('Debt to GDP Ratio'!B324),'Debt to GDP Ratio'!G324, ""), "")</f>
        <v/>
      </c>
    </row>
    <row r="321" spans="1:4">
      <c r="A321" t="str">
        <f>TEXT(IF('Debt to GDP Ratio'!B325&lt;&gt;0,'Debt to GDP Ratio'!B325, ""), "mm/dd/yyyy")</f>
        <v/>
      </c>
      <c r="B321" t="str">
        <f>IFERROR(IF(ISNUMBER('Debt to GDP Ratio'!D325),TEXT('Debt to GDP Ratio'!D325,"0.00"), ""), "")</f>
        <v/>
      </c>
      <c r="C321" t="str">
        <f>IFERROR(IF(ISNUMBER('Debt to GDP Ratio'!E325),TEXT('Debt to GDP Ratio'!E325,"0.00"), ""), "")</f>
        <v/>
      </c>
      <c r="D321" t="str">
        <f>IFERROR(IF(ISNUMBER('Debt to GDP Ratio'!B325),'Debt to GDP Ratio'!G325, ""), "")</f>
        <v/>
      </c>
    </row>
    <row r="322" spans="1:4">
      <c r="A322" t="str">
        <f>TEXT(IF('Debt to GDP Ratio'!B326&lt;&gt;0,'Debt to GDP Ratio'!B326, ""), "mm/dd/yyyy")</f>
        <v/>
      </c>
      <c r="B322" t="str">
        <f>IFERROR(IF(ISNUMBER('Debt to GDP Ratio'!D326),TEXT('Debt to GDP Ratio'!D326,"0.00"), ""), "")</f>
        <v/>
      </c>
      <c r="C322" t="str">
        <f>IFERROR(IF(ISNUMBER('Debt to GDP Ratio'!E326),TEXT('Debt to GDP Ratio'!E326,"0.00"), ""), "")</f>
        <v/>
      </c>
      <c r="D322" t="str">
        <f>IFERROR(IF(ISNUMBER('Debt to GDP Ratio'!B326),'Debt to GDP Ratio'!G326, ""), "")</f>
        <v/>
      </c>
    </row>
    <row r="323" spans="1:4">
      <c r="A323" t="str">
        <f>TEXT(IF('Debt to GDP Ratio'!B327&lt;&gt;0,'Debt to GDP Ratio'!B327, ""), "mm/dd/yyyy")</f>
        <v/>
      </c>
      <c r="B323" t="str">
        <f>IFERROR(IF(ISNUMBER('Debt to GDP Ratio'!D327),TEXT('Debt to GDP Ratio'!D327,"0.00"), ""), "")</f>
        <v/>
      </c>
      <c r="C323" t="str">
        <f>IFERROR(IF(ISNUMBER('Debt to GDP Ratio'!E327),TEXT('Debt to GDP Ratio'!E327,"0.00"), ""), "")</f>
        <v/>
      </c>
      <c r="D323" t="str">
        <f>IFERROR(IF(ISNUMBER('Debt to GDP Ratio'!B327),'Debt to GDP Ratio'!G327, ""), "")</f>
        <v/>
      </c>
    </row>
    <row r="324" spans="1:4">
      <c r="A324" t="str">
        <f>TEXT(IF('Debt to GDP Ratio'!B328&lt;&gt;0,'Debt to GDP Ratio'!B328, ""), "mm/dd/yyyy")</f>
        <v/>
      </c>
      <c r="B324" t="str">
        <f>IFERROR(IF(ISNUMBER('Debt to GDP Ratio'!D328),TEXT('Debt to GDP Ratio'!D328,"0.00"), ""), "")</f>
        <v/>
      </c>
      <c r="C324" t="str">
        <f>IFERROR(IF(ISNUMBER('Debt to GDP Ratio'!E328),TEXT('Debt to GDP Ratio'!E328,"0.00"), ""), "")</f>
        <v/>
      </c>
      <c r="D324" t="str">
        <f>IFERROR(IF(ISNUMBER('Debt to GDP Ratio'!B328),'Debt to GDP Ratio'!G328, ""), "")</f>
        <v/>
      </c>
    </row>
    <row r="325" spans="1:4">
      <c r="A325" t="str">
        <f>TEXT(IF('Debt to GDP Ratio'!B329&lt;&gt;0,'Debt to GDP Ratio'!B329, ""), "mm/dd/yyyy")</f>
        <v/>
      </c>
      <c r="B325" t="str">
        <f>IFERROR(IF(ISNUMBER('Debt to GDP Ratio'!D329),TEXT('Debt to GDP Ratio'!D329,"0.00"), ""), "")</f>
        <v/>
      </c>
      <c r="C325" t="str">
        <f>IFERROR(IF(ISNUMBER('Debt to GDP Ratio'!E329),TEXT('Debt to GDP Ratio'!E329,"0.00"), ""), "")</f>
        <v/>
      </c>
      <c r="D325" t="str">
        <f>IFERROR(IF(ISNUMBER('Debt to GDP Ratio'!B329),'Debt to GDP Ratio'!G329, ""), "")</f>
        <v/>
      </c>
    </row>
    <row r="326" spans="1:4">
      <c r="A326" t="str">
        <f>TEXT(IF('Debt to GDP Ratio'!B330&lt;&gt;0,'Debt to GDP Ratio'!B330, ""), "mm/dd/yyyy")</f>
        <v/>
      </c>
      <c r="B326" t="str">
        <f>IFERROR(IF(ISNUMBER('Debt to GDP Ratio'!D330),TEXT('Debt to GDP Ratio'!D330,"0.00"), ""), "")</f>
        <v/>
      </c>
      <c r="C326" t="str">
        <f>IFERROR(IF(ISNUMBER('Debt to GDP Ratio'!E330),TEXT('Debt to GDP Ratio'!E330,"0.00"), ""), "")</f>
        <v/>
      </c>
      <c r="D326" t="str">
        <f>IFERROR(IF(ISNUMBER('Debt to GDP Ratio'!B330),'Debt to GDP Ratio'!G330, ""), "")</f>
        <v/>
      </c>
    </row>
    <row r="327" spans="1:4">
      <c r="A327" t="str">
        <f>TEXT(IF('Debt to GDP Ratio'!B331&lt;&gt;0,'Debt to GDP Ratio'!B331, ""), "mm/dd/yyyy")</f>
        <v/>
      </c>
      <c r="B327" t="str">
        <f>IFERROR(IF(ISNUMBER('Debt to GDP Ratio'!D331),TEXT('Debt to GDP Ratio'!D331,"0.00"), ""), "")</f>
        <v/>
      </c>
      <c r="C327" t="str">
        <f>IFERROR(IF(ISNUMBER('Debt to GDP Ratio'!E331),TEXT('Debt to GDP Ratio'!E331,"0.00"), ""), "")</f>
        <v/>
      </c>
      <c r="D327" t="str">
        <f>IFERROR(IF(ISNUMBER('Debt to GDP Ratio'!B331),'Debt to GDP Ratio'!G331, ""), "")</f>
        <v/>
      </c>
    </row>
    <row r="328" spans="1:4">
      <c r="A328" t="str">
        <f>TEXT(IF('Debt to GDP Ratio'!B332&lt;&gt;0,'Debt to GDP Ratio'!B332, ""), "mm/dd/yyyy")</f>
        <v/>
      </c>
      <c r="B328" t="str">
        <f>IFERROR(IF(ISNUMBER('Debt to GDP Ratio'!D332),TEXT('Debt to GDP Ratio'!D332,"0.00"), ""), "")</f>
        <v/>
      </c>
      <c r="C328" t="str">
        <f>IFERROR(IF(ISNUMBER('Debt to GDP Ratio'!E332),TEXT('Debt to GDP Ratio'!E332,"0.00"), ""), "")</f>
        <v/>
      </c>
      <c r="D328" t="str">
        <f>IFERROR(IF(ISNUMBER('Debt to GDP Ratio'!B332),'Debt to GDP Ratio'!G332, ""), "")</f>
        <v/>
      </c>
    </row>
    <row r="329" spans="1:4">
      <c r="A329" t="str">
        <f>TEXT(IF('Debt to GDP Ratio'!B333&lt;&gt;0,'Debt to GDP Ratio'!B333, ""), "mm/dd/yyyy")</f>
        <v/>
      </c>
      <c r="B329" t="str">
        <f>IFERROR(IF(ISNUMBER('Debt to GDP Ratio'!D333),TEXT('Debt to GDP Ratio'!D333,"0.00"), ""), "")</f>
        <v/>
      </c>
      <c r="C329" t="str">
        <f>IFERROR(IF(ISNUMBER('Debt to GDP Ratio'!E333),TEXT('Debt to GDP Ratio'!E333,"0.00"), ""), "")</f>
        <v/>
      </c>
      <c r="D329" t="str">
        <f>IFERROR(IF(ISNUMBER('Debt to GDP Ratio'!B333),'Debt to GDP Ratio'!G333, ""), "")</f>
        <v/>
      </c>
    </row>
    <row r="330" spans="1:4">
      <c r="A330" t="str">
        <f>TEXT(IF('Debt to GDP Ratio'!B334&lt;&gt;0,'Debt to GDP Ratio'!B334, ""), "mm/dd/yyyy")</f>
        <v/>
      </c>
      <c r="B330" t="str">
        <f>IFERROR(IF(ISNUMBER('Debt to GDP Ratio'!D334),TEXT('Debt to GDP Ratio'!D334,"0.00"), ""), "")</f>
        <v/>
      </c>
      <c r="C330" t="str">
        <f>IFERROR(IF(ISNUMBER('Debt to GDP Ratio'!E334),TEXT('Debt to GDP Ratio'!E334,"0.00"), ""), "")</f>
        <v/>
      </c>
      <c r="D330" t="str">
        <f>IFERROR(IF(ISNUMBER('Debt to GDP Ratio'!B334),'Debt to GDP Ratio'!G334, ""), "")</f>
        <v/>
      </c>
    </row>
    <row r="331" spans="1:4">
      <c r="A331" t="str">
        <f>TEXT(IF('Debt to GDP Ratio'!B335&lt;&gt;0,'Debt to GDP Ratio'!B335, ""), "mm/dd/yyyy")</f>
        <v/>
      </c>
      <c r="B331" t="str">
        <f>IFERROR(IF(ISNUMBER('Debt to GDP Ratio'!D335),TEXT('Debt to GDP Ratio'!D335,"0.00"), ""), "")</f>
        <v/>
      </c>
      <c r="C331" t="str">
        <f>IFERROR(IF(ISNUMBER('Debt to GDP Ratio'!E335),TEXT('Debt to GDP Ratio'!E335,"0.00"), ""), "")</f>
        <v/>
      </c>
      <c r="D331" t="str">
        <f>IFERROR(IF(ISNUMBER('Debt to GDP Ratio'!B335),'Debt to GDP Ratio'!G335, ""), "")</f>
        <v/>
      </c>
    </row>
    <row r="332" spans="1:4">
      <c r="A332" t="str">
        <f>TEXT(IF('Debt to GDP Ratio'!B336&lt;&gt;0,'Debt to GDP Ratio'!B336, ""), "mm/dd/yyyy")</f>
        <v/>
      </c>
      <c r="B332" t="str">
        <f>IFERROR(IF(ISNUMBER('Debt to GDP Ratio'!D336),TEXT('Debt to GDP Ratio'!D336,"0.00"), ""), "")</f>
        <v/>
      </c>
      <c r="C332" t="str">
        <f>IFERROR(IF(ISNUMBER('Debt to GDP Ratio'!E336),TEXT('Debt to GDP Ratio'!E336,"0.00"), ""), "")</f>
        <v/>
      </c>
      <c r="D332" t="str">
        <f>IFERROR(IF(ISNUMBER('Debt to GDP Ratio'!B336),'Debt to GDP Ratio'!G336, ""), "")</f>
        <v/>
      </c>
    </row>
    <row r="333" spans="1:4">
      <c r="A333" t="str">
        <f>TEXT(IF('Debt to GDP Ratio'!B337&lt;&gt;0,'Debt to GDP Ratio'!B337, ""), "mm/dd/yyyy")</f>
        <v/>
      </c>
      <c r="B333" t="str">
        <f>IFERROR(IF(ISNUMBER('Debt to GDP Ratio'!D337),TEXT('Debt to GDP Ratio'!D337,"0.00"), ""), "")</f>
        <v/>
      </c>
      <c r="C333" t="str">
        <f>IFERROR(IF(ISNUMBER('Debt to GDP Ratio'!E337),TEXT('Debt to GDP Ratio'!E337,"0.00"), ""), "")</f>
        <v/>
      </c>
      <c r="D333" t="str">
        <f>IFERROR(IF(ISNUMBER('Debt to GDP Ratio'!B337),'Debt to GDP Ratio'!G337, ""), "")</f>
        <v/>
      </c>
    </row>
    <row r="334" spans="1:4">
      <c r="A334" t="str">
        <f>TEXT(IF('Debt to GDP Ratio'!B338&lt;&gt;0,'Debt to GDP Ratio'!B338, ""), "mm/dd/yyyy")</f>
        <v/>
      </c>
      <c r="B334" t="str">
        <f>IFERROR(IF(ISNUMBER('Debt to GDP Ratio'!D338),TEXT('Debt to GDP Ratio'!D338,"0.00"), ""), "")</f>
        <v/>
      </c>
      <c r="C334" t="str">
        <f>IFERROR(IF(ISNUMBER('Debt to GDP Ratio'!E338),TEXT('Debt to GDP Ratio'!E338,"0.00"), ""), "")</f>
        <v/>
      </c>
      <c r="D334" t="str">
        <f>IFERROR(IF(ISNUMBER('Debt to GDP Ratio'!B338),'Debt to GDP Ratio'!G338, ""), "")</f>
        <v/>
      </c>
    </row>
    <row r="335" spans="1:4">
      <c r="A335" t="str">
        <f>TEXT(IF('Debt to GDP Ratio'!B339&lt;&gt;0,'Debt to GDP Ratio'!B339, ""), "mm/dd/yyyy")</f>
        <v/>
      </c>
      <c r="B335" t="str">
        <f>IFERROR(IF(ISNUMBER('Debt to GDP Ratio'!D339),TEXT('Debt to GDP Ratio'!D339,"0.00"), ""), "")</f>
        <v/>
      </c>
      <c r="C335" t="str">
        <f>IFERROR(IF(ISNUMBER('Debt to GDP Ratio'!E339),TEXT('Debt to GDP Ratio'!E339,"0.00"), ""), "")</f>
        <v/>
      </c>
      <c r="D335" t="str">
        <f>IFERROR(IF(ISNUMBER('Debt to GDP Ratio'!B339),'Debt to GDP Ratio'!G339, ""), "")</f>
        <v/>
      </c>
    </row>
    <row r="336" spans="1:4">
      <c r="A336" t="str">
        <f>TEXT(IF('Debt to GDP Ratio'!B340&lt;&gt;0,'Debt to GDP Ratio'!B340, ""), "mm/dd/yyyy")</f>
        <v/>
      </c>
      <c r="B336" t="str">
        <f>IFERROR(IF(ISNUMBER('Debt to GDP Ratio'!D340),TEXT('Debt to GDP Ratio'!D340,"0.00"), ""), "")</f>
        <v/>
      </c>
      <c r="C336" t="str">
        <f>IFERROR(IF(ISNUMBER('Debt to GDP Ratio'!E340),TEXT('Debt to GDP Ratio'!E340,"0.00"), ""), "")</f>
        <v/>
      </c>
      <c r="D336" t="str">
        <f>IFERROR(IF(ISNUMBER('Debt to GDP Ratio'!B340),'Debt to GDP Ratio'!G340, ""), "")</f>
        <v/>
      </c>
    </row>
    <row r="337" spans="1:4">
      <c r="A337" t="str">
        <f>TEXT(IF('Debt to GDP Ratio'!B341&lt;&gt;0,'Debt to GDP Ratio'!B341, ""), "mm/dd/yyyy")</f>
        <v/>
      </c>
      <c r="B337" t="str">
        <f>IFERROR(IF(ISNUMBER('Debt to GDP Ratio'!D341),TEXT('Debt to GDP Ratio'!D341,"0.00"), ""), "")</f>
        <v/>
      </c>
      <c r="C337" t="str">
        <f>IFERROR(IF(ISNUMBER('Debt to GDP Ratio'!E341),TEXT('Debt to GDP Ratio'!E341,"0.00"), ""), "")</f>
        <v/>
      </c>
      <c r="D337" t="str">
        <f>IFERROR(IF(ISNUMBER('Debt to GDP Ratio'!B341),'Debt to GDP Ratio'!G341, ""), "")</f>
        <v/>
      </c>
    </row>
    <row r="338" spans="1:4">
      <c r="A338" t="str">
        <f>TEXT(IF('Debt to GDP Ratio'!B342&lt;&gt;0,'Debt to GDP Ratio'!B342, ""), "mm/dd/yyyy")</f>
        <v/>
      </c>
      <c r="B338" t="str">
        <f>IFERROR(IF(ISNUMBER('Debt to GDP Ratio'!D342),TEXT('Debt to GDP Ratio'!D342,"0.00"), ""), "")</f>
        <v/>
      </c>
      <c r="C338" t="str">
        <f>IFERROR(IF(ISNUMBER('Debt to GDP Ratio'!E342),TEXT('Debt to GDP Ratio'!E342,"0.00"), ""), "")</f>
        <v/>
      </c>
      <c r="D338" t="str">
        <f>IFERROR(IF(ISNUMBER('Debt to GDP Ratio'!B342),'Debt to GDP Ratio'!G342, ""), "")</f>
        <v/>
      </c>
    </row>
    <row r="339" spans="1:4">
      <c r="A339" t="str">
        <f>TEXT(IF('Debt to GDP Ratio'!B343&lt;&gt;0,'Debt to GDP Ratio'!B343, ""), "mm/dd/yyyy")</f>
        <v/>
      </c>
      <c r="B339" t="str">
        <f>IFERROR(IF(ISNUMBER('Debt to GDP Ratio'!D343),TEXT('Debt to GDP Ratio'!D343,"0.00"), ""), "")</f>
        <v/>
      </c>
      <c r="C339" t="str">
        <f>IFERROR(IF(ISNUMBER('Debt to GDP Ratio'!E343),TEXT('Debt to GDP Ratio'!E343,"0.00"), ""), "")</f>
        <v/>
      </c>
      <c r="D339" t="str">
        <f>IFERROR(IF(ISNUMBER('Debt to GDP Ratio'!B343),'Debt to GDP Ratio'!G343, ""), "")</f>
        <v/>
      </c>
    </row>
    <row r="340" spans="1:4">
      <c r="A340" t="str">
        <f>TEXT(IF('Debt to GDP Ratio'!B344&lt;&gt;0,'Debt to GDP Ratio'!B344, ""), "mm/dd/yyyy")</f>
        <v/>
      </c>
      <c r="B340" t="str">
        <f>IFERROR(IF(ISNUMBER('Debt to GDP Ratio'!D344),TEXT('Debt to GDP Ratio'!D344,"0.00"), ""), "")</f>
        <v/>
      </c>
      <c r="C340" t="str">
        <f>IFERROR(IF(ISNUMBER('Debt to GDP Ratio'!E344),TEXT('Debt to GDP Ratio'!E344,"0.00"), ""), "")</f>
        <v/>
      </c>
      <c r="D340" t="str">
        <f>IFERROR(IF(ISNUMBER('Debt to GDP Ratio'!B344),'Debt to GDP Ratio'!G344, ""), "")</f>
        <v/>
      </c>
    </row>
    <row r="341" spans="1:4">
      <c r="A341" t="str">
        <f>TEXT(IF('Debt to GDP Ratio'!B345&lt;&gt;0,'Debt to GDP Ratio'!B345, ""), "mm/dd/yyyy")</f>
        <v/>
      </c>
      <c r="B341" t="str">
        <f>IFERROR(IF(ISNUMBER('Debt to GDP Ratio'!D345),TEXT('Debt to GDP Ratio'!D345,"0.00"), ""), "")</f>
        <v/>
      </c>
      <c r="C341" t="str">
        <f>IFERROR(IF(ISNUMBER('Debt to GDP Ratio'!E345),TEXT('Debt to GDP Ratio'!E345,"0.00"), ""), "")</f>
        <v/>
      </c>
      <c r="D341" t="str">
        <f>IFERROR(IF(ISNUMBER('Debt to GDP Ratio'!B345),'Debt to GDP Ratio'!G345, ""), "")</f>
        <v/>
      </c>
    </row>
    <row r="342" spans="1:4">
      <c r="A342" t="str">
        <f>TEXT(IF('Debt to GDP Ratio'!B346&lt;&gt;0,'Debt to GDP Ratio'!B346, ""), "mm/dd/yyyy")</f>
        <v/>
      </c>
      <c r="B342" t="str">
        <f>IFERROR(IF(ISNUMBER('Debt to GDP Ratio'!D346),TEXT('Debt to GDP Ratio'!D346,"0.00"), ""), "")</f>
        <v/>
      </c>
      <c r="C342" t="str">
        <f>IFERROR(IF(ISNUMBER('Debt to GDP Ratio'!E346),TEXT('Debt to GDP Ratio'!E346,"0.00"), ""), "")</f>
        <v/>
      </c>
      <c r="D342" t="str">
        <f>IFERROR(IF(ISNUMBER('Debt to GDP Ratio'!B346),'Debt to GDP Ratio'!G346, ""), "")</f>
        <v/>
      </c>
    </row>
    <row r="343" spans="1:4">
      <c r="A343" t="str">
        <f>TEXT(IF('Debt to GDP Ratio'!B347&lt;&gt;0,'Debt to GDP Ratio'!B347, ""), "mm/dd/yyyy")</f>
        <v/>
      </c>
      <c r="B343" t="str">
        <f>IFERROR(IF(ISNUMBER('Debt to GDP Ratio'!D347),TEXT('Debt to GDP Ratio'!D347,"0.00"), ""), "")</f>
        <v/>
      </c>
      <c r="C343" t="str">
        <f>IFERROR(IF(ISNUMBER('Debt to GDP Ratio'!E347),TEXT('Debt to GDP Ratio'!E347,"0.00"), ""), "")</f>
        <v/>
      </c>
      <c r="D343" t="str">
        <f>IFERROR(IF(ISNUMBER('Debt to GDP Ratio'!B347),'Debt to GDP Ratio'!G347, ""), "")</f>
        <v/>
      </c>
    </row>
    <row r="344" spans="1:4">
      <c r="A344" t="str">
        <f>TEXT(IF('Debt to GDP Ratio'!B348&lt;&gt;0,'Debt to GDP Ratio'!B348, ""), "mm/dd/yyyy")</f>
        <v/>
      </c>
      <c r="B344" t="str">
        <f>IFERROR(IF(ISNUMBER('Debt to GDP Ratio'!D348),TEXT('Debt to GDP Ratio'!D348,"0.00"), ""), "")</f>
        <v/>
      </c>
      <c r="C344" t="str">
        <f>IFERROR(IF(ISNUMBER('Debt to GDP Ratio'!E348),TEXT('Debt to GDP Ratio'!E348,"0.00"), ""), "")</f>
        <v/>
      </c>
      <c r="D344" t="str">
        <f>IFERROR(IF(ISNUMBER('Debt to GDP Ratio'!B348),'Debt to GDP Ratio'!G348, ""), "")</f>
        <v/>
      </c>
    </row>
    <row r="345" spans="1:4">
      <c r="A345" t="str">
        <f>TEXT(IF('Debt to GDP Ratio'!B349&lt;&gt;0,'Debt to GDP Ratio'!B349, ""), "mm/dd/yyyy")</f>
        <v/>
      </c>
      <c r="B345" t="str">
        <f>IFERROR(IF(ISNUMBER('Debt to GDP Ratio'!D349),TEXT('Debt to GDP Ratio'!D349,"0.00"), ""), "")</f>
        <v/>
      </c>
      <c r="C345" t="str">
        <f>IFERROR(IF(ISNUMBER('Debt to GDP Ratio'!E349),TEXT('Debt to GDP Ratio'!E349,"0.00"), ""), "")</f>
        <v/>
      </c>
      <c r="D345" t="str">
        <f>IFERROR(IF(ISNUMBER('Debt to GDP Ratio'!B349),'Debt to GDP Ratio'!G349, ""), "")</f>
        <v/>
      </c>
    </row>
    <row r="346" spans="1:4">
      <c r="A346" t="str">
        <f>TEXT(IF('Debt to GDP Ratio'!B350&lt;&gt;0,'Debt to GDP Ratio'!B350, ""), "mm/dd/yyyy")</f>
        <v/>
      </c>
      <c r="B346" t="str">
        <f>IFERROR(IF(ISNUMBER('Debt to GDP Ratio'!D350),TEXT('Debt to GDP Ratio'!D350,"0.00"), ""), "")</f>
        <v/>
      </c>
      <c r="C346" t="str">
        <f>IFERROR(IF(ISNUMBER('Debt to GDP Ratio'!E350),TEXT('Debt to GDP Ratio'!E350,"0.00"), ""), "")</f>
        <v/>
      </c>
      <c r="D346" t="str">
        <f>IFERROR(IF(ISNUMBER('Debt to GDP Ratio'!B350),'Debt to GDP Ratio'!G350, ""), "")</f>
        <v/>
      </c>
    </row>
    <row r="347" spans="1:4">
      <c r="A347" t="str">
        <f>TEXT(IF('Debt to GDP Ratio'!B351&lt;&gt;0,'Debt to GDP Ratio'!B351, ""), "mm/dd/yyyy")</f>
        <v/>
      </c>
      <c r="B347" t="str">
        <f>IFERROR(IF(ISNUMBER('Debt to GDP Ratio'!D351),TEXT('Debt to GDP Ratio'!D351,"0.00"), ""), "")</f>
        <v/>
      </c>
      <c r="C347" t="str">
        <f>IFERROR(IF(ISNUMBER('Debt to GDP Ratio'!E351),TEXT('Debt to GDP Ratio'!E351,"0.00"), ""), "")</f>
        <v/>
      </c>
      <c r="D347" t="str">
        <f>IFERROR(IF(ISNUMBER('Debt to GDP Ratio'!B351),'Debt to GDP Ratio'!G351, ""), "")</f>
        <v/>
      </c>
    </row>
    <row r="348" spans="1:4">
      <c r="A348" t="str">
        <f>TEXT(IF('Debt to GDP Ratio'!B352&lt;&gt;0,'Debt to GDP Ratio'!B352, ""), "mm/dd/yyyy")</f>
        <v/>
      </c>
      <c r="B348" t="str">
        <f>IFERROR(IF(ISNUMBER('Debt to GDP Ratio'!D352),TEXT('Debt to GDP Ratio'!D352,"0.00"), ""), "")</f>
        <v/>
      </c>
      <c r="C348" t="str">
        <f>IFERROR(IF(ISNUMBER('Debt to GDP Ratio'!E352),TEXT('Debt to GDP Ratio'!E352,"0.00"), ""), "")</f>
        <v/>
      </c>
      <c r="D348" t="str">
        <f>IFERROR(IF(ISNUMBER('Debt to GDP Ratio'!B352),'Debt to GDP Ratio'!G352, ""), "")</f>
        <v/>
      </c>
    </row>
    <row r="349" spans="1:4">
      <c r="A349" t="str">
        <f>TEXT(IF('Debt to GDP Ratio'!B353&lt;&gt;0,'Debt to GDP Ratio'!B353, ""), "mm/dd/yyyy")</f>
        <v/>
      </c>
      <c r="B349" t="str">
        <f>IFERROR(IF(ISNUMBER('Debt to GDP Ratio'!D353),TEXT('Debt to GDP Ratio'!D353,"0.00"), ""), "")</f>
        <v/>
      </c>
      <c r="C349" t="str">
        <f>IFERROR(IF(ISNUMBER('Debt to GDP Ratio'!E353),TEXT('Debt to GDP Ratio'!E353,"0.00"), ""), "")</f>
        <v/>
      </c>
      <c r="D349" t="str">
        <f>IFERROR(IF(ISNUMBER('Debt to GDP Ratio'!B353),'Debt to GDP Ratio'!G353, ""), "")</f>
        <v/>
      </c>
    </row>
    <row r="350" spans="1:4">
      <c r="A350" t="str">
        <f>TEXT(IF('Debt to GDP Ratio'!B354&lt;&gt;0,'Debt to GDP Ratio'!B354, ""), "mm/dd/yyyy")</f>
        <v/>
      </c>
      <c r="B350" t="str">
        <f>IFERROR(IF(ISNUMBER('Debt to GDP Ratio'!D354),TEXT('Debt to GDP Ratio'!D354,"0.00"), ""), "")</f>
        <v/>
      </c>
      <c r="C350" t="str">
        <f>IFERROR(IF(ISNUMBER('Debt to GDP Ratio'!E354),TEXT('Debt to GDP Ratio'!E354,"0.00"), ""), "")</f>
        <v/>
      </c>
      <c r="D350" t="str">
        <f>IFERROR(IF(ISNUMBER('Debt to GDP Ratio'!B354),'Debt to GDP Ratio'!G354, ""), "")</f>
        <v/>
      </c>
    </row>
    <row r="351" spans="1:4">
      <c r="A351" t="str">
        <f>TEXT(IF('Debt to GDP Ratio'!B355&lt;&gt;0,'Debt to GDP Ratio'!B355, ""), "mm/dd/yyyy")</f>
        <v/>
      </c>
      <c r="B351" t="str">
        <f>IFERROR(IF(ISNUMBER('Debt to GDP Ratio'!D355),TEXT('Debt to GDP Ratio'!D355,"0.00"), ""), "")</f>
        <v/>
      </c>
      <c r="C351" t="str">
        <f>IFERROR(IF(ISNUMBER('Debt to GDP Ratio'!E355),TEXT('Debt to GDP Ratio'!E355,"0.00"), ""), "")</f>
        <v/>
      </c>
      <c r="D351" t="str">
        <f>IFERROR(IF(ISNUMBER('Debt to GDP Ratio'!B355),'Debt to GDP Ratio'!G355, ""), "")</f>
        <v/>
      </c>
    </row>
    <row r="352" spans="1:4">
      <c r="A352" t="str">
        <f>TEXT(IF('Debt to GDP Ratio'!B356&lt;&gt;0,'Debt to GDP Ratio'!B356, ""), "mm/dd/yyyy")</f>
        <v/>
      </c>
      <c r="B352" t="str">
        <f>IFERROR(IF(ISNUMBER('Debt to GDP Ratio'!D356),TEXT('Debt to GDP Ratio'!D356,"0.00"), ""), "")</f>
        <v/>
      </c>
      <c r="C352" t="str">
        <f>IFERROR(IF(ISNUMBER('Debt to GDP Ratio'!E356),TEXT('Debt to GDP Ratio'!E356,"0.00"), ""), "")</f>
        <v/>
      </c>
      <c r="D352" t="str">
        <f>IFERROR(IF(ISNUMBER('Debt to GDP Ratio'!B356),'Debt to GDP Ratio'!G356, ""), "")</f>
        <v/>
      </c>
    </row>
    <row r="353" spans="1:4">
      <c r="A353" t="str">
        <f>TEXT(IF('Debt to GDP Ratio'!B357&lt;&gt;0,'Debt to GDP Ratio'!B357, ""), "mm/dd/yyyy")</f>
        <v/>
      </c>
      <c r="B353" t="str">
        <f>IFERROR(IF(ISNUMBER('Debt to GDP Ratio'!D357),TEXT('Debt to GDP Ratio'!D357,"0.00"), ""), "")</f>
        <v/>
      </c>
      <c r="C353" t="str">
        <f>IFERROR(IF(ISNUMBER('Debt to GDP Ratio'!E357),TEXT('Debt to GDP Ratio'!E357,"0.00"), ""), "")</f>
        <v/>
      </c>
      <c r="D353" t="str">
        <f>IFERROR(IF(ISNUMBER('Debt to GDP Ratio'!B357),'Debt to GDP Ratio'!G357, ""), "")</f>
        <v/>
      </c>
    </row>
    <row r="354" spans="1:4">
      <c r="A354" t="str">
        <f>TEXT(IF('Debt to GDP Ratio'!B358&lt;&gt;0,'Debt to GDP Ratio'!B358, ""), "mm/dd/yyyy")</f>
        <v/>
      </c>
      <c r="B354" t="str">
        <f>IFERROR(IF(ISNUMBER('Debt to GDP Ratio'!D358),TEXT('Debt to GDP Ratio'!D358,"0.00"), ""), "")</f>
        <v/>
      </c>
      <c r="C354" t="str">
        <f>IFERROR(IF(ISNUMBER('Debt to GDP Ratio'!E358),TEXT('Debt to GDP Ratio'!E358,"0.00"), ""), "")</f>
        <v/>
      </c>
      <c r="D354" t="str">
        <f>IFERROR(IF(ISNUMBER('Debt to GDP Ratio'!B358),'Debt to GDP Ratio'!G358, ""), "")</f>
        <v/>
      </c>
    </row>
    <row r="355" spans="1:4">
      <c r="A355" t="str">
        <f>TEXT(IF('Debt to GDP Ratio'!B359&lt;&gt;0,'Debt to GDP Ratio'!B359, ""), "mm/dd/yyyy")</f>
        <v/>
      </c>
      <c r="B355" t="str">
        <f>IFERROR(IF(ISNUMBER('Debt to GDP Ratio'!D359),TEXT('Debt to GDP Ratio'!D359,"0.00"), ""), "")</f>
        <v/>
      </c>
      <c r="C355" t="str">
        <f>IFERROR(IF(ISNUMBER('Debt to GDP Ratio'!E359),TEXT('Debt to GDP Ratio'!E359,"0.00"), ""), "")</f>
        <v/>
      </c>
      <c r="D355" t="str">
        <f>IFERROR(IF(ISNUMBER('Debt to GDP Ratio'!B359),'Debt to GDP Ratio'!G359, ""), "")</f>
        <v/>
      </c>
    </row>
    <row r="356" spans="1:4">
      <c r="A356" t="str">
        <f>TEXT(IF('Debt to GDP Ratio'!B360&lt;&gt;0,'Debt to GDP Ratio'!B360, ""), "mm/dd/yyyy")</f>
        <v/>
      </c>
      <c r="B356" t="str">
        <f>IFERROR(IF(ISNUMBER('Debt to GDP Ratio'!D360),TEXT('Debt to GDP Ratio'!D360,"0.00"), ""), "")</f>
        <v/>
      </c>
      <c r="C356" t="str">
        <f>IFERROR(IF(ISNUMBER('Debt to GDP Ratio'!E360),TEXT('Debt to GDP Ratio'!E360,"0.00"), ""), "")</f>
        <v/>
      </c>
      <c r="D356" t="str">
        <f>IFERROR(IF(ISNUMBER('Debt to GDP Ratio'!B360),'Debt to GDP Ratio'!G360, ""), "")</f>
        <v/>
      </c>
    </row>
    <row r="357" spans="1:4">
      <c r="A357" t="str">
        <f>TEXT(IF('Debt to GDP Ratio'!B361&lt;&gt;0,'Debt to GDP Ratio'!B361, ""), "mm/dd/yyyy")</f>
        <v/>
      </c>
      <c r="B357" t="str">
        <f>IFERROR(IF(ISNUMBER('Debt to GDP Ratio'!D361),TEXT('Debt to GDP Ratio'!D361,"0.00"), ""), "")</f>
        <v/>
      </c>
      <c r="C357" t="str">
        <f>IFERROR(IF(ISNUMBER('Debt to GDP Ratio'!E361),TEXT('Debt to GDP Ratio'!E361,"0.00"), ""), "")</f>
        <v/>
      </c>
      <c r="D357" t="str">
        <f>IFERROR(IF(ISNUMBER('Debt to GDP Ratio'!B361),'Debt to GDP Ratio'!G361, ""), "")</f>
        <v/>
      </c>
    </row>
    <row r="358" spans="1:4">
      <c r="A358" t="str">
        <f>TEXT(IF('Debt to GDP Ratio'!B362&lt;&gt;0,'Debt to GDP Ratio'!B362, ""), "mm/dd/yyyy")</f>
        <v/>
      </c>
      <c r="B358" t="str">
        <f>IFERROR(IF(ISNUMBER('Debt to GDP Ratio'!D362),TEXT('Debt to GDP Ratio'!D362,"0.00"), ""), "")</f>
        <v/>
      </c>
      <c r="C358" t="str">
        <f>IFERROR(IF(ISNUMBER('Debt to GDP Ratio'!E362),TEXT('Debt to GDP Ratio'!E362,"0.00"), ""), "")</f>
        <v/>
      </c>
      <c r="D358" t="str">
        <f>IFERROR(IF(ISNUMBER('Debt to GDP Ratio'!B362),'Debt to GDP Ratio'!G362, ""), "")</f>
        <v/>
      </c>
    </row>
    <row r="359" spans="1:4">
      <c r="A359" t="str">
        <f>TEXT(IF('Debt to GDP Ratio'!B363&lt;&gt;0,'Debt to GDP Ratio'!B363, ""), "mm/dd/yyyy")</f>
        <v/>
      </c>
      <c r="B359" t="str">
        <f>IFERROR(IF(ISNUMBER('Debt to GDP Ratio'!D363),TEXT('Debt to GDP Ratio'!D363,"0.00"), ""), "")</f>
        <v/>
      </c>
      <c r="C359" t="str">
        <f>IFERROR(IF(ISNUMBER('Debt to GDP Ratio'!E363),TEXT('Debt to GDP Ratio'!E363,"0.00"), ""), "")</f>
        <v/>
      </c>
      <c r="D359" t="str">
        <f>IFERROR(IF(ISNUMBER('Debt to GDP Ratio'!B363),'Debt to GDP Ratio'!G363, ""), "")</f>
        <v/>
      </c>
    </row>
    <row r="360" spans="1:4">
      <c r="A360" t="str">
        <f>TEXT(IF('Debt to GDP Ratio'!B364&lt;&gt;0,'Debt to GDP Ratio'!B364, ""), "mm/dd/yyyy")</f>
        <v/>
      </c>
      <c r="B360" t="str">
        <f>IFERROR(IF(ISNUMBER('Debt to GDP Ratio'!D364),TEXT('Debt to GDP Ratio'!D364,"0.00"), ""), "")</f>
        <v/>
      </c>
      <c r="C360" t="str">
        <f>IFERROR(IF(ISNUMBER('Debt to GDP Ratio'!E364),TEXT('Debt to GDP Ratio'!E364,"0.00"), ""), "")</f>
        <v/>
      </c>
      <c r="D360" t="str">
        <f>IFERROR(IF(ISNUMBER('Debt to GDP Ratio'!B364),'Debt to GDP Ratio'!G364, ""), "")</f>
        <v/>
      </c>
    </row>
    <row r="361" spans="1:4">
      <c r="A361" t="str">
        <f>TEXT(IF('Debt to GDP Ratio'!B365&lt;&gt;0,'Debt to GDP Ratio'!B365, ""), "mm/dd/yyyy")</f>
        <v/>
      </c>
      <c r="B361" t="str">
        <f>IFERROR(IF(ISNUMBER('Debt to GDP Ratio'!D365),TEXT('Debt to GDP Ratio'!D365,"0.00"), ""), "")</f>
        <v/>
      </c>
      <c r="C361" t="str">
        <f>IFERROR(IF(ISNUMBER('Debt to GDP Ratio'!E365),TEXT('Debt to GDP Ratio'!E365,"0.00"), ""), "")</f>
        <v/>
      </c>
      <c r="D361" t="str">
        <f>IFERROR(IF(ISNUMBER('Debt to GDP Ratio'!B365),'Debt to GDP Ratio'!G365, ""), "")</f>
        <v/>
      </c>
    </row>
    <row r="362" spans="1:4">
      <c r="A362" t="str">
        <f>TEXT(IF('Debt to GDP Ratio'!B366&lt;&gt;0,'Debt to GDP Ratio'!B366, ""), "mm/dd/yyyy")</f>
        <v/>
      </c>
      <c r="B362" t="str">
        <f>IFERROR(IF(ISNUMBER('Debt to GDP Ratio'!D366),TEXT('Debt to GDP Ratio'!D366,"0.00"), ""), "")</f>
        <v/>
      </c>
      <c r="C362" t="str">
        <f>IFERROR(IF(ISNUMBER('Debt to GDP Ratio'!E366),TEXT('Debt to GDP Ratio'!E366,"0.00"), ""), "")</f>
        <v/>
      </c>
      <c r="D362" t="str">
        <f>IFERROR(IF(ISNUMBER('Debt to GDP Ratio'!B366),'Debt to GDP Ratio'!G366, ""), "")</f>
        <v/>
      </c>
    </row>
    <row r="363" spans="1:4">
      <c r="A363" t="str">
        <f>TEXT(IF('Debt to GDP Ratio'!B367&lt;&gt;0,'Debt to GDP Ratio'!B367, ""), "mm/dd/yyyy")</f>
        <v/>
      </c>
      <c r="B363" t="str">
        <f>IFERROR(IF(ISNUMBER('Debt to GDP Ratio'!D367),TEXT('Debt to GDP Ratio'!D367,"0.00"), ""), "")</f>
        <v/>
      </c>
      <c r="C363" t="str">
        <f>IFERROR(IF(ISNUMBER('Debt to GDP Ratio'!E367),TEXT('Debt to GDP Ratio'!E367,"0.00"), ""), "")</f>
        <v/>
      </c>
      <c r="D363" t="str">
        <f>IFERROR(IF(ISNUMBER('Debt to GDP Ratio'!B367),'Debt to GDP Ratio'!G367, ""), "")</f>
        <v/>
      </c>
    </row>
    <row r="364" spans="1:4">
      <c r="A364" t="str">
        <f>TEXT(IF('Debt to GDP Ratio'!B368&lt;&gt;0,'Debt to GDP Ratio'!B368, ""), "mm/dd/yyyy")</f>
        <v/>
      </c>
      <c r="B364" t="str">
        <f>IFERROR(IF(ISNUMBER('Debt to GDP Ratio'!D368),TEXT('Debt to GDP Ratio'!D368,"0.00"), ""), "")</f>
        <v/>
      </c>
      <c r="C364" t="str">
        <f>IFERROR(IF(ISNUMBER('Debt to GDP Ratio'!E368),TEXT('Debt to GDP Ratio'!E368,"0.00"), ""), "")</f>
        <v/>
      </c>
      <c r="D364" t="str">
        <f>IFERROR(IF(ISNUMBER('Debt to GDP Ratio'!B368),'Debt to GDP Ratio'!G368, ""), "")</f>
        <v/>
      </c>
    </row>
    <row r="365" spans="1:4">
      <c r="A365" t="str">
        <f>TEXT(IF('Debt to GDP Ratio'!B369&lt;&gt;0,'Debt to GDP Ratio'!B369, ""), "mm/dd/yyyy")</f>
        <v/>
      </c>
      <c r="B365" t="str">
        <f>IFERROR(IF(ISNUMBER('Debt to GDP Ratio'!D369),TEXT('Debt to GDP Ratio'!D369,"0.00"), ""), "")</f>
        <v/>
      </c>
      <c r="C365" t="str">
        <f>IFERROR(IF(ISNUMBER('Debt to GDP Ratio'!E369),TEXT('Debt to GDP Ratio'!E369,"0.00"), ""), "")</f>
        <v/>
      </c>
      <c r="D365" t="str">
        <f>IFERROR(IF(ISNUMBER('Debt to GDP Ratio'!B369),'Debt to GDP Ratio'!G369, ""), "")</f>
        <v/>
      </c>
    </row>
    <row r="366" spans="1:4">
      <c r="A366" t="str">
        <f>TEXT(IF('Debt to GDP Ratio'!B370&lt;&gt;0,'Debt to GDP Ratio'!B370, ""), "mm/dd/yyyy")</f>
        <v/>
      </c>
      <c r="B366" t="str">
        <f>IFERROR(IF(ISNUMBER('Debt to GDP Ratio'!D370),TEXT('Debt to GDP Ratio'!D370,"0.00"), ""), "")</f>
        <v/>
      </c>
      <c r="C366" t="str">
        <f>IFERROR(IF(ISNUMBER('Debt to GDP Ratio'!E370),TEXT('Debt to GDP Ratio'!E370,"0.00"), ""), "")</f>
        <v/>
      </c>
      <c r="D366" t="str">
        <f>IFERROR(IF(ISNUMBER('Debt to GDP Ratio'!B370),'Debt to GDP Ratio'!G370, ""), "")</f>
        <v/>
      </c>
    </row>
    <row r="367" spans="1:4">
      <c r="A367" t="str">
        <f>TEXT(IF('Debt to GDP Ratio'!B371&lt;&gt;0,'Debt to GDP Ratio'!B371, ""), "mm/dd/yyyy")</f>
        <v/>
      </c>
      <c r="B367" t="str">
        <f>IFERROR(IF(ISNUMBER('Debt to GDP Ratio'!D371),TEXT('Debt to GDP Ratio'!D371,"0.00"), ""), "")</f>
        <v/>
      </c>
      <c r="C367" t="str">
        <f>IFERROR(IF(ISNUMBER('Debt to GDP Ratio'!E371),TEXT('Debt to GDP Ratio'!E371,"0.00"), ""), "")</f>
        <v/>
      </c>
      <c r="D367" t="str">
        <f>IFERROR(IF(ISNUMBER('Debt to GDP Ratio'!B371),'Debt to GDP Ratio'!G371, ""), "")</f>
        <v/>
      </c>
    </row>
    <row r="368" spans="1:4">
      <c r="A368" t="str">
        <f>TEXT(IF('Debt to GDP Ratio'!B372&lt;&gt;0,'Debt to GDP Ratio'!B372, ""), "mm/dd/yyyy")</f>
        <v/>
      </c>
      <c r="B368" t="str">
        <f>IFERROR(IF(ISNUMBER('Debt to GDP Ratio'!D372),TEXT('Debt to GDP Ratio'!D372,"0.00"), ""), "")</f>
        <v/>
      </c>
      <c r="C368" t="str">
        <f>IFERROR(IF(ISNUMBER('Debt to GDP Ratio'!E372),TEXT('Debt to GDP Ratio'!E372,"0.00"), ""), "")</f>
        <v/>
      </c>
      <c r="D368" t="str">
        <f>IFERROR(IF(ISNUMBER('Debt to GDP Ratio'!B372),'Debt to GDP Ratio'!G372, ""), "")</f>
        <v/>
      </c>
    </row>
    <row r="369" spans="1:4">
      <c r="A369" t="str">
        <f>TEXT(IF('Debt to GDP Ratio'!B373&lt;&gt;0,'Debt to GDP Ratio'!B373, ""), "mm/dd/yyyy")</f>
        <v/>
      </c>
      <c r="B369" t="str">
        <f>IFERROR(IF(ISNUMBER('Debt to GDP Ratio'!D373),TEXT('Debt to GDP Ratio'!D373,"0.00"), ""), "")</f>
        <v/>
      </c>
      <c r="C369" t="str">
        <f>IFERROR(IF(ISNUMBER('Debt to GDP Ratio'!E373),TEXT('Debt to GDP Ratio'!E373,"0.00"), ""), "")</f>
        <v/>
      </c>
      <c r="D369" t="str">
        <f>IFERROR(IF(ISNUMBER('Debt to GDP Ratio'!B373),'Debt to GDP Ratio'!G373, ""), "")</f>
        <v/>
      </c>
    </row>
    <row r="370" spans="1:4">
      <c r="A370" t="str">
        <f>TEXT(IF('Debt to GDP Ratio'!B374&lt;&gt;0,'Debt to GDP Ratio'!B374, ""), "mm/dd/yyyy")</f>
        <v/>
      </c>
      <c r="B370" t="str">
        <f>IFERROR(IF(ISNUMBER('Debt to GDP Ratio'!D374),TEXT('Debt to GDP Ratio'!D374,"0.00"), ""), "")</f>
        <v/>
      </c>
      <c r="C370" t="str">
        <f>IFERROR(IF(ISNUMBER('Debt to GDP Ratio'!E374),TEXT('Debt to GDP Ratio'!E374,"0.00"), ""), "")</f>
        <v/>
      </c>
      <c r="D370" t="str">
        <f>IFERROR(IF(ISNUMBER('Debt to GDP Ratio'!B374),'Debt to GDP Ratio'!G374, ""), "")</f>
        <v/>
      </c>
    </row>
    <row r="371" spans="1:4">
      <c r="A371" t="str">
        <f>TEXT(IF('Debt to GDP Ratio'!B375&lt;&gt;0,'Debt to GDP Ratio'!B375, ""), "mm/dd/yyyy")</f>
        <v/>
      </c>
      <c r="B371" t="str">
        <f>IFERROR(IF(ISNUMBER('Debt to GDP Ratio'!D375),TEXT('Debt to GDP Ratio'!D375,"0.00"), ""), "")</f>
        <v/>
      </c>
      <c r="C371" t="str">
        <f>IFERROR(IF(ISNUMBER('Debt to GDP Ratio'!E375),TEXT('Debt to GDP Ratio'!E375,"0.00"), ""), "")</f>
        <v/>
      </c>
      <c r="D371" t="str">
        <f>IFERROR(IF(ISNUMBER('Debt to GDP Ratio'!B375),'Debt to GDP Ratio'!G375, ""), "")</f>
        <v/>
      </c>
    </row>
    <row r="372" spans="1:4">
      <c r="A372" t="str">
        <f>TEXT(IF('Debt to GDP Ratio'!B376&lt;&gt;0,'Debt to GDP Ratio'!B376, ""), "mm/dd/yyyy")</f>
        <v/>
      </c>
      <c r="B372" t="str">
        <f>IFERROR(IF(ISNUMBER('Debt to GDP Ratio'!D376),TEXT('Debt to GDP Ratio'!D376,"0.00"), ""), "")</f>
        <v/>
      </c>
      <c r="C372" t="str">
        <f>IFERROR(IF(ISNUMBER('Debt to GDP Ratio'!E376),TEXT('Debt to GDP Ratio'!E376,"0.00"), ""), "")</f>
        <v/>
      </c>
      <c r="D372" t="str">
        <f>IFERROR(IF(ISNUMBER('Debt to GDP Ratio'!B376),'Debt to GDP Ratio'!G376, ""), "")</f>
        <v/>
      </c>
    </row>
    <row r="373" spans="1:4">
      <c r="A373" t="str">
        <f>TEXT(IF('Debt to GDP Ratio'!B377&lt;&gt;0,'Debt to GDP Ratio'!B377, ""), "mm/dd/yyyy")</f>
        <v/>
      </c>
      <c r="B373" t="str">
        <f>IFERROR(IF(ISNUMBER('Debt to GDP Ratio'!D377),TEXT('Debt to GDP Ratio'!D377,"0.00"), ""), "")</f>
        <v/>
      </c>
      <c r="C373" t="str">
        <f>IFERROR(IF(ISNUMBER('Debt to GDP Ratio'!E377),TEXT('Debt to GDP Ratio'!E377,"0.00"), ""), "")</f>
        <v/>
      </c>
      <c r="D373" t="str">
        <f>IFERROR(IF(ISNUMBER('Debt to GDP Ratio'!B377),'Debt to GDP Ratio'!G377, ""), "")</f>
        <v/>
      </c>
    </row>
    <row r="374" spans="1:4">
      <c r="A374" t="str">
        <f>TEXT(IF('Debt to GDP Ratio'!B378&lt;&gt;0,'Debt to GDP Ratio'!B378, ""), "mm/dd/yyyy")</f>
        <v/>
      </c>
      <c r="B374" t="str">
        <f>IFERROR(IF(ISNUMBER('Debt to GDP Ratio'!D378),TEXT('Debt to GDP Ratio'!D378,"0.00"), ""), "")</f>
        <v/>
      </c>
      <c r="C374" t="str">
        <f>IFERROR(IF(ISNUMBER('Debt to GDP Ratio'!E378),TEXT('Debt to GDP Ratio'!E378,"0.00"), ""), "")</f>
        <v/>
      </c>
      <c r="D374" t="str">
        <f>IFERROR(IF(ISNUMBER('Debt to GDP Ratio'!B378),'Debt to GDP Ratio'!G378, ""), "")</f>
        <v/>
      </c>
    </row>
    <row r="375" spans="1:4">
      <c r="A375" t="str">
        <f>TEXT(IF('Debt to GDP Ratio'!B379&lt;&gt;0,'Debt to GDP Ratio'!B379, ""), "mm/dd/yyyy")</f>
        <v/>
      </c>
      <c r="B375" t="str">
        <f>IFERROR(IF(ISNUMBER('Debt to GDP Ratio'!D379),TEXT('Debt to GDP Ratio'!D379,"0.00"), ""), "")</f>
        <v/>
      </c>
      <c r="C375" t="str">
        <f>IFERROR(IF(ISNUMBER('Debt to GDP Ratio'!E379),TEXT('Debt to GDP Ratio'!E379,"0.00"), ""), "")</f>
        <v/>
      </c>
      <c r="D375" t="str">
        <f>IFERROR(IF(ISNUMBER('Debt to GDP Ratio'!B379),'Debt to GDP Ratio'!G379, ""), "")</f>
        <v/>
      </c>
    </row>
    <row r="376" spans="1:4">
      <c r="A376" t="str">
        <f>TEXT(IF('Debt to GDP Ratio'!B380&lt;&gt;0,'Debt to GDP Ratio'!B380, ""), "mm/dd/yyyy")</f>
        <v/>
      </c>
      <c r="B376" t="str">
        <f>IFERROR(IF(ISNUMBER('Debt to GDP Ratio'!D380),TEXT('Debt to GDP Ratio'!D380,"0.00"), ""), "")</f>
        <v/>
      </c>
      <c r="C376" t="str">
        <f>IFERROR(IF(ISNUMBER('Debt to GDP Ratio'!E380),TEXT('Debt to GDP Ratio'!E380,"0.00"), ""), "")</f>
        <v/>
      </c>
      <c r="D376" t="str">
        <f>IFERROR(IF(ISNUMBER('Debt to GDP Ratio'!B380),'Debt to GDP Ratio'!G380, ""), "")</f>
        <v/>
      </c>
    </row>
    <row r="377" spans="1:4">
      <c r="A377" t="str">
        <f>TEXT(IF('Debt to GDP Ratio'!B381&lt;&gt;0,'Debt to GDP Ratio'!B381, ""), "mm/dd/yyyy")</f>
        <v/>
      </c>
      <c r="B377" t="str">
        <f>IFERROR(IF(ISNUMBER('Debt to GDP Ratio'!D381),TEXT('Debt to GDP Ratio'!D381,"0.00"), ""), "")</f>
        <v/>
      </c>
      <c r="C377" t="str">
        <f>IFERROR(IF(ISNUMBER('Debt to GDP Ratio'!E381),TEXT('Debt to GDP Ratio'!E381,"0.00"), ""), "")</f>
        <v/>
      </c>
      <c r="D377" t="str">
        <f>IFERROR(IF(ISNUMBER('Debt to GDP Ratio'!B381),'Debt to GDP Ratio'!G381, ""), "")</f>
        <v/>
      </c>
    </row>
    <row r="378" spans="1:4">
      <c r="A378" t="str">
        <f>TEXT(IF('Debt to GDP Ratio'!B382&lt;&gt;0,'Debt to GDP Ratio'!B382, ""), "mm/dd/yyyy")</f>
        <v/>
      </c>
      <c r="B378" t="str">
        <f>IFERROR(IF(ISNUMBER('Debt to GDP Ratio'!D382),TEXT('Debt to GDP Ratio'!D382,"0.00"), ""), "")</f>
        <v/>
      </c>
      <c r="C378" t="str">
        <f>IFERROR(IF(ISNUMBER('Debt to GDP Ratio'!E382),TEXT('Debt to GDP Ratio'!E382,"0.00"), ""), "")</f>
        <v/>
      </c>
      <c r="D378" t="str">
        <f>IFERROR(IF(ISNUMBER('Debt to GDP Ratio'!B382),'Debt to GDP Ratio'!G382, ""), "")</f>
        <v/>
      </c>
    </row>
    <row r="379" spans="1:4">
      <c r="A379" t="str">
        <f>TEXT(IF('Debt to GDP Ratio'!B383&lt;&gt;0,'Debt to GDP Ratio'!B383, ""), "mm/dd/yyyy")</f>
        <v/>
      </c>
      <c r="B379" t="str">
        <f>IFERROR(IF(ISNUMBER('Debt to GDP Ratio'!D383),TEXT('Debt to GDP Ratio'!D383,"0.00"), ""), "")</f>
        <v/>
      </c>
      <c r="C379" t="str">
        <f>IFERROR(IF(ISNUMBER('Debt to GDP Ratio'!E383),TEXT('Debt to GDP Ratio'!E383,"0.00"), ""), "")</f>
        <v/>
      </c>
      <c r="D379" t="str">
        <f>IFERROR(IF(ISNUMBER('Debt to GDP Ratio'!B383),'Debt to GDP Ratio'!G383, ""), "")</f>
        <v/>
      </c>
    </row>
    <row r="380" spans="1:4">
      <c r="A380" t="str">
        <f>TEXT(IF('Debt to GDP Ratio'!B384&lt;&gt;0,'Debt to GDP Ratio'!B384, ""), "mm/dd/yyyy")</f>
        <v/>
      </c>
      <c r="B380" t="str">
        <f>IFERROR(IF(ISNUMBER('Debt to GDP Ratio'!D384),TEXT('Debt to GDP Ratio'!D384,"0.00"), ""), "")</f>
        <v/>
      </c>
      <c r="C380" t="str">
        <f>IFERROR(IF(ISNUMBER('Debt to GDP Ratio'!E384),TEXT('Debt to GDP Ratio'!E384,"0.00"), ""), "")</f>
        <v/>
      </c>
      <c r="D380" t="str">
        <f>IFERROR(IF(ISNUMBER('Debt to GDP Ratio'!B384),'Debt to GDP Ratio'!G384, ""), "")</f>
        <v/>
      </c>
    </row>
    <row r="381" spans="1:4">
      <c r="A381" t="str">
        <f>TEXT(IF('Debt to GDP Ratio'!B385&lt;&gt;0,'Debt to GDP Ratio'!B385, ""), "mm/dd/yyyy")</f>
        <v/>
      </c>
      <c r="B381" t="str">
        <f>IFERROR(IF(ISNUMBER('Debt to GDP Ratio'!D385),TEXT('Debt to GDP Ratio'!D385,"0.00"), ""), "")</f>
        <v/>
      </c>
      <c r="C381" t="str">
        <f>IFERROR(IF(ISNUMBER('Debt to GDP Ratio'!E385),TEXT('Debt to GDP Ratio'!E385,"0.00"), ""), "")</f>
        <v/>
      </c>
      <c r="D381" t="str">
        <f>IFERROR(IF(ISNUMBER('Debt to GDP Ratio'!B385),'Debt to GDP Ratio'!G385, ""), "")</f>
        <v/>
      </c>
    </row>
    <row r="382" spans="1:4">
      <c r="A382" t="str">
        <f>TEXT(IF('Debt to GDP Ratio'!B386&lt;&gt;0,'Debt to GDP Ratio'!B386, ""), "mm/dd/yyyy")</f>
        <v/>
      </c>
      <c r="B382" t="str">
        <f>IFERROR(IF(ISNUMBER('Debt to GDP Ratio'!D386),TEXT('Debt to GDP Ratio'!D386,"0.00"), ""), "")</f>
        <v/>
      </c>
      <c r="C382" t="str">
        <f>IFERROR(IF(ISNUMBER('Debt to GDP Ratio'!E386),TEXT('Debt to GDP Ratio'!E386,"0.00"), ""), "")</f>
        <v/>
      </c>
      <c r="D382" t="str">
        <f>IFERROR(IF(ISNUMBER('Debt to GDP Ratio'!B386),'Debt to GDP Ratio'!G386, ""), "")</f>
        <v/>
      </c>
    </row>
    <row r="383" spans="1:4">
      <c r="A383" t="str">
        <f>TEXT(IF('Debt to GDP Ratio'!B387&lt;&gt;0,'Debt to GDP Ratio'!B387, ""), "mm/dd/yyyy")</f>
        <v/>
      </c>
      <c r="B383" t="str">
        <f>IFERROR(IF(ISNUMBER('Debt to GDP Ratio'!D387),TEXT('Debt to GDP Ratio'!D387,"0.00"), ""), "")</f>
        <v/>
      </c>
      <c r="C383" t="str">
        <f>IFERROR(IF(ISNUMBER('Debt to GDP Ratio'!E387),TEXT('Debt to GDP Ratio'!E387,"0.00"), ""), "")</f>
        <v/>
      </c>
      <c r="D383" t="str">
        <f>IFERROR(IF(ISNUMBER('Debt to GDP Ratio'!B387),'Debt to GDP Ratio'!G387, ""), "")</f>
        <v/>
      </c>
    </row>
    <row r="384" spans="1:4">
      <c r="A384" t="str">
        <f>TEXT(IF('Debt to GDP Ratio'!B388&lt;&gt;0,'Debt to GDP Ratio'!B388, ""), "mm/dd/yyyy")</f>
        <v/>
      </c>
      <c r="B384" t="str">
        <f>IFERROR(IF(ISNUMBER('Debt to GDP Ratio'!D388),TEXT('Debt to GDP Ratio'!D388,"0.00"), ""), "")</f>
        <v/>
      </c>
      <c r="C384" t="str">
        <f>IFERROR(IF(ISNUMBER('Debt to GDP Ratio'!E388),TEXT('Debt to GDP Ratio'!E388,"0.00"), ""), "")</f>
        <v/>
      </c>
      <c r="D384" t="str">
        <f>IFERROR(IF(ISNUMBER('Debt to GDP Ratio'!B388),'Debt to GDP Ratio'!G388, ""), "")</f>
        <v/>
      </c>
    </row>
    <row r="385" spans="1:4">
      <c r="A385" t="str">
        <f>TEXT(IF('Debt to GDP Ratio'!B389&lt;&gt;0,'Debt to GDP Ratio'!B389, ""), "mm/dd/yyyy")</f>
        <v/>
      </c>
      <c r="B385" t="str">
        <f>IFERROR(IF(ISNUMBER('Debt to GDP Ratio'!D389),TEXT('Debt to GDP Ratio'!D389,"0.00"), ""), "")</f>
        <v/>
      </c>
      <c r="C385" t="str">
        <f>IFERROR(IF(ISNUMBER('Debt to GDP Ratio'!E389),TEXT('Debt to GDP Ratio'!E389,"0.00"), ""), "")</f>
        <v/>
      </c>
      <c r="D385" t="str">
        <f>IFERROR(IF(ISNUMBER('Debt to GDP Ratio'!B389),'Debt to GDP Ratio'!G389, ""), "")</f>
        <v/>
      </c>
    </row>
    <row r="386" spans="1:4">
      <c r="A386" t="str">
        <f>TEXT(IF('Debt to GDP Ratio'!B390&lt;&gt;0,'Debt to GDP Ratio'!B390, ""), "mm/dd/yyyy")</f>
        <v/>
      </c>
      <c r="B386" t="str">
        <f>IFERROR(IF(ISNUMBER('Debt to GDP Ratio'!D390),TEXT('Debt to GDP Ratio'!D390,"0.00"), ""), "")</f>
        <v/>
      </c>
      <c r="C386" t="str">
        <f>IFERROR(IF(ISNUMBER('Debt to GDP Ratio'!E390),TEXT('Debt to GDP Ratio'!E390,"0.00"), ""), "")</f>
        <v/>
      </c>
      <c r="D386" t="str">
        <f>IFERROR(IF(ISNUMBER('Debt to GDP Ratio'!B390),'Debt to GDP Ratio'!G390, ""), "")</f>
        <v/>
      </c>
    </row>
    <row r="387" spans="1:4">
      <c r="A387" t="str">
        <f>TEXT(IF('Debt to GDP Ratio'!B391&lt;&gt;0,'Debt to GDP Ratio'!B391, ""), "mm/dd/yyyy")</f>
        <v/>
      </c>
      <c r="B387" t="str">
        <f>IFERROR(IF(ISNUMBER('Debt to GDP Ratio'!D391),TEXT('Debt to GDP Ratio'!D391,"0.00"), ""), "")</f>
        <v/>
      </c>
      <c r="C387" t="str">
        <f>IFERROR(IF(ISNUMBER('Debt to GDP Ratio'!E391),TEXT('Debt to GDP Ratio'!E391,"0.00"), ""), "")</f>
        <v/>
      </c>
      <c r="D387" t="str">
        <f>IFERROR(IF(ISNUMBER('Debt to GDP Ratio'!B391),'Debt to GDP Ratio'!G391, ""), "")</f>
        <v/>
      </c>
    </row>
    <row r="388" spans="1:4">
      <c r="A388" t="str">
        <f>TEXT(IF('Debt to GDP Ratio'!B392&lt;&gt;0,'Debt to GDP Ratio'!B392, ""), "mm/dd/yyyy")</f>
        <v/>
      </c>
      <c r="B388" t="str">
        <f>IFERROR(IF(ISNUMBER('Debt to GDP Ratio'!D392),TEXT('Debt to GDP Ratio'!D392,"0.00"), ""), "")</f>
        <v/>
      </c>
      <c r="C388" t="str">
        <f>IFERROR(IF(ISNUMBER('Debt to GDP Ratio'!E392),TEXT('Debt to GDP Ratio'!E392,"0.00"), ""), "")</f>
        <v/>
      </c>
      <c r="D388" t="str">
        <f>IFERROR(IF(ISNUMBER('Debt to GDP Ratio'!B392),'Debt to GDP Ratio'!G392, ""), "")</f>
        <v/>
      </c>
    </row>
    <row r="389" spans="1:4">
      <c r="A389" t="str">
        <f>TEXT(IF('Debt to GDP Ratio'!B393&lt;&gt;0,'Debt to GDP Ratio'!B393, ""), "mm/dd/yyyy")</f>
        <v/>
      </c>
      <c r="B389" t="str">
        <f>IFERROR(IF(ISNUMBER('Debt to GDP Ratio'!D393),TEXT('Debt to GDP Ratio'!D393,"0.00"), ""), "")</f>
        <v/>
      </c>
      <c r="C389" t="str">
        <f>IFERROR(IF(ISNUMBER('Debt to GDP Ratio'!E393),TEXT('Debt to GDP Ratio'!E393,"0.00"), ""), "")</f>
        <v/>
      </c>
      <c r="D389" t="str">
        <f>IFERROR(IF(ISNUMBER('Debt to GDP Ratio'!B393),'Debt to GDP Ratio'!G393, ""), "")</f>
        <v/>
      </c>
    </row>
    <row r="390" spans="1:4">
      <c r="A390" t="str">
        <f>TEXT(IF('Debt to GDP Ratio'!B394&lt;&gt;0,'Debt to GDP Ratio'!B394, ""), "mm/dd/yyyy")</f>
        <v/>
      </c>
      <c r="B390" t="str">
        <f>IFERROR(IF(ISNUMBER('Debt to GDP Ratio'!D394),TEXT('Debt to GDP Ratio'!D394,"0.00"), ""), "")</f>
        <v/>
      </c>
      <c r="C390" t="str">
        <f>IFERROR(IF(ISNUMBER('Debt to GDP Ratio'!E394),TEXT('Debt to GDP Ratio'!E394,"0.00"), ""), "")</f>
        <v/>
      </c>
      <c r="D390" t="str">
        <f>IFERROR(IF(ISNUMBER('Debt to GDP Ratio'!B394),'Debt to GDP Ratio'!G394, ""), "")</f>
        <v/>
      </c>
    </row>
    <row r="391" spans="1:4">
      <c r="A391" t="str">
        <f>TEXT(IF('Debt to GDP Ratio'!B395&lt;&gt;0,'Debt to GDP Ratio'!B395, ""), "mm/dd/yyyy")</f>
        <v/>
      </c>
      <c r="B391" t="str">
        <f>IFERROR(IF(ISNUMBER('Debt to GDP Ratio'!D395),TEXT('Debt to GDP Ratio'!D395,"0.00"), ""), "")</f>
        <v/>
      </c>
      <c r="C391" t="str">
        <f>IFERROR(IF(ISNUMBER('Debt to GDP Ratio'!E395),TEXT('Debt to GDP Ratio'!E395,"0.00"), ""), "")</f>
        <v/>
      </c>
      <c r="D391" t="str">
        <f>IFERROR(IF(ISNUMBER('Debt to GDP Ratio'!B395),'Debt to GDP Ratio'!G395, ""), "")</f>
        <v/>
      </c>
    </row>
    <row r="392" spans="1:4">
      <c r="A392" t="str">
        <f>TEXT(IF('Debt to GDP Ratio'!B396&lt;&gt;0,'Debt to GDP Ratio'!B396, ""), "mm/dd/yyyy")</f>
        <v/>
      </c>
      <c r="B392" t="str">
        <f>IFERROR(IF(ISNUMBER('Debt to GDP Ratio'!D396),TEXT('Debt to GDP Ratio'!D396,"0.00"), ""), "")</f>
        <v/>
      </c>
      <c r="C392" t="str">
        <f>IFERROR(IF(ISNUMBER('Debt to GDP Ratio'!E396),TEXT('Debt to GDP Ratio'!E396,"0.00"), ""), "")</f>
        <v/>
      </c>
      <c r="D392" t="str">
        <f>IFERROR(IF(ISNUMBER('Debt to GDP Ratio'!B396),'Debt to GDP Ratio'!G396, ""), "")</f>
        <v/>
      </c>
    </row>
    <row r="393" spans="1:4">
      <c r="A393" t="str">
        <f>TEXT(IF('Debt to GDP Ratio'!B397&lt;&gt;0,'Debt to GDP Ratio'!B397, ""), "mm/dd/yyyy")</f>
        <v/>
      </c>
      <c r="B393" t="str">
        <f>IFERROR(IF(ISNUMBER('Debt to GDP Ratio'!D397),TEXT('Debt to GDP Ratio'!D397,"0.00"), ""), "")</f>
        <v/>
      </c>
      <c r="C393" t="str">
        <f>IFERROR(IF(ISNUMBER('Debt to GDP Ratio'!E397),TEXT('Debt to GDP Ratio'!E397,"0.00"), ""), "")</f>
        <v/>
      </c>
      <c r="D393" t="str">
        <f>IFERROR(IF(ISNUMBER('Debt to GDP Ratio'!B397),'Debt to GDP Ratio'!G397, ""), "")</f>
        <v/>
      </c>
    </row>
    <row r="394" spans="1:4">
      <c r="A394" t="str">
        <f>TEXT(IF('Debt to GDP Ratio'!B398&lt;&gt;0,'Debt to GDP Ratio'!B398, ""), "mm/dd/yyyy")</f>
        <v/>
      </c>
      <c r="B394" t="str">
        <f>IFERROR(IF(ISNUMBER('Debt to GDP Ratio'!D398),TEXT('Debt to GDP Ratio'!D398,"0.00"), ""), "")</f>
        <v/>
      </c>
      <c r="C394" t="str">
        <f>IFERROR(IF(ISNUMBER('Debt to GDP Ratio'!E398),TEXT('Debt to GDP Ratio'!E398,"0.00"), ""), "")</f>
        <v/>
      </c>
      <c r="D394" t="str">
        <f>IFERROR(IF(ISNUMBER('Debt to GDP Ratio'!B398),'Debt to GDP Ratio'!G398, ""), "")</f>
        <v/>
      </c>
    </row>
    <row r="395" spans="1:4">
      <c r="A395" t="str">
        <f>TEXT(IF('Debt to GDP Ratio'!B399&lt;&gt;0,'Debt to GDP Ratio'!B399, ""), "mm/dd/yyyy")</f>
        <v/>
      </c>
      <c r="B395" t="str">
        <f>IFERROR(IF(ISNUMBER('Debt to GDP Ratio'!D399),TEXT('Debt to GDP Ratio'!D399,"0.00"), ""), "")</f>
        <v/>
      </c>
      <c r="C395" t="str">
        <f>IFERROR(IF(ISNUMBER('Debt to GDP Ratio'!E399),TEXT('Debt to GDP Ratio'!E399,"0.00"), ""), "")</f>
        <v/>
      </c>
      <c r="D395" t="str">
        <f>IFERROR(IF(ISNUMBER('Debt to GDP Ratio'!B399),'Debt to GDP Ratio'!G399, ""), "")</f>
        <v/>
      </c>
    </row>
    <row r="396" spans="1:4">
      <c r="A396" t="str">
        <f>TEXT(IF('Debt to GDP Ratio'!B400&lt;&gt;0,'Debt to GDP Ratio'!B400, ""), "mm/dd/yyyy")</f>
        <v/>
      </c>
      <c r="B396" t="str">
        <f>IFERROR(IF(ISNUMBER('Debt to GDP Ratio'!D400),TEXT('Debt to GDP Ratio'!D400,"0.00"), ""), "")</f>
        <v/>
      </c>
      <c r="C396" t="str">
        <f>IFERROR(IF(ISNUMBER('Debt to GDP Ratio'!E400),TEXT('Debt to GDP Ratio'!E400,"0.00"), ""), "")</f>
        <v/>
      </c>
      <c r="D396" t="str">
        <f>IFERROR(IF(ISNUMBER('Debt to GDP Ratio'!B400),'Debt to GDP Ratio'!G400, ""), "")</f>
        <v/>
      </c>
    </row>
    <row r="397" spans="1:4">
      <c r="A397" t="str">
        <f>TEXT(IF('Debt to GDP Ratio'!B401&lt;&gt;0,'Debt to GDP Ratio'!B401, ""), "mm/dd/yyyy")</f>
        <v/>
      </c>
      <c r="B397" t="str">
        <f>IFERROR(IF(ISNUMBER('Debt to GDP Ratio'!D401),TEXT('Debt to GDP Ratio'!D401,"0.00"), ""), "")</f>
        <v/>
      </c>
      <c r="C397" t="str">
        <f>IFERROR(IF(ISNUMBER('Debt to GDP Ratio'!E401),TEXT('Debt to GDP Ratio'!E401,"0.00"), ""), "")</f>
        <v/>
      </c>
      <c r="D397" t="str">
        <f>IFERROR(IF(ISNUMBER('Debt to GDP Ratio'!B401),'Debt to GDP Ratio'!G401, ""), "")</f>
        <v/>
      </c>
    </row>
    <row r="398" spans="1:4">
      <c r="A398" t="str">
        <f>TEXT(IF('Debt to GDP Ratio'!B402&lt;&gt;0,'Debt to GDP Ratio'!B402, ""), "mm/dd/yyyy")</f>
        <v/>
      </c>
      <c r="B398" t="str">
        <f>IFERROR(IF(ISNUMBER('Debt to GDP Ratio'!D402),TEXT('Debt to GDP Ratio'!D402,"0.00"), ""), "")</f>
        <v/>
      </c>
      <c r="C398" t="str">
        <f>IFERROR(IF(ISNUMBER('Debt to GDP Ratio'!E402),TEXT('Debt to GDP Ratio'!E402,"0.00"), ""), "")</f>
        <v/>
      </c>
      <c r="D398" t="str">
        <f>IFERROR(IF(ISNUMBER('Debt to GDP Ratio'!B402),'Debt to GDP Ratio'!G402, ""), "")</f>
        <v/>
      </c>
    </row>
    <row r="399" spans="1:4">
      <c r="A399" t="str">
        <f>TEXT(IF('Debt to GDP Ratio'!B403&lt;&gt;0,'Debt to GDP Ratio'!B403, ""), "mm/dd/yyyy")</f>
        <v/>
      </c>
      <c r="B399" t="str">
        <f>IFERROR(IF(ISNUMBER('Debt to GDP Ratio'!D403),TEXT('Debt to GDP Ratio'!D403,"0.00"), ""), "")</f>
        <v/>
      </c>
      <c r="C399" t="str">
        <f>IFERROR(IF(ISNUMBER('Debt to GDP Ratio'!E403),TEXT('Debt to GDP Ratio'!E403,"0.00"), ""), "")</f>
        <v/>
      </c>
      <c r="D399" t="str">
        <f>IFERROR(IF(ISNUMBER('Debt to GDP Ratio'!B403),'Debt to GDP Ratio'!G403, ""), "")</f>
        <v/>
      </c>
    </row>
    <row r="400" spans="1:4">
      <c r="A400" t="str">
        <f>TEXT(IF('Debt to GDP Ratio'!B404&lt;&gt;0,'Debt to GDP Ratio'!B404, ""), "mm/dd/yyyy")</f>
        <v/>
      </c>
      <c r="B400" t="str">
        <f>IFERROR(IF(ISNUMBER('Debt to GDP Ratio'!D404),TEXT('Debt to GDP Ratio'!D404,"0.00"), ""), "")</f>
        <v/>
      </c>
      <c r="C400" t="str">
        <f>IFERROR(IF(ISNUMBER('Debt to GDP Ratio'!E404),TEXT('Debt to GDP Ratio'!E404,"0.00"), ""), "")</f>
        <v/>
      </c>
      <c r="D400" t="str">
        <f>IFERROR(IF(ISNUMBER('Debt to GDP Ratio'!B404),'Debt to GDP Ratio'!G404, ""), "")</f>
        <v/>
      </c>
    </row>
    <row r="401" spans="1:4">
      <c r="A401" t="str">
        <f>TEXT(IF('Debt to GDP Ratio'!B405&lt;&gt;0,'Debt to GDP Ratio'!B405, ""), "mm/dd/yyyy")</f>
        <v/>
      </c>
      <c r="B401" t="str">
        <f>IFERROR(IF(ISNUMBER('Debt to GDP Ratio'!D405),TEXT('Debt to GDP Ratio'!D405,"0.00"), ""), "")</f>
        <v/>
      </c>
      <c r="C401" t="str">
        <f>IFERROR(IF(ISNUMBER('Debt to GDP Ratio'!E405),TEXT('Debt to GDP Ratio'!E405,"0.00"), ""), "")</f>
        <v/>
      </c>
      <c r="D401" t="str">
        <f>IFERROR(IF(ISNUMBER('Debt to GDP Ratio'!B405),'Debt to GDP Ratio'!G405, ""), "")</f>
        <v/>
      </c>
    </row>
    <row r="402" spans="1:4">
      <c r="A402" t="str">
        <f>TEXT(IF('Debt to GDP Ratio'!B406&lt;&gt;0,'Debt to GDP Ratio'!B406, ""), "mm/dd/yyyy")</f>
        <v/>
      </c>
      <c r="B402" t="str">
        <f>IFERROR(IF(ISNUMBER('Debt to GDP Ratio'!D406),TEXT('Debt to GDP Ratio'!D406,"0.00"), ""), "")</f>
        <v/>
      </c>
      <c r="C402" t="str">
        <f>IFERROR(IF(ISNUMBER('Debt to GDP Ratio'!E406),TEXT('Debt to GDP Ratio'!E406,"0.00"), ""), "")</f>
        <v/>
      </c>
      <c r="D402" t="str">
        <f>IFERROR(IF(ISNUMBER('Debt to GDP Ratio'!B406),'Debt to GDP Ratio'!G406, ""), "")</f>
        <v/>
      </c>
    </row>
    <row r="403" spans="1:4">
      <c r="A403" t="str">
        <f>TEXT(IF('Debt to GDP Ratio'!B407&lt;&gt;0,'Debt to GDP Ratio'!B407, ""), "mm/dd/yyyy")</f>
        <v/>
      </c>
      <c r="B403" t="str">
        <f>IFERROR(IF(ISNUMBER('Debt to GDP Ratio'!D407),TEXT('Debt to GDP Ratio'!D407,"0.00"), ""), "")</f>
        <v/>
      </c>
      <c r="C403" t="str">
        <f>IFERROR(IF(ISNUMBER('Debt to GDP Ratio'!E407),TEXT('Debt to GDP Ratio'!E407,"0.00"), ""), "")</f>
        <v/>
      </c>
      <c r="D403" t="str">
        <f>IFERROR(IF(ISNUMBER('Debt to GDP Ratio'!B407),'Debt to GDP Ratio'!G407, ""), "")</f>
        <v/>
      </c>
    </row>
    <row r="404" spans="1:4">
      <c r="A404" t="str">
        <f>TEXT(IF('Debt to GDP Ratio'!B408&lt;&gt;0,'Debt to GDP Ratio'!B408, ""), "mm/dd/yyyy")</f>
        <v/>
      </c>
      <c r="B404" t="str">
        <f>IFERROR(IF(ISNUMBER('Debt to GDP Ratio'!D408),TEXT('Debt to GDP Ratio'!D408,"0.00"), ""), "")</f>
        <v/>
      </c>
      <c r="C404" t="str">
        <f>IFERROR(IF(ISNUMBER('Debt to GDP Ratio'!E408),TEXT('Debt to GDP Ratio'!E408,"0.00"), ""), "")</f>
        <v/>
      </c>
      <c r="D404" t="str">
        <f>IFERROR(IF(ISNUMBER('Debt to GDP Ratio'!B408),'Debt to GDP Ratio'!G408, ""), "")</f>
        <v/>
      </c>
    </row>
    <row r="405" spans="1:4">
      <c r="A405" t="str">
        <f>TEXT(IF('Debt to GDP Ratio'!B409&lt;&gt;0,'Debt to GDP Ratio'!B409, ""), "mm/dd/yyyy")</f>
        <v/>
      </c>
      <c r="B405" t="str">
        <f>IFERROR(IF(ISNUMBER('Debt to GDP Ratio'!D409),TEXT('Debt to GDP Ratio'!D409,"0.00"), ""), "")</f>
        <v/>
      </c>
      <c r="C405" t="str">
        <f>IFERROR(IF(ISNUMBER('Debt to GDP Ratio'!E409),TEXT('Debt to GDP Ratio'!E409,"0.00"), ""), "")</f>
        <v/>
      </c>
      <c r="D405" t="str">
        <f>IFERROR(IF(ISNUMBER('Debt to GDP Ratio'!B409),'Debt to GDP Ratio'!G409, ""), "")</f>
        <v/>
      </c>
    </row>
    <row r="406" spans="1:4">
      <c r="A406" t="str">
        <f>TEXT(IF('Debt to GDP Ratio'!B410&lt;&gt;0,'Debt to GDP Ratio'!B410, ""), "mm/dd/yyyy")</f>
        <v/>
      </c>
      <c r="B406" t="str">
        <f>IFERROR(IF(ISNUMBER('Debt to GDP Ratio'!D410),TEXT('Debt to GDP Ratio'!D410,"0.00"), ""), "")</f>
        <v/>
      </c>
      <c r="C406" t="str">
        <f>IFERROR(IF(ISNUMBER('Debt to GDP Ratio'!E410),TEXT('Debt to GDP Ratio'!E410,"0.00"), ""), "")</f>
        <v/>
      </c>
      <c r="D406" t="str">
        <f>IFERROR(IF(ISNUMBER('Debt to GDP Ratio'!B410),'Debt to GDP Ratio'!G410, ""), "")</f>
        <v/>
      </c>
    </row>
    <row r="407" spans="1:4">
      <c r="A407" t="str">
        <f>TEXT(IF('Debt to GDP Ratio'!B411&lt;&gt;0,'Debt to GDP Ratio'!B411, ""), "mm/dd/yyyy")</f>
        <v/>
      </c>
      <c r="B407" t="str">
        <f>IFERROR(IF(ISNUMBER('Debt to GDP Ratio'!D411),TEXT('Debt to GDP Ratio'!D411,"0.00"), ""), "")</f>
        <v/>
      </c>
      <c r="C407" t="str">
        <f>IFERROR(IF(ISNUMBER('Debt to GDP Ratio'!E411),TEXT('Debt to GDP Ratio'!E411,"0.00"), ""), "")</f>
        <v/>
      </c>
      <c r="D407" t="str">
        <f>IFERROR(IF(ISNUMBER('Debt to GDP Ratio'!B411),'Debt to GDP Ratio'!G411, ""), "")</f>
        <v/>
      </c>
    </row>
    <row r="408" spans="1:4">
      <c r="A408" t="str">
        <f>TEXT(IF('Debt to GDP Ratio'!B412&lt;&gt;0,'Debt to GDP Ratio'!B412, ""), "mm/dd/yyyy")</f>
        <v/>
      </c>
      <c r="B408" t="str">
        <f>IFERROR(IF(ISNUMBER('Debt to GDP Ratio'!D412),TEXT('Debt to GDP Ratio'!D412,"0.00"), ""), "")</f>
        <v/>
      </c>
      <c r="C408" t="str">
        <f>IFERROR(IF(ISNUMBER('Debt to GDP Ratio'!E412),TEXT('Debt to GDP Ratio'!E412,"0.00"), ""), "")</f>
        <v/>
      </c>
      <c r="D408" t="str">
        <f>IFERROR(IF(ISNUMBER('Debt to GDP Ratio'!B412),'Debt to GDP Ratio'!G412, ""), "")</f>
        <v/>
      </c>
    </row>
    <row r="409" spans="1:4">
      <c r="A409" t="str">
        <f>TEXT(IF('Debt to GDP Ratio'!B413&lt;&gt;0,'Debt to GDP Ratio'!B413, ""), "mm/dd/yyyy")</f>
        <v/>
      </c>
      <c r="B409" t="str">
        <f>IFERROR(IF(ISNUMBER('Debt to GDP Ratio'!D413),TEXT('Debt to GDP Ratio'!D413,"0.00"), ""), "")</f>
        <v/>
      </c>
      <c r="C409" t="str">
        <f>IFERROR(IF(ISNUMBER('Debt to GDP Ratio'!E413),TEXT('Debt to GDP Ratio'!E413,"0.00"), ""), "")</f>
        <v/>
      </c>
      <c r="D409" t="str">
        <f>IFERROR(IF(ISNUMBER('Debt to GDP Ratio'!B413),'Debt to GDP Ratio'!G413, ""), "")</f>
        <v/>
      </c>
    </row>
    <row r="410" spans="1:4">
      <c r="A410" t="str">
        <f>TEXT(IF('Debt to GDP Ratio'!B414&lt;&gt;0,'Debt to GDP Ratio'!B414, ""), "mm/dd/yyyy")</f>
        <v/>
      </c>
      <c r="B410" t="str">
        <f>IFERROR(IF(ISNUMBER('Debt to GDP Ratio'!D414),TEXT('Debt to GDP Ratio'!D414,"0.00"), ""), "")</f>
        <v/>
      </c>
      <c r="C410" t="str">
        <f>IFERROR(IF(ISNUMBER('Debt to GDP Ratio'!E414),TEXT('Debt to GDP Ratio'!E414,"0.00"), ""), "")</f>
        <v/>
      </c>
      <c r="D410" t="str">
        <f>IFERROR(IF(ISNUMBER('Debt to GDP Ratio'!B414),'Debt to GDP Ratio'!G414, ""), "")</f>
        <v/>
      </c>
    </row>
    <row r="411" spans="1:4">
      <c r="A411" t="str">
        <f>TEXT(IF('Debt to GDP Ratio'!B415&lt;&gt;0,'Debt to GDP Ratio'!B415, ""), "mm/dd/yyyy")</f>
        <v/>
      </c>
      <c r="B411" t="str">
        <f>IFERROR(IF(ISNUMBER('Debt to GDP Ratio'!D415),TEXT('Debt to GDP Ratio'!D415,"0.00"), ""), "")</f>
        <v/>
      </c>
      <c r="C411" t="str">
        <f>IFERROR(IF(ISNUMBER('Debt to GDP Ratio'!E415),TEXT('Debt to GDP Ratio'!E415,"0.00"), ""), "")</f>
        <v/>
      </c>
      <c r="D411" t="str">
        <f>IFERROR(IF(ISNUMBER('Debt to GDP Ratio'!B415),'Debt to GDP Ratio'!G415, ""), "")</f>
        <v/>
      </c>
    </row>
    <row r="412" spans="1:4">
      <c r="A412" t="str">
        <f>TEXT(IF('Debt to GDP Ratio'!B416&lt;&gt;0,'Debt to GDP Ratio'!B416, ""), "mm/dd/yyyy")</f>
        <v/>
      </c>
      <c r="B412" t="str">
        <f>IFERROR(IF(ISNUMBER('Debt to GDP Ratio'!D416),TEXT('Debt to GDP Ratio'!D416,"0.00"), ""), "")</f>
        <v/>
      </c>
      <c r="C412" t="str">
        <f>IFERROR(IF(ISNUMBER('Debt to GDP Ratio'!E416),TEXT('Debt to GDP Ratio'!E416,"0.00"), ""), "")</f>
        <v/>
      </c>
      <c r="D412" t="str">
        <f>IFERROR(IF(ISNUMBER('Debt to GDP Ratio'!B416),'Debt to GDP Ratio'!G416, ""), "")</f>
        <v/>
      </c>
    </row>
    <row r="413" spans="1:4">
      <c r="A413" t="str">
        <f>TEXT(IF('Debt to GDP Ratio'!B417&lt;&gt;0,'Debt to GDP Ratio'!B417, ""), "mm/dd/yyyy")</f>
        <v/>
      </c>
      <c r="B413" t="str">
        <f>IFERROR(IF(ISNUMBER('Debt to GDP Ratio'!D417),TEXT('Debt to GDP Ratio'!D417,"0.00"), ""), "")</f>
        <v/>
      </c>
      <c r="C413" t="str">
        <f>IFERROR(IF(ISNUMBER('Debt to GDP Ratio'!E417),TEXT('Debt to GDP Ratio'!E417,"0.00"), ""), "")</f>
        <v/>
      </c>
      <c r="D413" t="str">
        <f>IFERROR(IF(ISNUMBER('Debt to GDP Ratio'!B417),'Debt to GDP Ratio'!G417, ""), "")</f>
        <v/>
      </c>
    </row>
    <row r="414" spans="1:4">
      <c r="A414" t="str">
        <f>TEXT(IF('Debt to GDP Ratio'!B418&lt;&gt;0,'Debt to GDP Ratio'!B418, ""), "mm/dd/yyyy")</f>
        <v/>
      </c>
      <c r="B414" t="str">
        <f>IFERROR(IF(ISNUMBER('Debt to GDP Ratio'!D418),TEXT('Debt to GDP Ratio'!D418,"0.00"), ""), "")</f>
        <v/>
      </c>
      <c r="C414" t="str">
        <f>IFERROR(IF(ISNUMBER('Debt to GDP Ratio'!E418),TEXT('Debt to GDP Ratio'!E418,"0.00"), ""), "")</f>
        <v/>
      </c>
      <c r="D414" t="str">
        <f>IFERROR(IF(ISNUMBER('Debt to GDP Ratio'!B418),'Debt to GDP Ratio'!G418, ""), "")</f>
        <v/>
      </c>
    </row>
    <row r="415" spans="1:4">
      <c r="A415" t="str">
        <f>TEXT(IF('Debt to GDP Ratio'!B419&lt;&gt;0,'Debt to GDP Ratio'!B419, ""), "mm/dd/yyyy")</f>
        <v/>
      </c>
      <c r="B415" t="str">
        <f>IFERROR(IF(ISNUMBER('Debt to GDP Ratio'!D419),TEXT('Debt to GDP Ratio'!D419,"0.00"), ""), "")</f>
        <v/>
      </c>
      <c r="C415" t="str">
        <f>IFERROR(IF(ISNUMBER('Debt to GDP Ratio'!E419),TEXT('Debt to GDP Ratio'!E419,"0.00"), ""), "")</f>
        <v/>
      </c>
      <c r="D415" t="str">
        <f>IFERROR(IF(ISNUMBER('Debt to GDP Ratio'!B419),'Debt to GDP Ratio'!G419, ""), "")</f>
        <v/>
      </c>
    </row>
    <row r="416" spans="1:4">
      <c r="A416" t="str">
        <f>TEXT(IF('Debt to GDP Ratio'!B420&lt;&gt;0,'Debt to GDP Ratio'!B420, ""), "mm/dd/yyyy")</f>
        <v/>
      </c>
      <c r="B416" t="str">
        <f>IFERROR(IF(ISNUMBER('Debt to GDP Ratio'!D420),TEXT('Debt to GDP Ratio'!D420,"0.00"), ""), "")</f>
        <v/>
      </c>
      <c r="C416" t="str">
        <f>IFERROR(IF(ISNUMBER('Debt to GDP Ratio'!E420),TEXT('Debt to GDP Ratio'!E420,"0.00"), ""), "")</f>
        <v/>
      </c>
      <c r="D416" t="str">
        <f>IFERROR(IF(ISNUMBER('Debt to GDP Ratio'!B420),'Debt to GDP Ratio'!G420, ""), "")</f>
        <v/>
      </c>
    </row>
    <row r="417" spans="1:4">
      <c r="A417" t="str">
        <f>TEXT(IF('Debt to GDP Ratio'!B421&lt;&gt;0,'Debt to GDP Ratio'!B421, ""), "mm/dd/yyyy")</f>
        <v/>
      </c>
      <c r="B417" t="str">
        <f>IFERROR(IF(ISNUMBER('Debt to GDP Ratio'!D421),TEXT('Debt to GDP Ratio'!D421,"0.00"), ""), "")</f>
        <v/>
      </c>
      <c r="C417" t="str">
        <f>IFERROR(IF(ISNUMBER('Debt to GDP Ratio'!E421),TEXT('Debt to GDP Ratio'!E421,"0.00"), ""), "")</f>
        <v/>
      </c>
      <c r="D417" t="str">
        <f>IFERROR(IF(ISNUMBER('Debt to GDP Ratio'!B421),'Debt to GDP Ratio'!G421, ""), "")</f>
        <v/>
      </c>
    </row>
    <row r="418" spans="1:4">
      <c r="A418" t="str">
        <f>TEXT(IF('Debt to GDP Ratio'!B422&lt;&gt;0,'Debt to GDP Ratio'!B422, ""), "mm/dd/yyyy")</f>
        <v/>
      </c>
      <c r="B418" t="str">
        <f>IFERROR(IF(ISNUMBER('Debt to GDP Ratio'!D422),TEXT('Debt to GDP Ratio'!D422,"0.00"), ""), "")</f>
        <v/>
      </c>
      <c r="C418" t="str">
        <f>IFERROR(IF(ISNUMBER('Debt to GDP Ratio'!E422),TEXT('Debt to GDP Ratio'!E422,"0.00"), ""), "")</f>
        <v/>
      </c>
      <c r="D418" t="str">
        <f>IFERROR(IF(ISNUMBER('Debt to GDP Ratio'!B422),'Debt to GDP Ratio'!G422, ""), "")</f>
        <v/>
      </c>
    </row>
    <row r="419" spans="1:4">
      <c r="A419" t="str">
        <f>TEXT(IF('Debt to GDP Ratio'!B423&lt;&gt;0,'Debt to GDP Ratio'!B423, ""), "mm/dd/yyyy")</f>
        <v/>
      </c>
      <c r="B419" t="str">
        <f>IFERROR(IF(ISNUMBER('Debt to GDP Ratio'!D423),TEXT('Debt to GDP Ratio'!D423,"0.00"), ""), "")</f>
        <v/>
      </c>
      <c r="C419" t="str">
        <f>IFERROR(IF(ISNUMBER('Debt to GDP Ratio'!E423),TEXT('Debt to GDP Ratio'!E423,"0.00"), ""), "")</f>
        <v/>
      </c>
      <c r="D419" t="str">
        <f>IFERROR(IF(ISNUMBER('Debt to GDP Ratio'!B423),'Debt to GDP Ratio'!G423, ""), "")</f>
        <v/>
      </c>
    </row>
    <row r="420" spans="1:4">
      <c r="A420" t="str">
        <f>TEXT(IF('Debt to GDP Ratio'!B424&lt;&gt;0,'Debt to GDP Ratio'!B424, ""), "mm/dd/yyyy")</f>
        <v/>
      </c>
      <c r="B420" t="str">
        <f>IFERROR(IF(ISNUMBER('Debt to GDP Ratio'!D424),TEXT('Debt to GDP Ratio'!D424,"0.00"), ""), "")</f>
        <v/>
      </c>
      <c r="C420" t="str">
        <f>IFERROR(IF(ISNUMBER('Debt to GDP Ratio'!E424),TEXT('Debt to GDP Ratio'!E424,"0.00"), ""), "")</f>
        <v/>
      </c>
      <c r="D420" t="str">
        <f>IFERROR(IF(ISNUMBER('Debt to GDP Ratio'!B424),'Debt to GDP Ratio'!G424, ""), "")</f>
        <v/>
      </c>
    </row>
    <row r="421" spans="1:4">
      <c r="A421" t="str">
        <f>TEXT(IF('Debt to GDP Ratio'!B425&lt;&gt;0,'Debt to GDP Ratio'!B425, ""), "mm/dd/yyyy")</f>
        <v/>
      </c>
      <c r="B421" t="str">
        <f>IFERROR(IF(ISNUMBER('Debt to GDP Ratio'!D425),TEXT('Debt to GDP Ratio'!D425,"0.00"), ""), "")</f>
        <v/>
      </c>
      <c r="C421" t="str">
        <f>IFERROR(IF(ISNUMBER('Debt to GDP Ratio'!E425),TEXT('Debt to GDP Ratio'!E425,"0.00"), ""), "")</f>
        <v/>
      </c>
      <c r="D421" t="str">
        <f>IFERROR(IF(ISNUMBER('Debt to GDP Ratio'!B425),'Debt to GDP Ratio'!G425, ""), "")</f>
        <v/>
      </c>
    </row>
    <row r="422" spans="1:4">
      <c r="A422" t="str">
        <f>TEXT(IF('Debt to GDP Ratio'!B426&lt;&gt;0,'Debt to GDP Ratio'!B426, ""), "mm/dd/yyyy")</f>
        <v/>
      </c>
      <c r="B422" t="str">
        <f>IFERROR(IF(ISNUMBER('Debt to GDP Ratio'!D426),TEXT('Debt to GDP Ratio'!D426,"0.00"), ""), "")</f>
        <v/>
      </c>
      <c r="C422" t="str">
        <f>IFERROR(IF(ISNUMBER('Debt to GDP Ratio'!E426),TEXT('Debt to GDP Ratio'!E426,"0.00"), ""), "")</f>
        <v/>
      </c>
      <c r="D422" t="str">
        <f>IFERROR(IF(ISNUMBER('Debt to GDP Ratio'!B426),'Debt to GDP Ratio'!G426, ""), "")</f>
        <v/>
      </c>
    </row>
    <row r="423" spans="1:4">
      <c r="A423" t="str">
        <f>TEXT(IF('Debt to GDP Ratio'!B427&lt;&gt;0,'Debt to GDP Ratio'!B427, ""), "mm/dd/yyyy")</f>
        <v/>
      </c>
      <c r="B423" t="str">
        <f>IFERROR(IF(ISNUMBER('Debt to GDP Ratio'!D427),TEXT('Debt to GDP Ratio'!D427,"0.00"), ""), "")</f>
        <v/>
      </c>
      <c r="C423" t="str">
        <f>IFERROR(IF(ISNUMBER('Debt to GDP Ratio'!E427),TEXT('Debt to GDP Ratio'!E427,"0.00"), ""), "")</f>
        <v/>
      </c>
      <c r="D423" t="str">
        <f>IFERROR(IF(ISNUMBER('Debt to GDP Ratio'!B427),'Debt to GDP Ratio'!G427, ""), "")</f>
        <v/>
      </c>
    </row>
    <row r="424" spans="1:4">
      <c r="A424" t="str">
        <f>TEXT(IF('Debt to GDP Ratio'!B428&lt;&gt;0,'Debt to GDP Ratio'!B428, ""), "mm/dd/yyyy")</f>
        <v/>
      </c>
      <c r="B424" t="str">
        <f>IFERROR(IF(ISNUMBER('Debt to GDP Ratio'!D428),TEXT('Debt to GDP Ratio'!D428,"0.00"), ""), "")</f>
        <v/>
      </c>
      <c r="C424" t="str">
        <f>IFERROR(IF(ISNUMBER('Debt to GDP Ratio'!E428),TEXT('Debt to GDP Ratio'!E428,"0.00"), ""), "")</f>
        <v/>
      </c>
      <c r="D424" t="str">
        <f>IFERROR(IF(ISNUMBER('Debt to GDP Ratio'!B428),'Debt to GDP Ratio'!G428, ""), "")</f>
        <v/>
      </c>
    </row>
    <row r="425" spans="1:4">
      <c r="A425" t="str">
        <f>TEXT(IF('Debt to GDP Ratio'!B429&lt;&gt;0,'Debt to GDP Ratio'!B429, ""), "mm/dd/yyyy")</f>
        <v/>
      </c>
      <c r="B425" t="str">
        <f>IFERROR(IF(ISNUMBER('Debt to GDP Ratio'!D429),TEXT('Debt to GDP Ratio'!D429,"0.00"), ""), "")</f>
        <v/>
      </c>
      <c r="C425" t="str">
        <f>IFERROR(IF(ISNUMBER('Debt to GDP Ratio'!E429),TEXT('Debt to GDP Ratio'!E429,"0.00"), ""), "")</f>
        <v/>
      </c>
      <c r="D425" t="str">
        <f>IFERROR(IF(ISNUMBER('Debt to GDP Ratio'!B429),'Debt to GDP Ratio'!G429, ""), "")</f>
        <v/>
      </c>
    </row>
    <row r="426" spans="1:4">
      <c r="A426" t="str">
        <f>TEXT(IF('Debt to GDP Ratio'!B430&lt;&gt;0,'Debt to GDP Ratio'!B430, ""), "mm/dd/yyyy")</f>
        <v/>
      </c>
      <c r="B426" t="str">
        <f>IFERROR(IF(ISNUMBER('Debt to GDP Ratio'!D430),TEXT('Debt to GDP Ratio'!D430,"0.00"), ""), "")</f>
        <v/>
      </c>
      <c r="C426" t="str">
        <f>IFERROR(IF(ISNUMBER('Debt to GDP Ratio'!E430),TEXT('Debt to GDP Ratio'!E430,"0.00"), ""), "")</f>
        <v/>
      </c>
      <c r="D426" t="str">
        <f>IFERROR(IF(ISNUMBER('Debt to GDP Ratio'!B430),'Debt to GDP Ratio'!G430, ""), "")</f>
        <v/>
      </c>
    </row>
    <row r="427" spans="1:4">
      <c r="A427" t="str">
        <f>TEXT(IF('Debt to GDP Ratio'!B431&lt;&gt;0,'Debt to GDP Ratio'!B431, ""), "mm/dd/yyyy")</f>
        <v/>
      </c>
      <c r="B427" t="str">
        <f>IFERROR(IF(ISNUMBER('Debt to GDP Ratio'!D431),TEXT('Debt to GDP Ratio'!D431,"0.00"), ""), "")</f>
        <v/>
      </c>
      <c r="C427" t="str">
        <f>IFERROR(IF(ISNUMBER('Debt to GDP Ratio'!E431),TEXT('Debt to GDP Ratio'!E431,"0.00"), ""), "")</f>
        <v/>
      </c>
      <c r="D427" t="str">
        <f>IFERROR(IF(ISNUMBER('Debt to GDP Ratio'!B431),'Debt to GDP Ratio'!G431, ""), "")</f>
        <v/>
      </c>
    </row>
    <row r="428" spans="1:4">
      <c r="A428" t="str">
        <f>TEXT(IF('Debt to GDP Ratio'!B432&lt;&gt;0,'Debt to GDP Ratio'!B432, ""), "mm/dd/yyyy")</f>
        <v/>
      </c>
      <c r="B428" t="str">
        <f>IFERROR(IF(ISNUMBER('Debt to GDP Ratio'!D432),TEXT('Debt to GDP Ratio'!D432,"0.00"), ""), "")</f>
        <v/>
      </c>
      <c r="C428" t="str">
        <f>IFERROR(IF(ISNUMBER('Debt to GDP Ratio'!E432),TEXT('Debt to GDP Ratio'!E432,"0.00"), ""), "")</f>
        <v/>
      </c>
      <c r="D428" t="str">
        <f>IFERROR(IF(ISNUMBER('Debt to GDP Ratio'!B432),'Debt to GDP Ratio'!G432, ""), "")</f>
        <v/>
      </c>
    </row>
    <row r="429" spans="1:4">
      <c r="A429" t="str">
        <f>TEXT(IF('Debt to GDP Ratio'!B433&lt;&gt;0,'Debt to GDP Ratio'!B433, ""), "mm/dd/yyyy")</f>
        <v/>
      </c>
      <c r="B429" t="str">
        <f>IFERROR(IF(ISNUMBER('Debt to GDP Ratio'!D433),TEXT('Debt to GDP Ratio'!D433,"0.00"), ""), "")</f>
        <v/>
      </c>
      <c r="C429" t="str">
        <f>IFERROR(IF(ISNUMBER('Debt to GDP Ratio'!E433),TEXT('Debt to GDP Ratio'!E433,"0.00"), ""), "")</f>
        <v/>
      </c>
      <c r="D429" t="str">
        <f>IFERROR(IF(ISNUMBER('Debt to GDP Ratio'!B433),'Debt to GDP Ratio'!G433, ""), "")</f>
        <v/>
      </c>
    </row>
    <row r="430" spans="1:4">
      <c r="A430" t="str">
        <f>TEXT(IF('Debt to GDP Ratio'!B434&lt;&gt;0,'Debt to GDP Ratio'!B434, ""), "mm/dd/yyyy")</f>
        <v/>
      </c>
      <c r="B430" t="str">
        <f>IFERROR(IF(ISNUMBER('Debt to GDP Ratio'!D434),TEXT('Debt to GDP Ratio'!D434,"0.00"), ""), "")</f>
        <v/>
      </c>
      <c r="C430" t="str">
        <f>IFERROR(IF(ISNUMBER('Debt to GDP Ratio'!E434),TEXT('Debt to GDP Ratio'!E434,"0.00"), ""), "")</f>
        <v/>
      </c>
      <c r="D430" t="str">
        <f>IFERROR(IF(ISNUMBER('Debt to GDP Ratio'!B434),'Debt to GDP Ratio'!G434, ""), "")</f>
        <v/>
      </c>
    </row>
    <row r="431" spans="1:4">
      <c r="A431" t="str">
        <f>TEXT(IF('Debt to GDP Ratio'!B435&lt;&gt;0,'Debt to GDP Ratio'!B435, ""), "mm/dd/yyyy")</f>
        <v/>
      </c>
      <c r="B431" t="str">
        <f>IFERROR(IF(ISNUMBER('Debt to GDP Ratio'!D435),TEXT('Debt to GDP Ratio'!D435,"0.00"), ""), "")</f>
        <v/>
      </c>
      <c r="C431" t="str">
        <f>IFERROR(IF(ISNUMBER('Debt to GDP Ratio'!E435),TEXT('Debt to GDP Ratio'!E435,"0.00"), ""), "")</f>
        <v/>
      </c>
      <c r="D431" t="str">
        <f>IFERROR(IF(ISNUMBER('Debt to GDP Ratio'!B435),'Debt to GDP Ratio'!G435, ""), "")</f>
        <v/>
      </c>
    </row>
    <row r="432" spans="1:4">
      <c r="A432" t="str">
        <f>TEXT(IF('Debt to GDP Ratio'!B436&lt;&gt;0,'Debt to GDP Ratio'!B436, ""), "mm/dd/yyyy")</f>
        <v/>
      </c>
      <c r="B432" t="str">
        <f>IFERROR(IF(ISNUMBER('Debt to GDP Ratio'!D436),TEXT('Debt to GDP Ratio'!D436,"0.00"), ""), "")</f>
        <v/>
      </c>
      <c r="C432" t="str">
        <f>IFERROR(IF(ISNUMBER('Debt to GDP Ratio'!E436),TEXT('Debt to GDP Ratio'!E436,"0.00"), ""), "")</f>
        <v/>
      </c>
      <c r="D432" t="str">
        <f>IFERROR(IF(ISNUMBER('Debt to GDP Ratio'!B436),'Debt to GDP Ratio'!G436, ""), "")</f>
        <v/>
      </c>
    </row>
    <row r="433" spans="1:4">
      <c r="A433" t="str">
        <f>TEXT(IF('Debt to GDP Ratio'!B437&lt;&gt;0,'Debt to GDP Ratio'!B437, ""), "mm/dd/yyyy")</f>
        <v/>
      </c>
      <c r="B433" t="str">
        <f>IFERROR(IF(ISNUMBER('Debt to GDP Ratio'!D437),TEXT('Debt to GDP Ratio'!D437,"0.00"), ""), "")</f>
        <v/>
      </c>
      <c r="C433" t="str">
        <f>IFERROR(IF(ISNUMBER('Debt to GDP Ratio'!E437),TEXT('Debt to GDP Ratio'!E437,"0.00"), ""), "")</f>
        <v/>
      </c>
      <c r="D433" t="str">
        <f>IFERROR(IF(ISNUMBER('Debt to GDP Ratio'!B437),'Debt to GDP Ratio'!G437, ""), "")</f>
        <v/>
      </c>
    </row>
    <row r="434" spans="1:4">
      <c r="A434" t="str">
        <f>TEXT(IF('Debt to GDP Ratio'!B438&lt;&gt;0,'Debt to GDP Ratio'!B438, ""), "mm/dd/yyyy")</f>
        <v/>
      </c>
      <c r="B434" t="str">
        <f>IFERROR(IF(ISNUMBER('Debt to GDP Ratio'!D438),TEXT('Debt to GDP Ratio'!D438,"0.00"), ""), "")</f>
        <v/>
      </c>
      <c r="C434" t="str">
        <f>IFERROR(IF(ISNUMBER('Debt to GDP Ratio'!E438),TEXT('Debt to GDP Ratio'!E438,"0.00"), ""), "")</f>
        <v/>
      </c>
      <c r="D434" t="str">
        <f>IFERROR(IF(ISNUMBER('Debt to GDP Ratio'!B438),'Debt to GDP Ratio'!G438, ""), "")</f>
        <v/>
      </c>
    </row>
    <row r="435" spans="1:4">
      <c r="A435" t="str">
        <f>TEXT(IF('Debt to GDP Ratio'!B439&lt;&gt;0,'Debt to GDP Ratio'!B439, ""), "mm/dd/yyyy")</f>
        <v/>
      </c>
      <c r="B435" t="str">
        <f>IFERROR(IF(ISNUMBER('Debt to GDP Ratio'!D439),TEXT('Debt to GDP Ratio'!D439,"0.00"), ""), "")</f>
        <v/>
      </c>
      <c r="C435" t="str">
        <f>IFERROR(IF(ISNUMBER('Debt to GDP Ratio'!E439),TEXT('Debt to GDP Ratio'!E439,"0.00"), ""), "")</f>
        <v/>
      </c>
      <c r="D435" t="str">
        <f>IFERROR(IF(ISNUMBER('Debt to GDP Ratio'!B439),'Debt to GDP Ratio'!G439, ""), "")</f>
        <v/>
      </c>
    </row>
    <row r="436" spans="1:4">
      <c r="A436" t="str">
        <f>TEXT(IF('Debt to GDP Ratio'!B440&lt;&gt;0,'Debt to GDP Ratio'!B440, ""), "mm/dd/yyyy")</f>
        <v/>
      </c>
      <c r="B436" t="str">
        <f>IFERROR(IF(ISNUMBER('Debt to GDP Ratio'!D440),TEXT('Debt to GDP Ratio'!D440,"0.00"), ""), "")</f>
        <v/>
      </c>
      <c r="C436" t="str">
        <f>IFERROR(IF(ISNUMBER('Debt to GDP Ratio'!E440),TEXT('Debt to GDP Ratio'!E440,"0.00"), ""), "")</f>
        <v/>
      </c>
      <c r="D436" t="str">
        <f>IFERROR(IF(ISNUMBER('Debt to GDP Ratio'!B440),'Debt to GDP Ratio'!G440, ""), "")</f>
        <v/>
      </c>
    </row>
    <row r="437" spans="1:4">
      <c r="A437" t="str">
        <f>TEXT(IF('Debt to GDP Ratio'!B441&lt;&gt;0,'Debt to GDP Ratio'!B441, ""), "mm/dd/yyyy")</f>
        <v/>
      </c>
      <c r="B437" t="str">
        <f>IFERROR(IF(ISNUMBER('Debt to GDP Ratio'!D441),TEXT('Debt to GDP Ratio'!D441,"0.00"), ""), "")</f>
        <v/>
      </c>
      <c r="C437" t="str">
        <f>IFERROR(IF(ISNUMBER('Debt to GDP Ratio'!E441),TEXT('Debt to GDP Ratio'!E441,"0.00"), ""), "")</f>
        <v/>
      </c>
      <c r="D437" t="str">
        <f>IFERROR(IF(ISNUMBER('Debt to GDP Ratio'!B441),'Debt to GDP Ratio'!G441, ""), "")</f>
        <v/>
      </c>
    </row>
    <row r="438" spans="1:4">
      <c r="A438" t="str">
        <f>TEXT(IF('Debt to GDP Ratio'!B442&lt;&gt;0,'Debt to GDP Ratio'!B442, ""), "mm/dd/yyyy")</f>
        <v/>
      </c>
      <c r="B438" t="str">
        <f>IFERROR(IF(ISNUMBER('Debt to GDP Ratio'!D442),TEXT('Debt to GDP Ratio'!D442,"0.00"), ""), "")</f>
        <v/>
      </c>
      <c r="C438" t="str">
        <f>IFERROR(IF(ISNUMBER('Debt to GDP Ratio'!E442),TEXT('Debt to GDP Ratio'!E442,"0.00"), ""), "")</f>
        <v/>
      </c>
      <c r="D438" t="str">
        <f>IFERROR(IF(ISNUMBER('Debt to GDP Ratio'!B442),'Debt to GDP Ratio'!G442, ""), "")</f>
        <v/>
      </c>
    </row>
    <row r="439" spans="1:4">
      <c r="A439" t="str">
        <f>TEXT(IF('Debt to GDP Ratio'!B443&lt;&gt;0,'Debt to GDP Ratio'!B443, ""), "mm/dd/yyyy")</f>
        <v/>
      </c>
      <c r="B439" t="str">
        <f>IFERROR(IF(ISNUMBER('Debt to GDP Ratio'!D443),TEXT('Debt to GDP Ratio'!D443,"0.00"), ""), "")</f>
        <v/>
      </c>
      <c r="C439" t="str">
        <f>IFERROR(IF(ISNUMBER('Debt to GDP Ratio'!E443),TEXT('Debt to GDP Ratio'!E443,"0.00"), ""), "")</f>
        <v/>
      </c>
      <c r="D439" t="str">
        <f>IFERROR(IF(ISNUMBER('Debt to GDP Ratio'!B443),'Debt to GDP Ratio'!G443, ""), "")</f>
        <v/>
      </c>
    </row>
    <row r="440" spans="1:4">
      <c r="A440" t="str">
        <f>TEXT(IF('Debt to GDP Ratio'!B444&lt;&gt;0,'Debt to GDP Ratio'!B444, ""), "mm/dd/yyyy")</f>
        <v/>
      </c>
      <c r="B440" t="str">
        <f>IFERROR(IF(ISNUMBER('Debt to GDP Ratio'!D444),TEXT('Debt to GDP Ratio'!D444,"0.00"), ""), "")</f>
        <v/>
      </c>
      <c r="C440" t="str">
        <f>IFERROR(IF(ISNUMBER('Debt to GDP Ratio'!E444),TEXT('Debt to GDP Ratio'!E444,"0.00"), ""), "")</f>
        <v/>
      </c>
      <c r="D440" t="str">
        <f>IFERROR(IF(ISNUMBER('Debt to GDP Ratio'!B444),'Debt to GDP Ratio'!G444, ""), "")</f>
        <v/>
      </c>
    </row>
    <row r="441" spans="1:4">
      <c r="A441" t="str">
        <f>TEXT(IF('Debt to GDP Ratio'!B445&lt;&gt;0,'Debt to GDP Ratio'!B445, ""), "mm/dd/yyyy")</f>
        <v/>
      </c>
      <c r="B441" t="str">
        <f>IFERROR(IF(ISNUMBER('Debt to GDP Ratio'!D445),TEXT('Debt to GDP Ratio'!D445,"0.00"), ""), "")</f>
        <v/>
      </c>
      <c r="C441" t="str">
        <f>IFERROR(IF(ISNUMBER('Debt to GDP Ratio'!E445),TEXT('Debt to GDP Ratio'!E445,"0.00"), ""), "")</f>
        <v/>
      </c>
      <c r="D441" t="str">
        <f>IFERROR(IF(ISNUMBER('Debt to GDP Ratio'!B445),'Debt to GDP Ratio'!G445, ""), "")</f>
        <v/>
      </c>
    </row>
    <row r="442" spans="1:4">
      <c r="A442" t="str">
        <f>TEXT(IF('Debt to GDP Ratio'!B446&lt;&gt;0,'Debt to GDP Ratio'!B446, ""), "mm/dd/yyyy")</f>
        <v/>
      </c>
      <c r="B442" t="str">
        <f>IFERROR(IF(ISNUMBER('Debt to GDP Ratio'!D446),TEXT('Debt to GDP Ratio'!D446,"0.00"), ""), "")</f>
        <v/>
      </c>
      <c r="C442" t="str">
        <f>IFERROR(IF(ISNUMBER('Debt to GDP Ratio'!E446),TEXT('Debt to GDP Ratio'!E446,"0.00"), ""), "")</f>
        <v/>
      </c>
      <c r="D442" t="str">
        <f>IFERROR(IF(ISNUMBER('Debt to GDP Ratio'!B446),'Debt to GDP Ratio'!G446, ""), "")</f>
        <v/>
      </c>
    </row>
    <row r="443" spans="1:4">
      <c r="A443" t="str">
        <f>TEXT(IF('Debt to GDP Ratio'!B447&lt;&gt;0,'Debt to GDP Ratio'!B447, ""), "mm/dd/yyyy")</f>
        <v/>
      </c>
      <c r="B443" t="str">
        <f>IFERROR(IF(ISNUMBER('Debt to GDP Ratio'!D447),TEXT('Debt to GDP Ratio'!D447,"0.00"), ""), "")</f>
        <v/>
      </c>
      <c r="C443" t="str">
        <f>IFERROR(IF(ISNUMBER('Debt to GDP Ratio'!E447),TEXT('Debt to GDP Ratio'!E447,"0.00"), ""), "")</f>
        <v/>
      </c>
      <c r="D443" t="str">
        <f>IFERROR(IF(ISNUMBER('Debt to GDP Ratio'!B447),'Debt to GDP Ratio'!G447, ""), "")</f>
        <v/>
      </c>
    </row>
    <row r="444" spans="1:4">
      <c r="A444" t="str">
        <f>TEXT(IF('Debt to GDP Ratio'!B448&lt;&gt;0,'Debt to GDP Ratio'!B448, ""), "mm/dd/yyyy")</f>
        <v/>
      </c>
      <c r="B444" t="str">
        <f>IFERROR(IF(ISNUMBER('Debt to GDP Ratio'!D448),TEXT('Debt to GDP Ratio'!D448,"0.00"), ""), "")</f>
        <v/>
      </c>
      <c r="C444" t="str">
        <f>IFERROR(IF(ISNUMBER('Debt to GDP Ratio'!E448),TEXT('Debt to GDP Ratio'!E448,"0.00"), ""), "")</f>
        <v/>
      </c>
      <c r="D444" t="str">
        <f>IFERROR(IF(ISNUMBER('Debt to GDP Ratio'!B448),'Debt to GDP Ratio'!G448, ""), "")</f>
        <v/>
      </c>
    </row>
    <row r="445" spans="1:4">
      <c r="A445" t="str">
        <f>TEXT(IF('Debt to GDP Ratio'!B449&lt;&gt;0,'Debt to GDP Ratio'!B449, ""), "mm/dd/yyyy")</f>
        <v/>
      </c>
      <c r="B445" t="str">
        <f>IFERROR(IF(ISNUMBER('Debt to GDP Ratio'!D449),TEXT('Debt to GDP Ratio'!D449,"0.00"), ""), "")</f>
        <v/>
      </c>
      <c r="C445" t="str">
        <f>IFERROR(IF(ISNUMBER('Debt to GDP Ratio'!E449),TEXT('Debt to GDP Ratio'!E449,"0.00"), ""), "")</f>
        <v/>
      </c>
      <c r="D445" t="str">
        <f>IFERROR(IF(ISNUMBER('Debt to GDP Ratio'!B449),'Debt to GDP Ratio'!G449, ""), "")</f>
        <v/>
      </c>
    </row>
    <row r="446" spans="1:4">
      <c r="A446" t="str">
        <f>TEXT(IF('Debt to GDP Ratio'!B450&lt;&gt;0,'Debt to GDP Ratio'!B450, ""), "mm/dd/yyyy")</f>
        <v/>
      </c>
      <c r="B446" t="str">
        <f>IFERROR(IF(ISNUMBER('Debt to GDP Ratio'!D450),TEXT('Debt to GDP Ratio'!D450,"0.00"), ""), "")</f>
        <v/>
      </c>
      <c r="C446" t="str">
        <f>IFERROR(IF(ISNUMBER('Debt to GDP Ratio'!E450),TEXT('Debt to GDP Ratio'!E450,"0.00"), ""), "")</f>
        <v/>
      </c>
      <c r="D446" t="str">
        <f>IFERROR(IF(ISNUMBER('Debt to GDP Ratio'!B450),'Debt to GDP Ratio'!G450, ""), "")</f>
        <v/>
      </c>
    </row>
    <row r="447" spans="1:4">
      <c r="A447" t="str">
        <f>TEXT(IF('Debt to GDP Ratio'!B451&lt;&gt;0,'Debt to GDP Ratio'!B451, ""), "mm/dd/yyyy")</f>
        <v/>
      </c>
      <c r="B447" t="str">
        <f>IFERROR(IF(ISNUMBER('Debt to GDP Ratio'!D451),TEXT('Debt to GDP Ratio'!D451,"0.00"), ""), "")</f>
        <v/>
      </c>
      <c r="C447" t="str">
        <f>IFERROR(IF(ISNUMBER('Debt to GDP Ratio'!E451),TEXT('Debt to GDP Ratio'!E451,"0.00"), ""), "")</f>
        <v/>
      </c>
      <c r="D447" t="str">
        <f>IFERROR(IF(ISNUMBER('Debt to GDP Ratio'!B451),'Debt to GDP Ratio'!G451, ""), "")</f>
        <v/>
      </c>
    </row>
    <row r="448" spans="1:4">
      <c r="A448" t="str">
        <f>TEXT(IF('Debt to GDP Ratio'!B452&lt;&gt;0,'Debt to GDP Ratio'!B452, ""), "mm/dd/yyyy")</f>
        <v/>
      </c>
      <c r="B448" t="str">
        <f>IFERROR(IF(ISNUMBER('Debt to GDP Ratio'!D452),TEXT('Debt to GDP Ratio'!D452,"0.00"), ""), "")</f>
        <v/>
      </c>
      <c r="C448" t="str">
        <f>IFERROR(IF(ISNUMBER('Debt to GDP Ratio'!E452),TEXT('Debt to GDP Ratio'!E452,"0.00"), ""), "")</f>
        <v/>
      </c>
      <c r="D448" t="str">
        <f>IFERROR(IF(ISNUMBER('Debt to GDP Ratio'!B452),'Debt to GDP Ratio'!G452, ""), "")</f>
        <v/>
      </c>
    </row>
    <row r="449" spans="1:4">
      <c r="A449" t="str">
        <f>TEXT(IF('Debt to GDP Ratio'!B453&lt;&gt;0,'Debt to GDP Ratio'!B453, ""), "mm/dd/yyyy")</f>
        <v/>
      </c>
      <c r="B449" t="str">
        <f>IFERROR(IF(ISNUMBER('Debt to GDP Ratio'!D453),TEXT('Debt to GDP Ratio'!D453,"0.00"), ""), "")</f>
        <v/>
      </c>
      <c r="C449" t="str">
        <f>IFERROR(IF(ISNUMBER('Debt to GDP Ratio'!E453),TEXT('Debt to GDP Ratio'!E453,"0.00"), ""), "")</f>
        <v/>
      </c>
      <c r="D449" t="str">
        <f>IFERROR(IF(ISNUMBER('Debt to GDP Ratio'!B453),'Debt to GDP Ratio'!G453, ""), "")</f>
        <v/>
      </c>
    </row>
    <row r="450" spans="1:4">
      <c r="A450" t="str">
        <f>TEXT(IF('Debt to GDP Ratio'!B454&lt;&gt;0,'Debt to GDP Ratio'!B454, ""), "mm/dd/yyyy")</f>
        <v/>
      </c>
      <c r="B450" t="str">
        <f>IFERROR(IF(ISNUMBER('Debt to GDP Ratio'!D454),TEXT('Debt to GDP Ratio'!D454,"0.00"), ""), "")</f>
        <v/>
      </c>
      <c r="C450" t="str">
        <f>IFERROR(IF(ISNUMBER('Debt to GDP Ratio'!E454),TEXT('Debt to GDP Ratio'!E454,"0.00"), ""), "")</f>
        <v/>
      </c>
      <c r="D450" t="str">
        <f>IFERROR(IF(ISNUMBER('Debt to GDP Ratio'!B454),'Debt to GDP Ratio'!G454, ""), "")</f>
        <v/>
      </c>
    </row>
    <row r="451" spans="1:4">
      <c r="A451" t="str">
        <f>TEXT(IF('Debt to GDP Ratio'!B455&lt;&gt;0,'Debt to GDP Ratio'!B455, ""), "mm/dd/yyyy")</f>
        <v/>
      </c>
      <c r="B451" t="str">
        <f>IFERROR(IF(ISNUMBER('Debt to GDP Ratio'!D455),TEXT('Debt to GDP Ratio'!D455,"0.00"), ""), "")</f>
        <v/>
      </c>
      <c r="C451" t="str">
        <f>IFERROR(IF(ISNUMBER('Debt to GDP Ratio'!E455),TEXT('Debt to GDP Ratio'!E455,"0.00"), ""), "")</f>
        <v/>
      </c>
      <c r="D451" t="str">
        <f>IFERROR(IF(ISNUMBER('Debt to GDP Ratio'!B455),'Debt to GDP Ratio'!G455, ""), "")</f>
        <v/>
      </c>
    </row>
    <row r="452" spans="1:4">
      <c r="A452" t="str">
        <f>TEXT(IF('Debt to GDP Ratio'!B456&lt;&gt;0,'Debt to GDP Ratio'!B456, ""), "mm/dd/yyyy")</f>
        <v/>
      </c>
      <c r="B452" t="str">
        <f>IFERROR(IF(ISNUMBER('Debt to GDP Ratio'!D456),TEXT('Debt to GDP Ratio'!D456,"0.00"), ""), "")</f>
        <v/>
      </c>
      <c r="C452" t="str">
        <f>IFERROR(IF(ISNUMBER('Debt to GDP Ratio'!E456),TEXT('Debt to GDP Ratio'!E456,"0.00"), ""), "")</f>
        <v/>
      </c>
      <c r="D452" t="str">
        <f>IFERROR(IF(ISNUMBER('Debt to GDP Ratio'!B456),'Debt to GDP Ratio'!G456, ""), "")</f>
        <v/>
      </c>
    </row>
    <row r="453" spans="1:4">
      <c r="A453" t="str">
        <f>TEXT(IF('Debt to GDP Ratio'!B457&lt;&gt;0,'Debt to GDP Ratio'!B457, ""), "mm/dd/yyyy")</f>
        <v/>
      </c>
      <c r="B453" t="str">
        <f>IFERROR(IF(ISNUMBER('Debt to GDP Ratio'!D457),TEXT('Debt to GDP Ratio'!D457,"0.00"), ""), "")</f>
        <v/>
      </c>
      <c r="C453" t="str">
        <f>IFERROR(IF(ISNUMBER('Debt to GDP Ratio'!E457),TEXT('Debt to GDP Ratio'!E457,"0.00"), ""), "")</f>
        <v/>
      </c>
      <c r="D453" t="str">
        <f>IFERROR(IF(ISNUMBER('Debt to GDP Ratio'!B457),'Debt to GDP Ratio'!G457, ""), "")</f>
        <v/>
      </c>
    </row>
    <row r="454" spans="1:4">
      <c r="A454" t="str">
        <f>TEXT(IF('Debt to GDP Ratio'!B458&lt;&gt;0,'Debt to GDP Ratio'!B458, ""), "mm/dd/yyyy")</f>
        <v/>
      </c>
      <c r="B454" t="str">
        <f>IFERROR(IF(ISNUMBER('Debt to GDP Ratio'!D458),TEXT('Debt to GDP Ratio'!D458,"0.00"), ""), "")</f>
        <v/>
      </c>
      <c r="C454" t="str">
        <f>IFERROR(IF(ISNUMBER('Debt to GDP Ratio'!E458),TEXT('Debt to GDP Ratio'!E458,"0.00"), ""), "")</f>
        <v/>
      </c>
      <c r="D454" t="str">
        <f>IFERROR(IF(ISNUMBER('Debt to GDP Ratio'!B458),'Debt to GDP Ratio'!G458, ""), "")</f>
        <v/>
      </c>
    </row>
    <row r="455" spans="1:4">
      <c r="A455" t="str">
        <f>TEXT(IF('Debt to GDP Ratio'!B459&lt;&gt;0,'Debt to GDP Ratio'!B459, ""), "mm/dd/yyyy")</f>
        <v/>
      </c>
      <c r="B455" t="str">
        <f>IFERROR(IF(ISNUMBER('Debt to GDP Ratio'!D459),TEXT('Debt to GDP Ratio'!D459,"0.00"), ""), "")</f>
        <v/>
      </c>
      <c r="C455" t="str">
        <f>IFERROR(IF(ISNUMBER('Debt to GDP Ratio'!E459),TEXT('Debt to GDP Ratio'!E459,"0.00"), ""), "")</f>
        <v/>
      </c>
      <c r="D455" t="str">
        <f>IFERROR(IF(ISNUMBER('Debt to GDP Ratio'!B459),'Debt to GDP Ratio'!G459, ""), "")</f>
        <v/>
      </c>
    </row>
    <row r="456" spans="1:4">
      <c r="A456" t="str">
        <f>TEXT(IF('Debt to GDP Ratio'!B460&lt;&gt;0,'Debt to GDP Ratio'!B460, ""), "mm/dd/yyyy")</f>
        <v/>
      </c>
      <c r="B456" t="str">
        <f>IFERROR(IF(ISNUMBER('Debt to GDP Ratio'!D460),TEXT('Debt to GDP Ratio'!D460,"0.00"), ""), "")</f>
        <v/>
      </c>
      <c r="C456" t="str">
        <f>IFERROR(IF(ISNUMBER('Debt to GDP Ratio'!E460),TEXT('Debt to GDP Ratio'!E460,"0.00"), ""), "")</f>
        <v/>
      </c>
      <c r="D456" t="str">
        <f>IFERROR(IF(ISNUMBER('Debt to GDP Ratio'!B460),'Debt to GDP Ratio'!G460, ""), "")</f>
        <v/>
      </c>
    </row>
    <row r="457" spans="1:4">
      <c r="A457" t="str">
        <f>TEXT(IF('Debt to GDP Ratio'!B461&lt;&gt;0,'Debt to GDP Ratio'!B461, ""), "mm/dd/yyyy")</f>
        <v/>
      </c>
      <c r="B457" t="str">
        <f>IFERROR(IF(ISNUMBER('Debt to GDP Ratio'!D461),TEXT('Debt to GDP Ratio'!D461,"0.00"), ""), "")</f>
        <v/>
      </c>
      <c r="C457" t="str">
        <f>IFERROR(IF(ISNUMBER('Debt to GDP Ratio'!E461),TEXT('Debt to GDP Ratio'!E461,"0.00"), ""), "")</f>
        <v/>
      </c>
      <c r="D457" t="str">
        <f>IFERROR(IF(ISNUMBER('Debt to GDP Ratio'!B461),'Debt to GDP Ratio'!G461, ""), "")</f>
        <v/>
      </c>
    </row>
    <row r="458" spans="1:4">
      <c r="A458" t="str">
        <f>TEXT(IF('Debt to GDP Ratio'!B462&lt;&gt;0,'Debt to GDP Ratio'!B462, ""), "mm/dd/yyyy")</f>
        <v/>
      </c>
      <c r="B458" t="str">
        <f>IFERROR(IF(ISNUMBER('Debt to GDP Ratio'!D462),TEXT('Debt to GDP Ratio'!D462,"0.00"), ""), "")</f>
        <v/>
      </c>
      <c r="C458" t="str">
        <f>IFERROR(IF(ISNUMBER('Debt to GDP Ratio'!E462),TEXT('Debt to GDP Ratio'!E462,"0.00"), ""), "")</f>
        <v/>
      </c>
      <c r="D458" t="str">
        <f>IFERROR(IF(ISNUMBER('Debt to GDP Ratio'!B462),'Debt to GDP Ratio'!G462, ""), "")</f>
        <v/>
      </c>
    </row>
    <row r="459" spans="1:4">
      <c r="A459" t="str">
        <f>TEXT(IF('Debt to GDP Ratio'!B463&lt;&gt;0,'Debt to GDP Ratio'!B463, ""), "mm/dd/yyyy")</f>
        <v/>
      </c>
      <c r="B459" t="str">
        <f>IFERROR(IF(ISNUMBER('Debt to GDP Ratio'!D463),TEXT('Debt to GDP Ratio'!D463,"0.00"), ""), "")</f>
        <v/>
      </c>
      <c r="C459" t="str">
        <f>IFERROR(IF(ISNUMBER('Debt to GDP Ratio'!E463),TEXT('Debt to GDP Ratio'!E463,"0.00"), ""), "")</f>
        <v/>
      </c>
      <c r="D459" t="str">
        <f>IFERROR(IF(ISNUMBER('Debt to GDP Ratio'!B463),'Debt to GDP Ratio'!G463, ""), "")</f>
        <v/>
      </c>
    </row>
    <row r="460" spans="1:4">
      <c r="A460" t="str">
        <f>TEXT(IF('Debt to GDP Ratio'!B464&lt;&gt;0,'Debt to GDP Ratio'!B464, ""), "mm/dd/yyyy")</f>
        <v/>
      </c>
      <c r="B460" t="str">
        <f>IFERROR(IF(ISNUMBER('Debt to GDP Ratio'!D464),TEXT('Debt to GDP Ratio'!D464,"0.00"), ""), "")</f>
        <v/>
      </c>
      <c r="C460" t="str">
        <f>IFERROR(IF(ISNUMBER('Debt to GDP Ratio'!E464),TEXT('Debt to GDP Ratio'!E464,"0.00"), ""), "")</f>
        <v/>
      </c>
      <c r="D460" t="str">
        <f>IFERROR(IF(ISNUMBER('Debt to GDP Ratio'!B464),'Debt to GDP Ratio'!G464, ""), "")</f>
        <v/>
      </c>
    </row>
    <row r="461" spans="1:4">
      <c r="A461" t="str">
        <f>TEXT(IF('Debt to GDP Ratio'!B465&lt;&gt;0,'Debt to GDP Ratio'!B465, ""), "mm/dd/yyyy")</f>
        <v/>
      </c>
      <c r="B461" t="str">
        <f>IFERROR(IF(ISNUMBER('Debt to GDP Ratio'!D465),TEXT('Debt to GDP Ratio'!D465,"0.00"), ""), "")</f>
        <v/>
      </c>
      <c r="C461" t="str">
        <f>IFERROR(IF(ISNUMBER('Debt to GDP Ratio'!E465),TEXT('Debt to GDP Ratio'!E465,"0.00"), ""), "")</f>
        <v/>
      </c>
      <c r="D461" t="str">
        <f>IFERROR(IF(ISNUMBER('Debt to GDP Ratio'!B465),'Debt to GDP Ratio'!G465, ""), "")</f>
        <v/>
      </c>
    </row>
    <row r="462" spans="1:4">
      <c r="A462" t="str">
        <f>TEXT(IF('Debt to GDP Ratio'!B466&lt;&gt;0,'Debt to GDP Ratio'!B466, ""), "mm/dd/yyyy")</f>
        <v/>
      </c>
      <c r="B462" t="str">
        <f>IFERROR(IF(ISNUMBER('Debt to GDP Ratio'!D466),TEXT('Debt to GDP Ratio'!D466,"0.00"), ""), "")</f>
        <v/>
      </c>
      <c r="C462" t="str">
        <f>IFERROR(IF(ISNUMBER('Debt to GDP Ratio'!E466),TEXT('Debt to GDP Ratio'!E466,"0.00"), ""), "")</f>
        <v/>
      </c>
      <c r="D462" t="str">
        <f>IFERROR(IF(ISNUMBER('Debt to GDP Ratio'!B466),'Debt to GDP Ratio'!G466, ""), "")</f>
        <v/>
      </c>
    </row>
    <row r="463" spans="1:4">
      <c r="A463" t="str">
        <f>TEXT(IF('Debt to GDP Ratio'!B467&lt;&gt;0,'Debt to GDP Ratio'!B467, ""), "mm/dd/yyyy")</f>
        <v/>
      </c>
      <c r="B463" t="str">
        <f>IFERROR(IF(ISNUMBER('Debt to GDP Ratio'!D467),TEXT('Debt to GDP Ratio'!D467,"0.00"), ""), "")</f>
        <v/>
      </c>
      <c r="C463" t="str">
        <f>IFERROR(IF(ISNUMBER('Debt to GDP Ratio'!E467),TEXT('Debt to GDP Ratio'!E467,"0.00"), ""), "")</f>
        <v/>
      </c>
      <c r="D463" t="str">
        <f>IFERROR(IF(ISNUMBER('Debt to GDP Ratio'!B467),'Debt to GDP Ratio'!G467, ""), "")</f>
        <v/>
      </c>
    </row>
    <row r="464" spans="1:4">
      <c r="A464" t="str">
        <f>TEXT(IF('Debt to GDP Ratio'!B468&lt;&gt;0,'Debt to GDP Ratio'!B468, ""), "mm/dd/yyyy")</f>
        <v/>
      </c>
      <c r="B464" t="str">
        <f>IFERROR(IF(ISNUMBER('Debt to GDP Ratio'!D468),TEXT('Debt to GDP Ratio'!D468,"0.00"), ""), "")</f>
        <v/>
      </c>
      <c r="C464" t="str">
        <f>IFERROR(IF(ISNUMBER('Debt to GDP Ratio'!E468),TEXT('Debt to GDP Ratio'!E468,"0.00"), ""), "")</f>
        <v/>
      </c>
      <c r="D464" t="str">
        <f>IFERROR(IF(ISNUMBER('Debt to GDP Ratio'!B468),'Debt to GDP Ratio'!G468, ""), "")</f>
        <v/>
      </c>
    </row>
    <row r="465" spans="1:4">
      <c r="A465" t="str">
        <f>TEXT(IF('Debt to GDP Ratio'!B469&lt;&gt;0,'Debt to GDP Ratio'!B469, ""), "mm/dd/yyyy")</f>
        <v/>
      </c>
      <c r="B465" t="str">
        <f>IFERROR(IF(ISNUMBER('Debt to GDP Ratio'!D469),TEXT('Debt to GDP Ratio'!D469,"0.00"), ""), "")</f>
        <v/>
      </c>
      <c r="C465" t="str">
        <f>IFERROR(IF(ISNUMBER('Debt to GDP Ratio'!E469),TEXT('Debt to GDP Ratio'!E469,"0.00"), ""), "")</f>
        <v/>
      </c>
      <c r="D465" t="str">
        <f>IFERROR(IF(ISNUMBER('Debt to GDP Ratio'!B469),'Debt to GDP Ratio'!G469, ""), "")</f>
        <v/>
      </c>
    </row>
    <row r="466" spans="1:4">
      <c r="A466" t="str">
        <f>TEXT(IF('Debt to GDP Ratio'!B470&lt;&gt;0,'Debt to GDP Ratio'!B470, ""), "mm/dd/yyyy")</f>
        <v/>
      </c>
      <c r="B466" t="str">
        <f>IFERROR(IF(ISNUMBER('Debt to GDP Ratio'!D470),TEXT('Debt to GDP Ratio'!D470,"0.00"), ""), "")</f>
        <v/>
      </c>
      <c r="C466" t="str">
        <f>IFERROR(IF(ISNUMBER('Debt to GDP Ratio'!E470),TEXT('Debt to GDP Ratio'!E470,"0.00"), ""), "")</f>
        <v/>
      </c>
      <c r="D466" t="str">
        <f>IFERROR(IF(ISNUMBER('Debt to GDP Ratio'!B470),'Debt to GDP Ratio'!G470, ""), "")</f>
        <v/>
      </c>
    </row>
    <row r="467" spans="1:4">
      <c r="A467" t="str">
        <f>TEXT(IF('Debt to GDP Ratio'!B471&lt;&gt;0,'Debt to GDP Ratio'!B471, ""), "mm/dd/yyyy")</f>
        <v/>
      </c>
      <c r="B467" t="str">
        <f>IFERROR(IF(ISNUMBER('Debt to GDP Ratio'!D471),TEXT('Debt to GDP Ratio'!D471,"0.00"), ""), "")</f>
        <v/>
      </c>
      <c r="C467" t="str">
        <f>IFERROR(IF(ISNUMBER('Debt to GDP Ratio'!E471),TEXT('Debt to GDP Ratio'!E471,"0.00"), ""), "")</f>
        <v/>
      </c>
      <c r="D467" t="str">
        <f>IFERROR(IF(ISNUMBER('Debt to GDP Ratio'!B471),'Debt to GDP Ratio'!G471, ""), "")</f>
        <v/>
      </c>
    </row>
    <row r="468" spans="1:4">
      <c r="A468" t="str">
        <f>TEXT(IF('Debt to GDP Ratio'!B472&lt;&gt;0,'Debt to GDP Ratio'!B472, ""), "mm/dd/yyyy")</f>
        <v/>
      </c>
      <c r="B468" t="str">
        <f>IFERROR(IF(ISNUMBER('Debt to GDP Ratio'!D472),TEXT('Debt to GDP Ratio'!D472,"0.00"), ""), "")</f>
        <v/>
      </c>
      <c r="C468" t="str">
        <f>IFERROR(IF(ISNUMBER('Debt to GDP Ratio'!E472),TEXT('Debt to GDP Ratio'!E472,"0.00"), ""), "")</f>
        <v/>
      </c>
      <c r="D468" t="str">
        <f>IFERROR(IF(ISNUMBER('Debt to GDP Ratio'!B472),'Debt to GDP Ratio'!G472, ""), "")</f>
        <v/>
      </c>
    </row>
    <row r="469" spans="1:4">
      <c r="A469" t="str">
        <f>TEXT(IF('Debt to GDP Ratio'!B473&lt;&gt;0,'Debt to GDP Ratio'!B473, ""), "mm/dd/yyyy")</f>
        <v/>
      </c>
      <c r="B469" t="str">
        <f>IFERROR(IF(ISNUMBER('Debt to GDP Ratio'!D473),TEXT('Debt to GDP Ratio'!D473,"0.00"), ""), "")</f>
        <v/>
      </c>
      <c r="C469" t="str">
        <f>IFERROR(IF(ISNUMBER('Debt to GDP Ratio'!E473),TEXT('Debt to GDP Ratio'!E473,"0.00"), ""), "")</f>
        <v/>
      </c>
      <c r="D469" t="str">
        <f>IFERROR(IF(ISNUMBER('Debt to GDP Ratio'!B473),'Debt to GDP Ratio'!G473, ""), "")</f>
        <v/>
      </c>
    </row>
    <row r="470" spans="1:4">
      <c r="A470" t="str">
        <f>TEXT(IF('Debt to GDP Ratio'!B474&lt;&gt;0,'Debt to GDP Ratio'!B474, ""), "mm/dd/yyyy")</f>
        <v/>
      </c>
      <c r="B470" t="str">
        <f>IFERROR(IF(ISNUMBER('Debt to GDP Ratio'!D474),TEXT('Debt to GDP Ratio'!D474,"0.00"), ""), "")</f>
        <v/>
      </c>
      <c r="C470" t="str">
        <f>IFERROR(IF(ISNUMBER('Debt to GDP Ratio'!E474),TEXT('Debt to GDP Ratio'!E474,"0.00"), ""), "")</f>
        <v/>
      </c>
      <c r="D470" t="str">
        <f>IFERROR(IF(ISNUMBER('Debt to GDP Ratio'!B474),'Debt to GDP Ratio'!G474, ""), "")</f>
        <v/>
      </c>
    </row>
    <row r="471" spans="1:4">
      <c r="A471" t="str">
        <f>TEXT(IF('Debt to GDP Ratio'!B475&lt;&gt;0,'Debt to GDP Ratio'!B475, ""), "mm/dd/yyyy")</f>
        <v/>
      </c>
      <c r="B471" t="str">
        <f>IFERROR(IF(ISNUMBER('Debt to GDP Ratio'!D475),TEXT('Debt to GDP Ratio'!D475,"0.00"), ""), "")</f>
        <v/>
      </c>
      <c r="C471" t="str">
        <f>IFERROR(IF(ISNUMBER('Debt to GDP Ratio'!E475),TEXT('Debt to GDP Ratio'!E475,"0.00"), ""), "")</f>
        <v/>
      </c>
      <c r="D471" t="str">
        <f>IFERROR(IF(ISNUMBER('Debt to GDP Ratio'!B475),'Debt to GDP Ratio'!G475, ""), "")</f>
        <v/>
      </c>
    </row>
    <row r="472" spans="1:4">
      <c r="A472" t="str">
        <f>TEXT(IF('Debt to GDP Ratio'!B476&lt;&gt;0,'Debt to GDP Ratio'!B476, ""), "mm/dd/yyyy")</f>
        <v/>
      </c>
      <c r="B472" t="str">
        <f>IFERROR(IF(ISNUMBER('Debt to GDP Ratio'!D476),TEXT('Debt to GDP Ratio'!D476,"0.00"), ""), "")</f>
        <v/>
      </c>
      <c r="C472" t="str">
        <f>IFERROR(IF(ISNUMBER('Debt to GDP Ratio'!E476),TEXT('Debt to GDP Ratio'!E476,"0.00"), ""), "")</f>
        <v/>
      </c>
      <c r="D472" t="str">
        <f>IFERROR(IF(ISNUMBER('Debt to GDP Ratio'!B476),'Debt to GDP Ratio'!G476, ""), "")</f>
        <v/>
      </c>
    </row>
    <row r="473" spans="1:4">
      <c r="A473" t="str">
        <f>TEXT(IF('Debt to GDP Ratio'!B477&lt;&gt;0,'Debt to GDP Ratio'!B477, ""), "mm/dd/yyyy")</f>
        <v/>
      </c>
      <c r="B473" t="str">
        <f>IFERROR(IF(ISNUMBER('Debt to GDP Ratio'!D477),TEXT('Debt to GDP Ratio'!D477,"0.00"), ""), "")</f>
        <v/>
      </c>
      <c r="C473" t="str">
        <f>IFERROR(IF(ISNUMBER('Debt to GDP Ratio'!E477),TEXT('Debt to GDP Ratio'!E477,"0.00"), ""), "")</f>
        <v/>
      </c>
      <c r="D473" t="str">
        <f>IFERROR(IF(ISNUMBER('Debt to GDP Ratio'!B477),'Debt to GDP Ratio'!G477, ""), "")</f>
        <v/>
      </c>
    </row>
    <row r="474" spans="1:4">
      <c r="A474" t="str">
        <f>TEXT(IF('Debt to GDP Ratio'!B478&lt;&gt;0,'Debt to GDP Ratio'!B478, ""), "mm/dd/yyyy")</f>
        <v/>
      </c>
      <c r="B474" t="str">
        <f>IFERROR(IF(ISNUMBER('Debt to GDP Ratio'!D478),TEXT('Debt to GDP Ratio'!D478,"0.00"), ""), "")</f>
        <v/>
      </c>
      <c r="C474" t="str">
        <f>IFERROR(IF(ISNUMBER('Debt to GDP Ratio'!E478),TEXT('Debt to GDP Ratio'!E478,"0.00"), ""), "")</f>
        <v/>
      </c>
      <c r="D474" t="str">
        <f>IFERROR(IF(ISNUMBER('Debt to GDP Ratio'!B478),'Debt to GDP Ratio'!G478, ""), "")</f>
        <v/>
      </c>
    </row>
    <row r="475" spans="1:4">
      <c r="A475" t="str">
        <f>TEXT(IF('Debt to GDP Ratio'!B479&lt;&gt;0,'Debt to GDP Ratio'!B479, ""), "mm/dd/yyyy")</f>
        <v/>
      </c>
      <c r="B475" t="str">
        <f>IFERROR(IF(ISNUMBER('Debt to GDP Ratio'!D479),TEXT('Debt to GDP Ratio'!D479,"0.00"), ""), "")</f>
        <v/>
      </c>
      <c r="C475" t="str">
        <f>IFERROR(IF(ISNUMBER('Debt to GDP Ratio'!E479),TEXT('Debt to GDP Ratio'!E479,"0.00"), ""), "")</f>
        <v/>
      </c>
      <c r="D475" t="str">
        <f>IFERROR(IF(ISNUMBER('Debt to GDP Ratio'!B479),'Debt to GDP Ratio'!G479, ""), "")</f>
        <v/>
      </c>
    </row>
    <row r="476" spans="1:4">
      <c r="A476" t="str">
        <f>TEXT(IF('Debt to GDP Ratio'!B480&lt;&gt;0,'Debt to GDP Ratio'!B480, ""), "mm/dd/yyyy")</f>
        <v/>
      </c>
      <c r="B476" t="str">
        <f>IFERROR(IF(ISNUMBER('Debt to GDP Ratio'!D480),TEXT('Debt to GDP Ratio'!D480,"0.00"), ""), "")</f>
        <v/>
      </c>
      <c r="C476" t="str">
        <f>IFERROR(IF(ISNUMBER('Debt to GDP Ratio'!E480),TEXT('Debt to GDP Ratio'!E480,"0.00"), ""), "")</f>
        <v/>
      </c>
      <c r="D476" t="str">
        <f>IFERROR(IF(ISNUMBER('Debt to GDP Ratio'!B480),'Debt to GDP Ratio'!G480, ""), "")</f>
        <v/>
      </c>
    </row>
    <row r="477" spans="1:4">
      <c r="A477" t="str">
        <f>TEXT(IF('Debt to GDP Ratio'!B481&lt;&gt;0,'Debt to GDP Ratio'!B481, ""), "mm/dd/yyyy")</f>
        <v/>
      </c>
      <c r="B477" t="str">
        <f>IFERROR(IF(ISNUMBER('Debt to GDP Ratio'!D481),TEXT('Debt to GDP Ratio'!D481,"0.00"), ""), "")</f>
        <v/>
      </c>
      <c r="C477" t="str">
        <f>IFERROR(IF(ISNUMBER('Debt to GDP Ratio'!E481),TEXT('Debt to GDP Ratio'!E481,"0.00"), ""), "")</f>
        <v/>
      </c>
      <c r="D477" t="str">
        <f>IFERROR(IF(ISNUMBER('Debt to GDP Ratio'!B481),'Debt to GDP Ratio'!G481, ""), "")</f>
        <v/>
      </c>
    </row>
    <row r="478" spans="1:4">
      <c r="A478" t="str">
        <f>TEXT(IF('Debt to GDP Ratio'!B482&lt;&gt;0,'Debt to GDP Ratio'!B482, ""), "mm/dd/yyyy")</f>
        <v/>
      </c>
      <c r="B478" t="str">
        <f>IFERROR(IF(ISNUMBER('Debt to GDP Ratio'!D482),TEXT('Debt to GDP Ratio'!D482,"0.00"), ""), "")</f>
        <v/>
      </c>
      <c r="C478" t="str">
        <f>IFERROR(IF(ISNUMBER('Debt to GDP Ratio'!E482),TEXT('Debt to GDP Ratio'!E482,"0.00"), ""), "")</f>
        <v/>
      </c>
      <c r="D478" t="str">
        <f>IFERROR(IF(ISNUMBER('Debt to GDP Ratio'!B482),'Debt to GDP Ratio'!G482, ""), "")</f>
        <v/>
      </c>
    </row>
    <row r="479" spans="1:4">
      <c r="A479" t="str">
        <f>TEXT(IF('Debt to GDP Ratio'!B483&lt;&gt;0,'Debt to GDP Ratio'!B483, ""), "mm/dd/yyyy")</f>
        <v/>
      </c>
      <c r="B479" t="str">
        <f>IFERROR(IF(ISNUMBER('Debt to GDP Ratio'!D483),TEXT('Debt to GDP Ratio'!D483,"0.00"), ""), "")</f>
        <v/>
      </c>
      <c r="C479" t="str">
        <f>IFERROR(IF(ISNUMBER('Debt to GDP Ratio'!E483),TEXT('Debt to GDP Ratio'!E483,"0.00"), ""), "")</f>
        <v/>
      </c>
      <c r="D479" t="str">
        <f>IFERROR(IF(ISNUMBER('Debt to GDP Ratio'!B483),'Debt to GDP Ratio'!G483, ""), "")</f>
        <v/>
      </c>
    </row>
    <row r="480" spans="1:4">
      <c r="A480" t="str">
        <f>TEXT(IF('Debt to GDP Ratio'!B484&lt;&gt;0,'Debt to GDP Ratio'!B484, ""), "mm/dd/yyyy")</f>
        <v/>
      </c>
      <c r="B480" t="str">
        <f>IFERROR(IF(ISNUMBER('Debt to GDP Ratio'!D484),TEXT('Debt to GDP Ratio'!D484,"0.00"), ""), "")</f>
        <v/>
      </c>
      <c r="C480" t="str">
        <f>IFERROR(IF(ISNUMBER('Debt to GDP Ratio'!E484),TEXT('Debt to GDP Ratio'!E484,"0.00"), ""), "")</f>
        <v/>
      </c>
      <c r="D480" t="str">
        <f>IFERROR(IF(ISNUMBER('Debt to GDP Ratio'!B484),'Debt to GDP Ratio'!G484, ""), "")</f>
        <v/>
      </c>
    </row>
    <row r="481" spans="1:4">
      <c r="A481" t="str">
        <f>TEXT(IF('Debt to GDP Ratio'!B485&lt;&gt;0,'Debt to GDP Ratio'!B485, ""), "mm/dd/yyyy")</f>
        <v/>
      </c>
      <c r="B481" t="str">
        <f>IFERROR(IF(ISNUMBER('Debt to GDP Ratio'!D485),TEXT('Debt to GDP Ratio'!D485,"0.00"), ""), "")</f>
        <v/>
      </c>
      <c r="C481" t="str">
        <f>IFERROR(IF(ISNUMBER('Debt to GDP Ratio'!E485),TEXT('Debt to GDP Ratio'!E485,"0.00"), ""), "")</f>
        <v/>
      </c>
      <c r="D481" t="str">
        <f>IFERROR(IF(ISNUMBER('Debt to GDP Ratio'!B485),'Debt to GDP Ratio'!G485, ""), "")</f>
        <v/>
      </c>
    </row>
    <row r="482" spans="1:4">
      <c r="A482" t="str">
        <f>TEXT(IF('Debt to GDP Ratio'!B486&lt;&gt;0,'Debt to GDP Ratio'!B486, ""), "mm/dd/yyyy")</f>
        <v/>
      </c>
      <c r="B482" t="str">
        <f>IFERROR(IF(ISNUMBER('Debt to GDP Ratio'!D486),TEXT('Debt to GDP Ratio'!D486,"0.00"), ""), "")</f>
        <v/>
      </c>
      <c r="C482" t="str">
        <f>IFERROR(IF(ISNUMBER('Debt to GDP Ratio'!E486),TEXT('Debt to GDP Ratio'!E486,"0.00"), ""), "")</f>
        <v/>
      </c>
      <c r="D482" t="str">
        <f>IFERROR(IF(ISNUMBER('Debt to GDP Ratio'!B486),'Debt to GDP Ratio'!G486, ""), "")</f>
        <v/>
      </c>
    </row>
    <row r="483" spans="1:4">
      <c r="A483" t="str">
        <f>TEXT(IF('Debt to GDP Ratio'!B487&lt;&gt;0,'Debt to GDP Ratio'!B487, ""), "mm/dd/yyyy")</f>
        <v/>
      </c>
      <c r="B483" t="str">
        <f>IFERROR(IF(ISNUMBER('Debt to GDP Ratio'!D487),TEXT('Debt to GDP Ratio'!D487,"0.00"), ""), "")</f>
        <v/>
      </c>
      <c r="C483" t="str">
        <f>IFERROR(IF(ISNUMBER('Debt to GDP Ratio'!E487),TEXT('Debt to GDP Ratio'!E487,"0.00"), ""), "")</f>
        <v/>
      </c>
      <c r="D483" t="str">
        <f>IFERROR(IF(ISNUMBER('Debt to GDP Ratio'!B487),'Debt to GDP Ratio'!G487, ""), "")</f>
        <v/>
      </c>
    </row>
    <row r="484" spans="1:4">
      <c r="A484" t="str">
        <f>TEXT(IF('Debt to GDP Ratio'!B488&lt;&gt;0,'Debt to GDP Ratio'!B488, ""), "mm/dd/yyyy")</f>
        <v/>
      </c>
      <c r="B484" t="str">
        <f>IFERROR(IF(ISNUMBER('Debt to GDP Ratio'!D488),TEXT('Debt to GDP Ratio'!D488,"0.00"), ""), "")</f>
        <v/>
      </c>
      <c r="C484" t="str">
        <f>IFERROR(IF(ISNUMBER('Debt to GDP Ratio'!E488),TEXT('Debt to GDP Ratio'!E488,"0.00"), ""), "")</f>
        <v/>
      </c>
      <c r="D484" t="str">
        <f>IFERROR(IF(ISNUMBER('Debt to GDP Ratio'!B488),'Debt to GDP Ratio'!G488, ""), "")</f>
        <v/>
      </c>
    </row>
    <row r="485" spans="1:4">
      <c r="A485" t="str">
        <f>TEXT(IF('Debt to GDP Ratio'!B489&lt;&gt;0,'Debt to GDP Ratio'!B489, ""), "mm/dd/yyyy")</f>
        <v/>
      </c>
      <c r="B485" t="str">
        <f>IFERROR(IF(ISNUMBER('Debt to GDP Ratio'!D489),TEXT('Debt to GDP Ratio'!D489,"0.00"), ""), "")</f>
        <v/>
      </c>
      <c r="C485" t="str">
        <f>IFERROR(IF(ISNUMBER('Debt to GDP Ratio'!E489),TEXT('Debt to GDP Ratio'!E489,"0.00"), ""), "")</f>
        <v/>
      </c>
      <c r="D485" t="str">
        <f>IFERROR(IF(ISNUMBER('Debt to GDP Ratio'!B489),'Debt to GDP Ratio'!G489, ""), "")</f>
        <v/>
      </c>
    </row>
    <row r="486" spans="1:4">
      <c r="A486" t="str">
        <f>TEXT(IF('Debt to GDP Ratio'!B490&lt;&gt;0,'Debt to GDP Ratio'!B490, ""), "mm/dd/yyyy")</f>
        <v/>
      </c>
      <c r="B486" t="str">
        <f>IFERROR(IF(ISNUMBER('Debt to GDP Ratio'!D490),TEXT('Debt to GDP Ratio'!D490,"0.00"), ""), "")</f>
        <v/>
      </c>
      <c r="C486" t="str">
        <f>IFERROR(IF(ISNUMBER('Debt to GDP Ratio'!E490),TEXT('Debt to GDP Ratio'!E490,"0.00"), ""), "")</f>
        <v/>
      </c>
      <c r="D486" t="str">
        <f>IFERROR(IF(ISNUMBER('Debt to GDP Ratio'!B490),'Debt to GDP Ratio'!G490, ""), "")</f>
        <v/>
      </c>
    </row>
    <row r="487" spans="1:4">
      <c r="A487" t="str">
        <f>TEXT(IF('Debt to GDP Ratio'!B491&lt;&gt;0,'Debt to GDP Ratio'!B491, ""), "mm/dd/yyyy")</f>
        <v/>
      </c>
      <c r="B487" t="str">
        <f>IFERROR(IF(ISNUMBER('Debt to GDP Ratio'!D491),TEXT('Debt to GDP Ratio'!D491,"0.00"), ""), "")</f>
        <v/>
      </c>
      <c r="C487" t="str">
        <f>IFERROR(IF(ISNUMBER('Debt to GDP Ratio'!E491),TEXT('Debt to GDP Ratio'!E491,"0.00"), ""), "")</f>
        <v/>
      </c>
      <c r="D487" t="str">
        <f>IFERROR(IF(ISNUMBER('Debt to GDP Ratio'!B491),'Debt to GDP Ratio'!G491, ""), "")</f>
        <v/>
      </c>
    </row>
    <row r="488" spans="1:4">
      <c r="A488" t="str">
        <f>TEXT(IF('Debt to GDP Ratio'!B492&lt;&gt;0,'Debt to GDP Ratio'!B492, ""), "mm/dd/yyyy")</f>
        <v/>
      </c>
      <c r="B488" t="str">
        <f>IFERROR(IF(ISNUMBER('Debt to GDP Ratio'!D492),TEXT('Debt to GDP Ratio'!D492,"0.00"), ""), "")</f>
        <v/>
      </c>
      <c r="C488" t="str">
        <f>IFERROR(IF(ISNUMBER('Debt to GDP Ratio'!E492),TEXT('Debt to GDP Ratio'!E492,"0.00"), ""), "")</f>
        <v/>
      </c>
      <c r="D488" t="str">
        <f>IFERROR(IF(ISNUMBER('Debt to GDP Ratio'!B492),'Debt to GDP Ratio'!G492, ""), "")</f>
        <v/>
      </c>
    </row>
    <row r="489" spans="1:4">
      <c r="A489" t="str">
        <f>TEXT(IF('Debt to GDP Ratio'!B493&lt;&gt;0,'Debt to GDP Ratio'!B493, ""), "mm/dd/yyyy")</f>
        <v/>
      </c>
      <c r="B489" t="str">
        <f>IFERROR(IF(ISNUMBER('Debt to GDP Ratio'!D493),TEXT('Debt to GDP Ratio'!D493,"0.00"), ""), "")</f>
        <v/>
      </c>
      <c r="C489" t="str">
        <f>IFERROR(IF(ISNUMBER('Debt to GDP Ratio'!E493),TEXT('Debt to GDP Ratio'!E493,"0.00"), ""), "")</f>
        <v/>
      </c>
      <c r="D489" t="str">
        <f>IFERROR(IF(ISNUMBER('Debt to GDP Ratio'!B493),'Debt to GDP Ratio'!G493, ""), "")</f>
        <v/>
      </c>
    </row>
    <row r="490" spans="1:4">
      <c r="A490" t="str">
        <f>TEXT(IF('Debt to GDP Ratio'!B494&lt;&gt;0,'Debt to GDP Ratio'!B494, ""), "mm/dd/yyyy")</f>
        <v/>
      </c>
      <c r="B490" t="str">
        <f>IFERROR(IF(ISNUMBER('Debt to GDP Ratio'!D494),TEXT('Debt to GDP Ratio'!D494,"0.00"), ""), "")</f>
        <v/>
      </c>
      <c r="C490" t="str">
        <f>IFERROR(IF(ISNUMBER('Debt to GDP Ratio'!E494),TEXT('Debt to GDP Ratio'!E494,"0.00"), ""), "")</f>
        <v/>
      </c>
      <c r="D490" t="str">
        <f>IFERROR(IF(ISNUMBER('Debt to GDP Ratio'!B494),'Debt to GDP Ratio'!G494, ""), "")</f>
        <v/>
      </c>
    </row>
    <row r="491" spans="1:4">
      <c r="A491" t="str">
        <f>TEXT(IF('Debt to GDP Ratio'!B495&lt;&gt;0,'Debt to GDP Ratio'!B495, ""), "mm/dd/yyyy")</f>
        <v/>
      </c>
      <c r="B491" t="str">
        <f>IFERROR(IF(ISNUMBER('Debt to GDP Ratio'!D495),TEXT('Debt to GDP Ratio'!D495,"0.00"), ""), "")</f>
        <v/>
      </c>
      <c r="C491" t="str">
        <f>IFERROR(IF(ISNUMBER('Debt to GDP Ratio'!E495),TEXT('Debt to GDP Ratio'!E495,"0.00"), ""), "")</f>
        <v/>
      </c>
      <c r="D491" t="str">
        <f>IFERROR(IF(ISNUMBER('Debt to GDP Ratio'!B495),'Debt to GDP Ratio'!G495, ""), "")</f>
        <v/>
      </c>
    </row>
    <row r="492" spans="1:4">
      <c r="A492" t="str">
        <f>TEXT(IF('Debt to GDP Ratio'!B496&lt;&gt;0,'Debt to GDP Ratio'!B496, ""), "mm/dd/yyyy")</f>
        <v/>
      </c>
      <c r="B492" t="str">
        <f>IFERROR(IF(ISNUMBER('Debt to GDP Ratio'!D496),TEXT('Debt to GDP Ratio'!D496,"0.00"), ""), "")</f>
        <v/>
      </c>
      <c r="C492" t="str">
        <f>IFERROR(IF(ISNUMBER('Debt to GDP Ratio'!E496),TEXT('Debt to GDP Ratio'!E496,"0.00"), ""), "")</f>
        <v/>
      </c>
      <c r="D492" t="str">
        <f>IFERROR(IF(ISNUMBER('Debt to GDP Ratio'!B496),'Debt to GDP Ratio'!G496, ""), "")</f>
        <v/>
      </c>
    </row>
    <row r="493" spans="1:4">
      <c r="A493" t="str">
        <f>TEXT(IF('Debt to GDP Ratio'!B497&lt;&gt;0,'Debt to GDP Ratio'!B497, ""), "mm/dd/yyyy")</f>
        <v/>
      </c>
      <c r="B493" t="str">
        <f>IFERROR(IF(ISNUMBER('Debt to GDP Ratio'!D497),TEXT('Debt to GDP Ratio'!D497,"0.00"), ""), "")</f>
        <v/>
      </c>
      <c r="C493" t="str">
        <f>IFERROR(IF(ISNUMBER('Debt to GDP Ratio'!E497),TEXT('Debt to GDP Ratio'!E497,"0.00"), ""), "")</f>
        <v/>
      </c>
      <c r="D493" t="str">
        <f>IFERROR(IF(ISNUMBER('Debt to GDP Ratio'!B497),'Debt to GDP Ratio'!G497, ""), "")</f>
        <v/>
      </c>
    </row>
    <row r="494" spans="1:4">
      <c r="A494" t="str">
        <f>TEXT(IF('Debt to GDP Ratio'!B498&lt;&gt;0,'Debt to GDP Ratio'!B498, ""), "mm/dd/yyyy")</f>
        <v/>
      </c>
      <c r="B494" t="str">
        <f>IFERROR(IF(ISNUMBER('Debt to GDP Ratio'!D498),TEXT('Debt to GDP Ratio'!D498,"0.00"), ""), "")</f>
        <v/>
      </c>
      <c r="C494" t="str">
        <f>IFERROR(IF(ISNUMBER('Debt to GDP Ratio'!E498),TEXT('Debt to GDP Ratio'!E498,"0.00"), ""), "")</f>
        <v/>
      </c>
      <c r="D494" t="str">
        <f>IFERROR(IF(ISNUMBER('Debt to GDP Ratio'!B498),'Debt to GDP Ratio'!G498, ""), "")</f>
        <v/>
      </c>
    </row>
    <row r="495" spans="1:4">
      <c r="A495" t="str">
        <f>TEXT(IF('Debt to GDP Ratio'!B499&lt;&gt;0,'Debt to GDP Ratio'!B499, ""), "mm/dd/yyyy")</f>
        <v/>
      </c>
      <c r="B495" t="str">
        <f>IFERROR(IF(ISNUMBER('Debt to GDP Ratio'!D499),TEXT('Debt to GDP Ratio'!D499,"0.00"), ""), "")</f>
        <v/>
      </c>
      <c r="C495" t="str">
        <f>IFERROR(IF(ISNUMBER('Debt to GDP Ratio'!E499),TEXT('Debt to GDP Ratio'!E499,"0.00"), ""), "")</f>
        <v/>
      </c>
      <c r="D495" t="str">
        <f>IFERROR(IF(ISNUMBER('Debt to GDP Ratio'!B499),'Debt to GDP Ratio'!G499, ""), "")</f>
        <v/>
      </c>
    </row>
    <row r="496" spans="1:4">
      <c r="A496" t="str">
        <f>TEXT(IF('Debt to GDP Ratio'!B500&lt;&gt;0,'Debt to GDP Ratio'!B500, ""), "mm/dd/yyyy")</f>
        <v/>
      </c>
      <c r="B496" t="str">
        <f>IFERROR(IF(ISNUMBER('Debt to GDP Ratio'!D500),TEXT('Debt to GDP Ratio'!D500,"0.00"), ""), "")</f>
        <v/>
      </c>
      <c r="C496" t="str">
        <f>IFERROR(IF(ISNUMBER('Debt to GDP Ratio'!E500),TEXT('Debt to GDP Ratio'!E500,"0.00"), ""), "")</f>
        <v/>
      </c>
      <c r="D496" t="str">
        <f>IFERROR(IF(ISNUMBER('Debt to GDP Ratio'!B500),'Debt to GDP Ratio'!G500, ""), "")</f>
        <v/>
      </c>
    </row>
    <row r="497" spans="1:4">
      <c r="A497" t="str">
        <f>TEXT(IF('Debt to GDP Ratio'!B501&lt;&gt;0,'Debt to GDP Ratio'!B501, ""), "mm/dd/yyyy")</f>
        <v/>
      </c>
      <c r="B497" t="str">
        <f>IFERROR(IF(ISNUMBER('Debt to GDP Ratio'!D501),TEXT('Debt to GDP Ratio'!D501,"0.00"), ""), "")</f>
        <v/>
      </c>
      <c r="C497" t="str">
        <f>IFERROR(IF(ISNUMBER('Debt to GDP Ratio'!E501),TEXT('Debt to GDP Ratio'!E501,"0.00"), ""), "")</f>
        <v/>
      </c>
      <c r="D497" t="str">
        <f>IFERROR(IF(ISNUMBER('Debt to GDP Ratio'!B501),'Debt to GDP Ratio'!G501, ""), "")</f>
        <v/>
      </c>
    </row>
    <row r="498" spans="1:4">
      <c r="A498" t="str">
        <f>TEXT(IF('Debt to GDP Ratio'!B502&lt;&gt;0,'Debt to GDP Ratio'!B502, ""), "mm/dd/yyyy")</f>
        <v/>
      </c>
      <c r="B498" t="str">
        <f>IFERROR(IF(ISNUMBER('Debt to GDP Ratio'!D502),TEXT('Debt to GDP Ratio'!D502,"0.00"), ""), "")</f>
        <v/>
      </c>
      <c r="C498" t="str">
        <f>IFERROR(IF(ISNUMBER('Debt to GDP Ratio'!E502),TEXT('Debt to GDP Ratio'!E502,"0.00"), ""), "")</f>
        <v/>
      </c>
      <c r="D498" t="str">
        <f>IFERROR(IF(ISNUMBER('Debt to GDP Ratio'!B502),'Debt to GDP Ratio'!G502, ""), "")</f>
        <v/>
      </c>
    </row>
    <row r="499" spans="1:4">
      <c r="A499" t="str">
        <f>TEXT(IF('Debt to GDP Ratio'!B503&lt;&gt;0,'Debt to GDP Ratio'!B503, ""), "mm/dd/yyyy")</f>
        <v/>
      </c>
      <c r="B499" t="str">
        <f>IFERROR(IF(ISNUMBER('Debt to GDP Ratio'!D503),TEXT('Debt to GDP Ratio'!D503,"0.00"), ""), "")</f>
        <v/>
      </c>
      <c r="C499" t="str">
        <f>IFERROR(IF(ISNUMBER('Debt to GDP Ratio'!E503),TEXT('Debt to GDP Ratio'!E503,"0.00"), ""), "")</f>
        <v/>
      </c>
      <c r="D499" t="str">
        <f>IFERROR(IF(ISNUMBER('Debt to GDP Ratio'!B503),'Debt to GDP Ratio'!G503, ""), "")</f>
        <v/>
      </c>
    </row>
    <row r="500" spans="1:4">
      <c r="A500" t="str">
        <f>TEXT(IF('Debt to GDP Ratio'!B504&lt;&gt;0,'Debt to GDP Ratio'!B504, ""), "mm/dd/yyyy")</f>
        <v/>
      </c>
      <c r="B500" t="str">
        <f>IFERROR(IF(ISNUMBER('Debt to GDP Ratio'!D504),TEXT('Debt to GDP Ratio'!D504,"0.00"), ""), "")</f>
        <v/>
      </c>
      <c r="C500" t="str">
        <f>IFERROR(IF(ISNUMBER('Debt to GDP Ratio'!E504),TEXT('Debt to GDP Ratio'!E504,"0.00"), ""), "")</f>
        <v/>
      </c>
      <c r="D500" t="str">
        <f>IFERROR(IF(ISNUMBER('Debt to GDP Ratio'!B504),'Debt to GDP Ratio'!G504, ""), "")</f>
        <v/>
      </c>
    </row>
    <row r="501" spans="1:4">
      <c r="A501" t="str">
        <f>TEXT(IF('Debt to GDP Ratio'!B505&lt;&gt;0,'Debt to GDP Ratio'!B505, ""), "mm/dd/yyyy")</f>
        <v/>
      </c>
      <c r="B501" t="str">
        <f>IFERROR(IF(ISNUMBER('Debt to GDP Ratio'!D505),TEXT('Debt to GDP Ratio'!D505,"0.00"), ""), "")</f>
        <v/>
      </c>
      <c r="C501" t="str">
        <f>IFERROR(IF(ISNUMBER('Debt to GDP Ratio'!E505),TEXT('Debt to GDP Ratio'!E505,"0.00"), ""), "")</f>
        <v/>
      </c>
      <c r="D501" t="str">
        <f>IFERROR(IF(ISNUMBER('Debt to GDP Ratio'!B505),'Debt to GDP Ratio'!G505, ""), "")</f>
        <v/>
      </c>
    </row>
    <row r="502" spans="1:4">
      <c r="A502" t="str">
        <f>TEXT(IF('Debt to GDP Ratio'!B506&lt;&gt;0,'Debt to GDP Ratio'!B506, ""), "mm/dd/yyyy")</f>
        <v/>
      </c>
      <c r="B502" t="str">
        <f>IFERROR(IF(ISNUMBER('Debt to GDP Ratio'!D506),TEXT('Debt to GDP Ratio'!D506,"0.00"), ""), "")</f>
        <v/>
      </c>
      <c r="C502" t="str">
        <f>IFERROR(IF(ISNUMBER('Debt to GDP Ratio'!E506),TEXT('Debt to GDP Ratio'!E506,"0.00"), ""), "")</f>
        <v/>
      </c>
      <c r="D502" t="str">
        <f>IFERROR(IF(ISNUMBER('Debt to GDP Ratio'!B506),'Debt to GDP Ratio'!G506, ""), "")</f>
        <v/>
      </c>
    </row>
    <row r="503" spans="1:4">
      <c r="A503" t="str">
        <f>TEXT(IF('Debt to GDP Ratio'!B507&lt;&gt;0,'Debt to GDP Ratio'!B507, ""), "mm/dd/yyyy")</f>
        <v/>
      </c>
      <c r="B503" t="str">
        <f>IFERROR(IF(ISNUMBER('Debt to GDP Ratio'!D507),TEXT('Debt to GDP Ratio'!D507,"0.00"), ""), "")</f>
        <v/>
      </c>
      <c r="C503" t="str">
        <f>IFERROR(IF(ISNUMBER('Debt to GDP Ratio'!E507),TEXT('Debt to GDP Ratio'!E507,"0.00"), ""), "")</f>
        <v/>
      </c>
      <c r="D503" t="str">
        <f>IFERROR(IF(ISNUMBER('Debt to GDP Ratio'!B507),'Debt to GDP Ratio'!G507, ""), "")</f>
        <v/>
      </c>
    </row>
    <row r="504" spans="1:4">
      <c r="A504" t="str">
        <f>TEXT(IF('Debt to GDP Ratio'!B508&lt;&gt;0,'Debt to GDP Ratio'!B508, ""), "mm/dd/yyyy")</f>
        <v/>
      </c>
      <c r="B504" t="str">
        <f>IFERROR(IF(ISNUMBER('Debt to GDP Ratio'!D508),TEXT('Debt to GDP Ratio'!D508,"0.00"), ""), "")</f>
        <v/>
      </c>
      <c r="C504" t="str">
        <f>IFERROR(IF(ISNUMBER('Debt to GDP Ratio'!E508),TEXT('Debt to GDP Ratio'!E508,"0.00"), ""), "")</f>
        <v/>
      </c>
      <c r="D504" t="str">
        <f>IFERROR(IF(ISNUMBER('Debt to GDP Ratio'!B508),'Debt to GDP Ratio'!G508, ""), "")</f>
        <v/>
      </c>
    </row>
    <row r="505" spans="1:4">
      <c r="A505" t="str">
        <f>TEXT(IF('Debt to GDP Ratio'!B509&lt;&gt;0,'Debt to GDP Ratio'!B509, ""), "mm/dd/yyyy")</f>
        <v/>
      </c>
      <c r="B505" t="str">
        <f>IFERROR(IF(ISNUMBER('Debt to GDP Ratio'!D509),TEXT('Debt to GDP Ratio'!D509,"0.00"), ""), "")</f>
        <v/>
      </c>
      <c r="C505" t="str">
        <f>IFERROR(IF(ISNUMBER('Debt to GDP Ratio'!E509),TEXT('Debt to GDP Ratio'!E509,"0.00"), ""), "")</f>
        <v/>
      </c>
      <c r="D505" t="str">
        <f>IFERROR(IF(ISNUMBER('Debt to GDP Ratio'!B509),'Debt to GDP Ratio'!G509, ""), "")</f>
        <v/>
      </c>
    </row>
    <row r="506" spans="1:4">
      <c r="A506" t="str">
        <f>TEXT(IF('Debt to GDP Ratio'!B510&lt;&gt;0,'Debt to GDP Ratio'!B510, ""), "mm/dd/yyyy")</f>
        <v/>
      </c>
      <c r="B506" t="str">
        <f>IFERROR(IF(ISNUMBER('Debt to GDP Ratio'!D510),TEXT('Debt to GDP Ratio'!D510,"0.00"), ""), "")</f>
        <v/>
      </c>
      <c r="C506" t="str">
        <f>IFERROR(IF(ISNUMBER('Debt to GDP Ratio'!E510),TEXT('Debt to GDP Ratio'!E510,"0.00"), ""), "")</f>
        <v/>
      </c>
      <c r="D506" t="str">
        <f>IFERROR(IF(ISNUMBER('Debt to GDP Ratio'!B510),'Debt to GDP Ratio'!G510, ""), "")</f>
        <v/>
      </c>
    </row>
    <row r="507" spans="1:4">
      <c r="A507" t="str">
        <f>TEXT(IF('Debt to GDP Ratio'!B511&lt;&gt;0,'Debt to GDP Ratio'!B511, ""), "mm/dd/yyyy")</f>
        <v/>
      </c>
      <c r="B507" t="str">
        <f>IFERROR(IF(ISNUMBER('Debt to GDP Ratio'!D511),TEXT('Debt to GDP Ratio'!D511,"0.00"), ""), "")</f>
        <v/>
      </c>
      <c r="C507" t="str">
        <f>IFERROR(IF(ISNUMBER('Debt to GDP Ratio'!E511),TEXT('Debt to GDP Ratio'!E511,"0.00"), ""), "")</f>
        <v/>
      </c>
      <c r="D507" t="str">
        <f>IFERROR(IF(ISNUMBER('Debt to GDP Ratio'!B511),'Debt to GDP Ratio'!G511, ""), "")</f>
        <v/>
      </c>
    </row>
    <row r="508" spans="1:4">
      <c r="A508" t="str">
        <f>TEXT(IF('Debt to GDP Ratio'!B512&lt;&gt;0,'Debt to GDP Ratio'!B512, ""), "mm/dd/yyyy")</f>
        <v/>
      </c>
      <c r="B508" t="str">
        <f>IFERROR(IF(ISNUMBER('Debt to GDP Ratio'!D512),TEXT('Debt to GDP Ratio'!D512,"0.00"), ""), "")</f>
        <v/>
      </c>
      <c r="C508" t="str">
        <f>IFERROR(IF(ISNUMBER('Debt to GDP Ratio'!E512),TEXT('Debt to GDP Ratio'!E512,"0.00"), ""), "")</f>
        <v/>
      </c>
      <c r="D508" t="str">
        <f>IFERROR(IF(ISNUMBER('Debt to GDP Ratio'!B512),'Debt to GDP Ratio'!G512, ""), "")</f>
        <v/>
      </c>
    </row>
    <row r="509" spans="1:4">
      <c r="A509" t="str">
        <f>TEXT(IF('Debt to GDP Ratio'!B513&lt;&gt;0,'Debt to GDP Ratio'!B513, ""), "mm/dd/yyyy")</f>
        <v/>
      </c>
      <c r="B509" t="str">
        <f>IFERROR(IF(ISNUMBER('Debt to GDP Ratio'!D513),TEXT('Debt to GDP Ratio'!D513,"0.00"), ""), "")</f>
        <v/>
      </c>
      <c r="C509" t="str">
        <f>IFERROR(IF(ISNUMBER('Debt to GDP Ratio'!E513),TEXT('Debt to GDP Ratio'!E513,"0.00"), ""), "")</f>
        <v/>
      </c>
      <c r="D509" t="str">
        <f>IFERROR(IF(ISNUMBER('Debt to GDP Ratio'!B513),'Debt to GDP Ratio'!G513, ""), "")</f>
        <v/>
      </c>
    </row>
    <row r="510" spans="1:4">
      <c r="A510" t="str">
        <f>TEXT(IF('Debt to GDP Ratio'!B514&lt;&gt;0,'Debt to GDP Ratio'!B514, ""), "mm/dd/yyyy")</f>
        <v/>
      </c>
      <c r="B510" t="str">
        <f>IFERROR(IF(ISNUMBER('Debt to GDP Ratio'!D514),TEXT('Debt to GDP Ratio'!D514,"0.00"), ""), "")</f>
        <v/>
      </c>
      <c r="C510" t="str">
        <f>IFERROR(IF(ISNUMBER('Debt to GDP Ratio'!E514),TEXT('Debt to GDP Ratio'!E514,"0.00"), ""), "")</f>
        <v/>
      </c>
      <c r="D510" t="str">
        <f>IFERROR(IF(ISNUMBER('Debt to GDP Ratio'!B514),'Debt to GDP Ratio'!G514, ""), "")</f>
        <v/>
      </c>
    </row>
    <row r="511" spans="1:4">
      <c r="A511" t="str">
        <f>TEXT(IF('Debt to GDP Ratio'!B515&lt;&gt;0,'Debt to GDP Ratio'!B515, ""), "mm/dd/yyyy")</f>
        <v/>
      </c>
      <c r="B511" t="str">
        <f>IFERROR(IF(ISNUMBER('Debt to GDP Ratio'!D515),TEXT('Debt to GDP Ratio'!D515,"0.00"), ""), "")</f>
        <v/>
      </c>
      <c r="C511" t="str">
        <f>IFERROR(IF(ISNUMBER('Debt to GDP Ratio'!E515),TEXT('Debt to GDP Ratio'!E515,"0.00"), ""), "")</f>
        <v/>
      </c>
      <c r="D511" t="str">
        <f>IFERROR(IF(ISNUMBER('Debt to GDP Ratio'!B515),'Debt to GDP Ratio'!G515, ""), "")</f>
        <v/>
      </c>
    </row>
    <row r="512" spans="1:4">
      <c r="A512" t="str">
        <f>TEXT(IF('Debt to GDP Ratio'!B516&lt;&gt;0,'Debt to GDP Ratio'!B516, ""), "mm/dd/yyyy")</f>
        <v/>
      </c>
      <c r="B512" t="str">
        <f>IFERROR(IF(ISNUMBER('Debt to GDP Ratio'!D516),TEXT('Debt to GDP Ratio'!D516,"0.00"), ""), "")</f>
        <v/>
      </c>
      <c r="C512" t="str">
        <f>IFERROR(IF(ISNUMBER('Debt to GDP Ratio'!E516),TEXT('Debt to GDP Ratio'!E516,"0.00"), ""), "")</f>
        <v/>
      </c>
      <c r="D512" t="str">
        <f>IFERROR(IF(ISNUMBER('Debt to GDP Ratio'!B516),'Debt to GDP Ratio'!G516, ""), "")</f>
        <v/>
      </c>
    </row>
    <row r="513" spans="1:4">
      <c r="A513" t="str">
        <f>TEXT(IF('Debt to GDP Ratio'!B517&lt;&gt;0,'Debt to GDP Ratio'!B517, ""), "mm/dd/yyyy")</f>
        <v/>
      </c>
      <c r="B513" t="str">
        <f>IFERROR(IF(ISNUMBER('Debt to GDP Ratio'!D517),TEXT('Debt to GDP Ratio'!D517,"0.00"), ""), "")</f>
        <v/>
      </c>
      <c r="C513" t="str">
        <f>IFERROR(IF(ISNUMBER('Debt to GDP Ratio'!E517),TEXT('Debt to GDP Ratio'!E517,"0.00"), ""), "")</f>
        <v/>
      </c>
      <c r="D513" t="str">
        <f>IFERROR(IF(ISNUMBER('Debt to GDP Ratio'!B517),'Debt to GDP Ratio'!G517, ""), "")</f>
        <v/>
      </c>
    </row>
    <row r="514" spans="1:4">
      <c r="A514" t="str">
        <f>TEXT(IF('Debt to GDP Ratio'!B518&lt;&gt;0,'Debt to GDP Ratio'!B518, ""), "mm/dd/yyyy")</f>
        <v/>
      </c>
      <c r="B514" t="str">
        <f>IFERROR(IF(ISNUMBER('Debt to GDP Ratio'!D518),TEXT('Debt to GDP Ratio'!D518,"0.00"), ""), "")</f>
        <v/>
      </c>
      <c r="C514" t="str">
        <f>IFERROR(IF(ISNUMBER('Debt to GDP Ratio'!E518),TEXT('Debt to GDP Ratio'!E518,"0.00"), ""), "")</f>
        <v/>
      </c>
      <c r="D514" t="str">
        <f>IFERROR(IF(ISNUMBER('Debt to GDP Ratio'!B518),'Debt to GDP Ratio'!G518, ""), "")</f>
        <v/>
      </c>
    </row>
    <row r="515" spans="1:4">
      <c r="A515" t="str">
        <f>TEXT(IF('Debt to GDP Ratio'!B519&lt;&gt;0,'Debt to GDP Ratio'!B519, ""), "mm/dd/yyyy")</f>
        <v/>
      </c>
      <c r="B515" t="str">
        <f>IFERROR(IF(ISNUMBER('Debt to GDP Ratio'!D519),TEXT('Debt to GDP Ratio'!D519,"0.00"), ""), "")</f>
        <v/>
      </c>
      <c r="C515" t="str">
        <f>IFERROR(IF(ISNUMBER('Debt to GDP Ratio'!E519),TEXT('Debt to GDP Ratio'!E519,"0.00"), ""), "")</f>
        <v/>
      </c>
      <c r="D515" t="str">
        <f>IFERROR(IF(ISNUMBER('Debt to GDP Ratio'!B519),'Debt to GDP Ratio'!G519, ""), "")</f>
        <v/>
      </c>
    </row>
    <row r="516" spans="1:4">
      <c r="A516" t="str">
        <f>TEXT(IF('Debt to GDP Ratio'!B520&lt;&gt;0,'Debt to GDP Ratio'!B520, ""), "mm/dd/yyyy")</f>
        <v/>
      </c>
      <c r="B516" t="str">
        <f>IFERROR(IF(ISNUMBER('Debt to GDP Ratio'!D520),TEXT('Debt to GDP Ratio'!D520,"0.00"), ""), "")</f>
        <v/>
      </c>
      <c r="C516" t="str">
        <f>IFERROR(IF(ISNUMBER('Debt to GDP Ratio'!E520),TEXT('Debt to GDP Ratio'!E520,"0.00"), ""), "")</f>
        <v/>
      </c>
      <c r="D516" t="str">
        <f>IFERROR(IF(ISNUMBER('Debt to GDP Ratio'!B520),'Debt to GDP Ratio'!G520, ""), "")</f>
        <v/>
      </c>
    </row>
    <row r="517" spans="1:4">
      <c r="A517" t="str">
        <f>TEXT(IF('Debt to GDP Ratio'!B521&lt;&gt;0,'Debt to GDP Ratio'!B521, ""), "mm/dd/yyyy")</f>
        <v/>
      </c>
      <c r="B517" t="str">
        <f>IFERROR(IF(ISNUMBER('Debt to GDP Ratio'!D521),TEXT('Debt to GDP Ratio'!D521,"0.00"), ""), "")</f>
        <v/>
      </c>
      <c r="C517" t="str">
        <f>IFERROR(IF(ISNUMBER('Debt to GDP Ratio'!E521),TEXT('Debt to GDP Ratio'!E521,"0.00"), ""), "")</f>
        <v/>
      </c>
      <c r="D517" t="str">
        <f>IFERROR(IF(ISNUMBER('Debt to GDP Ratio'!B521),'Debt to GDP Ratio'!G521, ""), "")</f>
        <v/>
      </c>
    </row>
    <row r="518" spans="1:4">
      <c r="A518" t="str">
        <f>TEXT(IF('Debt to GDP Ratio'!B522&lt;&gt;0,'Debt to GDP Ratio'!B522, ""), "mm/dd/yyyy")</f>
        <v/>
      </c>
      <c r="B518" t="str">
        <f>IFERROR(IF(ISNUMBER('Debt to GDP Ratio'!D522),TEXT('Debt to GDP Ratio'!D522,"0.00"), ""), "")</f>
        <v/>
      </c>
      <c r="C518" t="str">
        <f>IFERROR(IF(ISNUMBER('Debt to GDP Ratio'!E522),TEXT('Debt to GDP Ratio'!E522,"0.00"), ""), "")</f>
        <v/>
      </c>
      <c r="D518" t="str">
        <f>IFERROR(IF(ISNUMBER('Debt to GDP Ratio'!B522),'Debt to GDP Ratio'!G522, ""), "")</f>
        <v/>
      </c>
    </row>
    <row r="519" spans="1:4">
      <c r="A519" t="str">
        <f>TEXT(IF('Debt to GDP Ratio'!B523&lt;&gt;0,'Debt to GDP Ratio'!B523, ""), "mm/dd/yyyy")</f>
        <v/>
      </c>
      <c r="B519" t="str">
        <f>IFERROR(IF(ISNUMBER('Debt to GDP Ratio'!D523),TEXT('Debt to GDP Ratio'!D523,"0.00"), ""), "")</f>
        <v/>
      </c>
      <c r="C519" t="str">
        <f>IFERROR(IF(ISNUMBER('Debt to GDP Ratio'!E523),TEXT('Debt to GDP Ratio'!E523,"0.00"), ""), "")</f>
        <v/>
      </c>
      <c r="D519" t="str">
        <f>IFERROR(IF(ISNUMBER('Debt to GDP Ratio'!B523),'Debt to GDP Ratio'!G523, ""), "")</f>
        <v/>
      </c>
    </row>
    <row r="520" spans="1:4">
      <c r="A520" t="str">
        <f>TEXT(IF('Debt to GDP Ratio'!B524&lt;&gt;0,'Debt to GDP Ratio'!B524, ""), "mm/dd/yyyy")</f>
        <v/>
      </c>
      <c r="B520" t="str">
        <f>IFERROR(IF(ISNUMBER('Debt to GDP Ratio'!D524),TEXT('Debt to GDP Ratio'!D524,"0.00"), ""), "")</f>
        <v/>
      </c>
      <c r="C520" t="str">
        <f>IFERROR(IF(ISNUMBER('Debt to GDP Ratio'!E524),TEXT('Debt to GDP Ratio'!E524,"0.00"), ""), "")</f>
        <v/>
      </c>
      <c r="D520" t="str">
        <f>IFERROR(IF(ISNUMBER('Debt to GDP Ratio'!B524),'Debt to GDP Ratio'!G524, ""), "")</f>
        <v/>
      </c>
    </row>
    <row r="521" spans="1:4">
      <c r="A521" t="str">
        <f>TEXT(IF('Debt to GDP Ratio'!B525&lt;&gt;0,'Debt to GDP Ratio'!B525, ""), "mm/dd/yyyy")</f>
        <v/>
      </c>
      <c r="B521" t="str">
        <f>IFERROR(IF(ISNUMBER('Debt to GDP Ratio'!D525),TEXT('Debt to GDP Ratio'!D525,"0.00"), ""), "")</f>
        <v/>
      </c>
      <c r="C521" t="str">
        <f>IFERROR(IF(ISNUMBER('Debt to GDP Ratio'!E525),TEXT('Debt to GDP Ratio'!E525,"0.00"), ""), "")</f>
        <v/>
      </c>
      <c r="D521" t="str">
        <f>IFERROR(IF(ISNUMBER('Debt to GDP Ratio'!B525),'Debt to GDP Ratio'!G525, ""), "")</f>
        <v/>
      </c>
    </row>
    <row r="522" spans="1:4">
      <c r="A522" t="str">
        <f>TEXT(IF('Debt to GDP Ratio'!B526&lt;&gt;0,'Debt to GDP Ratio'!B526, ""), "mm/dd/yyyy")</f>
        <v/>
      </c>
      <c r="B522" t="str">
        <f>IFERROR(IF(ISNUMBER('Debt to GDP Ratio'!D526),TEXT('Debt to GDP Ratio'!D526,"0.00"), ""), "")</f>
        <v/>
      </c>
      <c r="C522" t="str">
        <f>IFERROR(IF(ISNUMBER('Debt to GDP Ratio'!E526),TEXT('Debt to GDP Ratio'!E526,"0.00"), ""), "")</f>
        <v/>
      </c>
      <c r="D522" t="str">
        <f>IFERROR(IF(ISNUMBER('Debt to GDP Ratio'!B526),'Debt to GDP Ratio'!G526, ""), "")</f>
        <v/>
      </c>
    </row>
    <row r="523" spans="1:4">
      <c r="A523" t="str">
        <f>TEXT(IF('Debt to GDP Ratio'!B527&lt;&gt;0,'Debt to GDP Ratio'!B527, ""), "mm/dd/yyyy")</f>
        <v/>
      </c>
      <c r="B523" t="str">
        <f>IFERROR(IF(ISNUMBER('Debt to GDP Ratio'!D527),TEXT('Debt to GDP Ratio'!D527,"0.00"), ""), "")</f>
        <v/>
      </c>
      <c r="C523" t="str">
        <f>IFERROR(IF(ISNUMBER('Debt to GDP Ratio'!E527),TEXT('Debt to GDP Ratio'!E527,"0.00"), ""), "")</f>
        <v/>
      </c>
      <c r="D523" t="str">
        <f>IFERROR(IF(ISNUMBER('Debt to GDP Ratio'!B527),'Debt to GDP Ratio'!G527, ""), "")</f>
        <v/>
      </c>
    </row>
    <row r="524" spans="1:4">
      <c r="A524" t="str">
        <f>TEXT(IF('Debt to GDP Ratio'!B528&lt;&gt;0,'Debt to GDP Ratio'!B528, ""), "mm/dd/yyyy")</f>
        <v/>
      </c>
      <c r="B524" t="str">
        <f>IFERROR(IF(ISNUMBER('Debt to GDP Ratio'!D528),TEXT('Debt to GDP Ratio'!D528,"0.00"), ""), "")</f>
        <v/>
      </c>
      <c r="C524" t="str">
        <f>IFERROR(IF(ISNUMBER('Debt to GDP Ratio'!E528),TEXT('Debt to GDP Ratio'!E528,"0.00"), ""), "")</f>
        <v/>
      </c>
      <c r="D524" t="str">
        <f>IFERROR(IF(ISNUMBER('Debt to GDP Ratio'!B528),'Debt to GDP Ratio'!G528, ""), "")</f>
        <v/>
      </c>
    </row>
    <row r="525" spans="1:4">
      <c r="A525" t="str">
        <f>TEXT(IF('Debt to GDP Ratio'!B529&lt;&gt;0,'Debt to GDP Ratio'!B529, ""), "mm/dd/yyyy")</f>
        <v/>
      </c>
      <c r="B525" t="str">
        <f>IFERROR(IF(ISNUMBER('Debt to GDP Ratio'!D529),TEXT('Debt to GDP Ratio'!D529,"0.00"), ""), "")</f>
        <v/>
      </c>
      <c r="C525" t="str">
        <f>IFERROR(IF(ISNUMBER('Debt to GDP Ratio'!E529),TEXT('Debt to GDP Ratio'!E529,"0.00"), ""), "")</f>
        <v/>
      </c>
      <c r="D525" t="str">
        <f>IFERROR(IF(ISNUMBER('Debt to GDP Ratio'!B529),'Debt to GDP Ratio'!G529, ""), "")</f>
        <v/>
      </c>
    </row>
    <row r="526" spans="1:4">
      <c r="A526" t="str">
        <f>TEXT(IF('Debt to GDP Ratio'!B530&lt;&gt;0,'Debt to GDP Ratio'!B530, ""), "mm/dd/yyyy")</f>
        <v/>
      </c>
      <c r="B526" t="str">
        <f>IFERROR(IF(ISNUMBER('Debt to GDP Ratio'!D530),TEXT('Debt to GDP Ratio'!D530,"0.00"), ""), "")</f>
        <v/>
      </c>
      <c r="C526" t="str">
        <f>IFERROR(IF(ISNUMBER('Debt to GDP Ratio'!E530),TEXT('Debt to GDP Ratio'!E530,"0.00"), ""), "")</f>
        <v/>
      </c>
      <c r="D526" t="str">
        <f>IFERROR(IF(ISNUMBER('Debt to GDP Ratio'!B530),'Debt to GDP Ratio'!G530, ""), "")</f>
        <v/>
      </c>
    </row>
    <row r="527" spans="1:4">
      <c r="A527" t="str">
        <f>TEXT(IF('Debt to GDP Ratio'!B531&lt;&gt;0,'Debt to GDP Ratio'!B531, ""), "mm/dd/yyyy")</f>
        <v/>
      </c>
      <c r="B527" t="str">
        <f>IFERROR(IF(ISNUMBER('Debt to GDP Ratio'!D531),TEXT('Debt to GDP Ratio'!D531,"0.00"), ""), "")</f>
        <v/>
      </c>
      <c r="C527" t="str">
        <f>IFERROR(IF(ISNUMBER('Debt to GDP Ratio'!E531),TEXT('Debt to GDP Ratio'!E531,"0.00"), ""), "")</f>
        <v/>
      </c>
      <c r="D527" t="str">
        <f>IFERROR(IF(ISNUMBER('Debt to GDP Ratio'!B531),'Debt to GDP Ratio'!G531, ""), "")</f>
        <v/>
      </c>
    </row>
    <row r="528" spans="1:4">
      <c r="A528" t="str">
        <f>TEXT(IF('Debt to GDP Ratio'!B532&lt;&gt;0,'Debt to GDP Ratio'!B532, ""), "mm/dd/yyyy")</f>
        <v/>
      </c>
      <c r="B528" t="str">
        <f>IFERROR(IF(ISNUMBER('Debt to GDP Ratio'!D532),TEXT('Debt to GDP Ratio'!D532,"0.00"), ""), "")</f>
        <v/>
      </c>
      <c r="C528" t="str">
        <f>IFERROR(IF(ISNUMBER('Debt to GDP Ratio'!E532),TEXT('Debt to GDP Ratio'!E532,"0.00"), ""), "")</f>
        <v/>
      </c>
      <c r="D528" t="str">
        <f>IFERROR(IF(ISNUMBER('Debt to GDP Ratio'!B532),'Debt to GDP Ratio'!G532, ""), "")</f>
        <v/>
      </c>
    </row>
    <row r="529" spans="1:4">
      <c r="A529" t="str">
        <f>TEXT(IF('Debt to GDP Ratio'!B533&lt;&gt;0,'Debt to GDP Ratio'!B533, ""), "mm/dd/yyyy")</f>
        <v/>
      </c>
      <c r="B529" t="str">
        <f>IFERROR(IF(ISNUMBER('Debt to GDP Ratio'!D533),TEXT('Debt to GDP Ratio'!D533,"0.00"), ""), "")</f>
        <v/>
      </c>
      <c r="C529" t="str">
        <f>IFERROR(IF(ISNUMBER('Debt to GDP Ratio'!E533),TEXT('Debt to GDP Ratio'!E533,"0.00"), ""), "")</f>
        <v/>
      </c>
      <c r="D529" t="str">
        <f>IFERROR(IF(ISNUMBER('Debt to GDP Ratio'!B533),'Debt to GDP Ratio'!G533, ""), "")</f>
        <v/>
      </c>
    </row>
    <row r="530" spans="1:4">
      <c r="A530" t="str">
        <f>TEXT(IF('Debt to GDP Ratio'!B534&lt;&gt;0,'Debt to GDP Ratio'!B534, ""), "mm/dd/yyyy")</f>
        <v/>
      </c>
      <c r="B530" t="str">
        <f>IFERROR(IF(ISNUMBER('Debt to GDP Ratio'!D534),TEXT('Debt to GDP Ratio'!D534,"0.00"), ""), "")</f>
        <v/>
      </c>
      <c r="C530" t="str">
        <f>IFERROR(IF(ISNUMBER('Debt to GDP Ratio'!E534),TEXT('Debt to GDP Ratio'!E534,"0.00"), ""), "")</f>
        <v/>
      </c>
      <c r="D530" t="str">
        <f>IFERROR(IF(ISNUMBER('Debt to GDP Ratio'!B534),'Debt to GDP Ratio'!G534, ""), "")</f>
        <v/>
      </c>
    </row>
    <row r="531" spans="1:4">
      <c r="A531" t="str">
        <f>TEXT(IF('Debt to GDP Ratio'!B535&lt;&gt;0,'Debt to GDP Ratio'!B535, ""), "mm/dd/yyyy")</f>
        <v/>
      </c>
      <c r="B531" t="str">
        <f>IFERROR(IF(ISNUMBER('Debt to GDP Ratio'!D535),TEXT('Debt to GDP Ratio'!D535,"0.00"), ""), "")</f>
        <v/>
      </c>
      <c r="C531" t="str">
        <f>IFERROR(IF(ISNUMBER('Debt to GDP Ratio'!E535),TEXT('Debt to GDP Ratio'!E535,"0.00"), ""), "")</f>
        <v/>
      </c>
      <c r="D531" t="str">
        <f>IFERROR(IF(ISNUMBER('Debt to GDP Ratio'!B535),'Debt to GDP Ratio'!G535, ""), "")</f>
        <v/>
      </c>
    </row>
    <row r="532" spans="1:4">
      <c r="A532" t="str">
        <f>TEXT(IF('Debt to GDP Ratio'!B536&lt;&gt;0,'Debt to GDP Ratio'!B536, ""), "mm/dd/yyyy")</f>
        <v/>
      </c>
      <c r="B532" t="str">
        <f>IFERROR(IF(ISNUMBER('Debt to GDP Ratio'!D536),TEXT('Debt to GDP Ratio'!D536,"0.00"), ""), "")</f>
        <v/>
      </c>
      <c r="C532" t="str">
        <f>IFERROR(IF(ISNUMBER('Debt to GDP Ratio'!E536),TEXT('Debt to GDP Ratio'!E536,"0.00"), ""), "")</f>
        <v/>
      </c>
      <c r="D532" t="str">
        <f>IFERROR(IF(ISNUMBER('Debt to GDP Ratio'!B536),'Debt to GDP Ratio'!G536, ""), "")</f>
        <v/>
      </c>
    </row>
    <row r="533" spans="1:4">
      <c r="A533" t="str">
        <f>TEXT(IF('Debt to GDP Ratio'!B537&lt;&gt;0,'Debt to GDP Ratio'!B537, ""), "mm/dd/yyyy")</f>
        <v/>
      </c>
      <c r="B533" t="str">
        <f>IFERROR(IF(ISNUMBER('Debt to GDP Ratio'!D537),TEXT('Debt to GDP Ratio'!D537,"0.00"), ""), "")</f>
        <v/>
      </c>
      <c r="C533" t="str">
        <f>IFERROR(IF(ISNUMBER('Debt to GDP Ratio'!E537),TEXT('Debt to GDP Ratio'!E537,"0.00"), ""), "")</f>
        <v/>
      </c>
      <c r="D533" t="str">
        <f>IFERROR(IF(ISNUMBER('Debt to GDP Ratio'!B537),'Debt to GDP Ratio'!G537, ""), "")</f>
        <v/>
      </c>
    </row>
    <row r="534" spans="1:4">
      <c r="A534" t="str">
        <f>TEXT(IF('Debt to GDP Ratio'!B538&lt;&gt;0,'Debt to GDP Ratio'!B538, ""), "mm/dd/yyyy")</f>
        <v/>
      </c>
      <c r="B534" t="str">
        <f>IFERROR(IF(ISNUMBER('Debt to GDP Ratio'!D538),TEXT('Debt to GDP Ratio'!D538,"0.00"), ""), "")</f>
        <v/>
      </c>
      <c r="C534" t="str">
        <f>IFERROR(IF(ISNUMBER('Debt to GDP Ratio'!E538),TEXT('Debt to GDP Ratio'!E538,"0.00"), ""), "")</f>
        <v/>
      </c>
      <c r="D534" t="str">
        <f>IFERROR(IF(ISNUMBER('Debt to GDP Ratio'!B538),'Debt to GDP Ratio'!G538, ""), "")</f>
        <v/>
      </c>
    </row>
    <row r="535" spans="1:4">
      <c r="A535" t="str">
        <f>TEXT(IF('Debt to GDP Ratio'!B539&lt;&gt;0,'Debt to GDP Ratio'!B539, ""), "mm/dd/yyyy")</f>
        <v/>
      </c>
      <c r="B535" t="str">
        <f>IFERROR(IF(ISNUMBER('Debt to GDP Ratio'!D539),TEXT('Debt to GDP Ratio'!D539,"0.00"), ""), "")</f>
        <v/>
      </c>
      <c r="C535" t="str">
        <f>IFERROR(IF(ISNUMBER('Debt to GDP Ratio'!E539),TEXT('Debt to GDP Ratio'!E539,"0.00"), ""), "")</f>
        <v/>
      </c>
      <c r="D535" t="str">
        <f>IFERROR(IF(ISNUMBER('Debt to GDP Ratio'!B539),'Debt to GDP Ratio'!G539, ""), "")</f>
        <v/>
      </c>
    </row>
    <row r="536" spans="1:4">
      <c r="A536" t="str">
        <f>TEXT(IF('Debt to GDP Ratio'!B540&lt;&gt;0,'Debt to GDP Ratio'!B540, ""), "mm/dd/yyyy")</f>
        <v/>
      </c>
      <c r="B536" t="str">
        <f>IFERROR(IF(ISNUMBER('Debt to GDP Ratio'!D540),TEXT('Debt to GDP Ratio'!D540,"0.00"), ""), "")</f>
        <v/>
      </c>
      <c r="C536" t="str">
        <f>IFERROR(IF(ISNUMBER('Debt to GDP Ratio'!E540),TEXT('Debt to GDP Ratio'!E540,"0.00"), ""), "")</f>
        <v/>
      </c>
      <c r="D536" t="str">
        <f>IFERROR(IF(ISNUMBER('Debt to GDP Ratio'!B540),'Debt to GDP Ratio'!G540, ""), "")</f>
        <v/>
      </c>
    </row>
    <row r="537" spans="1:4">
      <c r="A537" t="str">
        <f>TEXT(IF('Debt to GDP Ratio'!B541&lt;&gt;0,'Debt to GDP Ratio'!B541, ""), "mm/dd/yyyy")</f>
        <v/>
      </c>
      <c r="B537" t="str">
        <f>IFERROR(IF(ISNUMBER('Debt to GDP Ratio'!D541),TEXT('Debt to GDP Ratio'!D541,"0.00"), ""), "")</f>
        <v/>
      </c>
      <c r="C537" t="str">
        <f>IFERROR(IF(ISNUMBER('Debt to GDP Ratio'!E541),TEXT('Debt to GDP Ratio'!E541,"0.00"), ""), "")</f>
        <v/>
      </c>
      <c r="D537" t="str">
        <f>IFERROR(IF(ISNUMBER('Debt to GDP Ratio'!B541),'Debt to GDP Ratio'!G541, ""), "")</f>
        <v/>
      </c>
    </row>
    <row r="538" spans="1:4">
      <c r="A538" t="str">
        <f>TEXT(IF('Debt to GDP Ratio'!B542&lt;&gt;0,'Debt to GDP Ratio'!B542, ""), "mm/dd/yyyy")</f>
        <v/>
      </c>
      <c r="B538" t="str">
        <f>IFERROR(IF(ISNUMBER('Debt to GDP Ratio'!D542),TEXT('Debt to GDP Ratio'!D542,"0.00"), ""), "")</f>
        <v/>
      </c>
      <c r="C538" t="str">
        <f>IFERROR(IF(ISNUMBER('Debt to GDP Ratio'!E542),TEXT('Debt to GDP Ratio'!E542,"0.00"), ""), "")</f>
        <v/>
      </c>
      <c r="D538" t="str">
        <f>IFERROR(IF(ISNUMBER('Debt to GDP Ratio'!B542),'Debt to GDP Ratio'!G542, ""), "")</f>
        <v/>
      </c>
    </row>
    <row r="539" spans="1:4">
      <c r="A539" t="str">
        <f>TEXT(IF('Debt to GDP Ratio'!B543&lt;&gt;0,'Debt to GDP Ratio'!B543, ""), "mm/dd/yyyy")</f>
        <v/>
      </c>
      <c r="B539" t="str">
        <f>IFERROR(IF(ISNUMBER('Debt to GDP Ratio'!D543),TEXT('Debt to GDP Ratio'!D543,"0.00"), ""), "")</f>
        <v/>
      </c>
      <c r="C539" t="str">
        <f>IFERROR(IF(ISNUMBER('Debt to GDP Ratio'!E543),TEXT('Debt to GDP Ratio'!E543,"0.00"), ""), "")</f>
        <v/>
      </c>
      <c r="D539" t="str">
        <f>IFERROR(IF(ISNUMBER('Debt to GDP Ratio'!B543),'Debt to GDP Ratio'!G543, ""), "")</f>
        <v/>
      </c>
    </row>
    <row r="540" spans="1:4">
      <c r="A540" t="str">
        <f>TEXT(IF('Debt to GDP Ratio'!B544&lt;&gt;0,'Debt to GDP Ratio'!B544, ""), "mm/dd/yyyy")</f>
        <v/>
      </c>
      <c r="B540" t="str">
        <f>IFERROR(IF(ISNUMBER('Debt to GDP Ratio'!D544),TEXT('Debt to GDP Ratio'!D544,"0.00"), ""), "")</f>
        <v/>
      </c>
      <c r="C540" t="str">
        <f>IFERROR(IF(ISNUMBER('Debt to GDP Ratio'!E544),TEXT('Debt to GDP Ratio'!E544,"0.00"), ""), "")</f>
        <v/>
      </c>
      <c r="D54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97"/>
  <sheetViews>
    <sheetView topLeftCell="A4" workbookViewId="0">
      <selection activeCell="G45" sqref="G45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t="s">
        <v>103</v>
      </c>
      <c r="B1" t="s">
        <v>132</v>
      </c>
      <c r="C1" t="s">
        <v>136</v>
      </c>
      <c r="D1" t="s">
        <v>137</v>
      </c>
      <c r="E1" t="s">
        <v>134</v>
      </c>
      <c r="F1" t="s">
        <v>138</v>
      </c>
      <c r="G1" t="s">
        <v>135</v>
      </c>
      <c r="H1" t="s">
        <v>139</v>
      </c>
      <c r="I1" t="s">
        <v>133</v>
      </c>
      <c r="J1" t="s">
        <v>312</v>
      </c>
    </row>
    <row r="2" spans="1:10">
      <c r="A2" t="str">
        <f>TEXT(IF('Spending by Category'!B8&lt;&gt;0,'Spending by Category'!B8, ""), "mm/dd/yyyy")</f>
        <v>01/01/1975</v>
      </c>
      <c r="B2" t="str">
        <f>IFERROR(IF(ISNUMBER('Spending by Category'!C8),TEXT('Spending by Category'!C8,"0.00"), ""), "")</f>
        <v/>
      </c>
      <c r="C2" t="str">
        <f>IFERROR(IF(ISNUMBER('Spending by Category'!D8),TEXT('Spending by Category'!D8,"0.00"), ""), "")</f>
        <v/>
      </c>
      <c r="D2" t="str">
        <f>IFERROR(IF(ISNUMBER('Spending by Category'!E8),TEXT('Spending by Category'!E8,"0.00"), ""), "")</f>
        <v/>
      </c>
      <c r="E2" t="str">
        <f>IFERROR(IF(ISNUMBER('Spending by Category'!F8),TEXT('Spending by Category'!F8,"0.00"), ""), "")</f>
        <v/>
      </c>
      <c r="F2" t="str">
        <f>IFERROR(IF(ISNUMBER('Spending by Category'!G8),TEXT('Spending by Category'!G8,"0.00"), ""), "")</f>
        <v>1.31</v>
      </c>
      <c r="G2" t="str">
        <f>IFERROR(IF(ISNUMBER('Spending by Category'!H8),TEXT('Spending by Category'!H8,"0.00"), ""), "")</f>
        <v>3.96</v>
      </c>
      <c r="H2" t="str">
        <f>IFERROR(IF(ISNUMBER('Spending by Category'!I8),TEXT('Spending by Category'!I8,"0.00"), ""), "")</f>
        <v>1.45</v>
      </c>
      <c r="I2" t="str">
        <f>IFERROR(IF(ISNUMBER('Spending by Category'!J8),TEXT('Spending by Category'!J8,"0.00"), ""), "")</f>
        <v>13.98</v>
      </c>
      <c r="J2">
        <f>IFERROR(IF(ISNUMBER('Spending by Category'!B8),'Spending by Category'!N8, ""), "")</f>
        <v>1</v>
      </c>
    </row>
    <row r="3" spans="1:10">
      <c r="A3" t="str">
        <f>TEXT(IF('Spending by Category'!B9&lt;&gt;0,'Spending by Category'!B9, ""), "mm/dd/yyyy")</f>
        <v>01/01/1976</v>
      </c>
      <c r="B3" t="str">
        <f>IFERROR(IF(ISNUMBER('Spending by Category'!C9),TEXT('Spending by Category'!C9,"0.00"), ""), "")</f>
        <v/>
      </c>
      <c r="C3" t="str">
        <f>IFERROR(IF(ISNUMBER('Spending by Category'!D9),TEXT('Spending by Category'!D9,"0.00"), ""), "")</f>
        <v/>
      </c>
      <c r="D3" t="str">
        <f>IFERROR(IF(ISNUMBER('Spending by Category'!E9),TEXT('Spending by Category'!E9,"0.00"), ""), "")</f>
        <v/>
      </c>
      <c r="E3" t="str">
        <f>IFERROR(IF(ISNUMBER('Spending by Category'!F9),TEXT('Spending by Category'!F9,"0.00"), ""), "")</f>
        <v/>
      </c>
      <c r="F3" t="str">
        <f>IFERROR(IF(ISNUMBER('Spending by Category'!G9),TEXT('Spending by Category'!G9,"0.00"), ""), "")</f>
        <v>1.43</v>
      </c>
      <c r="G3" t="str">
        <f>IFERROR(IF(ISNUMBER('Spending by Category'!H9),TEXT('Spending by Category'!H9,"0.00"), ""), "")</f>
        <v>4.07</v>
      </c>
      <c r="H3" t="str">
        <f>IFERROR(IF(ISNUMBER('Spending by Category'!I9),TEXT('Spending by Category'!I9,"0.00"), ""), "")</f>
        <v>1.50</v>
      </c>
      <c r="I3" t="str">
        <f>IFERROR(IF(ISNUMBER('Spending by Category'!J9),TEXT('Spending by Category'!J9,"0.00"), ""), "")</f>
        <v>13.82</v>
      </c>
      <c r="J3">
        <f>IFERROR(IF(ISNUMBER('Spending by Category'!B9),'Spending by Category'!N9, ""), "")</f>
        <v>0</v>
      </c>
    </row>
    <row r="4" spans="1:10">
      <c r="A4" t="str">
        <f>TEXT(IF('Spending by Category'!B10&lt;&gt;0,'Spending by Category'!B10, ""), "mm/dd/yyyy")</f>
        <v>01/01/1977</v>
      </c>
      <c r="B4" t="str">
        <f>IFERROR(IF(ISNUMBER('Spending by Category'!C10),TEXT('Spending by Category'!C10,"0.00"), ""), "")</f>
        <v/>
      </c>
      <c r="C4" t="str">
        <f>IFERROR(IF(ISNUMBER('Spending by Category'!D10),TEXT('Spending by Category'!D10,"0.00"), ""), "")</f>
        <v/>
      </c>
      <c r="D4" t="str">
        <f>IFERROR(IF(ISNUMBER('Spending by Category'!E10),TEXT('Spending by Category'!E10,"0.00"), ""), "")</f>
        <v/>
      </c>
      <c r="E4" t="str">
        <f>IFERROR(IF(ISNUMBER('Spending by Category'!F10),TEXT('Spending by Category'!F10,"0.00"), ""), "")</f>
        <v/>
      </c>
      <c r="F4" t="str">
        <f>IFERROR(IF(ISNUMBER('Spending by Category'!G10),TEXT('Spending by Category'!G10,"0.00"), ""), "")</f>
        <v>1.51</v>
      </c>
      <c r="G4" t="str">
        <f>IFERROR(IF(ISNUMBER('Spending by Category'!H10),TEXT('Spending by Category'!H10,"0.00"), ""), "")</f>
        <v>4.13</v>
      </c>
      <c r="H4" t="str">
        <f>IFERROR(IF(ISNUMBER('Spending by Category'!I10),TEXT('Spending by Category'!I10,"0.00"), ""), "")</f>
        <v>1.48</v>
      </c>
      <c r="I4" t="str">
        <f>IFERROR(IF(ISNUMBER('Spending by Category'!J10),TEXT('Spending by Category'!J10,"0.00"), ""), "")</f>
        <v>13.09</v>
      </c>
      <c r="J4">
        <f>IFERROR(IF(ISNUMBER('Spending by Category'!B10),'Spending by Category'!N10, ""), "")</f>
        <v>0</v>
      </c>
    </row>
    <row r="5" spans="1:10">
      <c r="A5" t="str">
        <f>TEXT(IF('Spending by Category'!B11&lt;&gt;0,'Spending by Category'!B11, ""), "mm/dd/yyyy")</f>
        <v>01/01/1978</v>
      </c>
      <c r="B5" t="str">
        <f>IFERROR(IF(ISNUMBER('Spending by Category'!C11),TEXT('Spending by Category'!C11,"0.00"), ""), "")</f>
        <v/>
      </c>
      <c r="C5" t="str">
        <f>IFERROR(IF(ISNUMBER('Spending by Category'!D11),TEXT('Spending by Category'!D11,"0.00"), ""), "")</f>
        <v/>
      </c>
      <c r="D5" t="str">
        <f>IFERROR(IF(ISNUMBER('Spending by Category'!E11),TEXT('Spending by Category'!E11,"0.00"), ""), "")</f>
        <v/>
      </c>
      <c r="E5" t="str">
        <f>IFERROR(IF(ISNUMBER('Spending by Category'!F11),TEXT('Spending by Category'!F11,"0.00"), ""), "")</f>
        <v/>
      </c>
      <c r="F5" t="str">
        <f>IFERROR(IF(ISNUMBER('Spending by Category'!G11),TEXT('Spending by Category'!G11,"0.00"), ""), "")</f>
        <v>1.54</v>
      </c>
      <c r="G5" t="str">
        <f>IFERROR(IF(ISNUMBER('Spending by Category'!H11),TEXT('Spending by Category'!H11,"0.00"), ""), "")</f>
        <v>4.07</v>
      </c>
      <c r="H5" t="str">
        <f>IFERROR(IF(ISNUMBER('Spending by Category'!I11),TEXT('Spending by Category'!I11,"0.00"), ""), "")</f>
        <v>1.56</v>
      </c>
      <c r="I5" t="str">
        <f>IFERROR(IF(ISNUMBER('Spending by Category'!J11),TEXT('Spending by Category'!J11,"0.00"), ""), "")</f>
        <v>13.01</v>
      </c>
      <c r="J5">
        <f>IFERROR(IF(ISNUMBER('Spending by Category'!B11),'Spending by Category'!N11, ""), "")</f>
        <v>0</v>
      </c>
    </row>
    <row r="6" spans="1:10">
      <c r="A6" t="str">
        <f>TEXT(IF('Spending by Category'!B12&lt;&gt;0,'Spending by Category'!B12, ""), "mm/dd/yyyy")</f>
        <v>01/01/1979</v>
      </c>
      <c r="B6" t="str">
        <f>IFERROR(IF(ISNUMBER('Spending by Category'!C12),TEXT('Spending by Category'!C12,"0.00"), ""), "")</f>
        <v/>
      </c>
      <c r="C6" t="str">
        <f>IFERROR(IF(ISNUMBER('Spending by Category'!D12),TEXT('Spending by Category'!D12,"0.00"), ""), "")</f>
        <v/>
      </c>
      <c r="D6" t="str">
        <f>IFERROR(IF(ISNUMBER('Spending by Category'!E12),TEXT('Spending by Category'!E12,"0.00"), ""), "")</f>
        <v/>
      </c>
      <c r="E6" t="str">
        <f>IFERROR(IF(ISNUMBER('Spending by Category'!F12),TEXT('Spending by Category'!F12,"0.00"), ""), "")</f>
        <v/>
      </c>
      <c r="F6" t="str">
        <f>IFERROR(IF(ISNUMBER('Spending by Category'!G12),TEXT('Spending by Category'!G12,"0.00"), ""), "")</f>
        <v>1.58</v>
      </c>
      <c r="G6" t="str">
        <f>IFERROR(IF(ISNUMBER('Spending by Category'!H12),TEXT('Spending by Category'!H12,"0.00"), ""), "")</f>
        <v>4.00</v>
      </c>
      <c r="H6" t="str">
        <f>IFERROR(IF(ISNUMBER('Spending by Category'!I12),TEXT('Spending by Category'!I12,"0.00"), ""), "")</f>
        <v>1.66</v>
      </c>
      <c r="I6" t="str">
        <f>IFERROR(IF(ISNUMBER('Spending by Category'!J12),TEXT('Spending by Category'!J12,"0.00"), ""), "")</f>
        <v>12.40</v>
      </c>
      <c r="J6">
        <f>IFERROR(IF(ISNUMBER('Spending by Category'!B12),'Spending by Category'!N12, ""), "")</f>
        <v>0</v>
      </c>
    </row>
    <row r="7" spans="1:10">
      <c r="A7" t="str">
        <f>TEXT(IF('Spending by Category'!B13&lt;&gt;0,'Spending by Category'!B13, ""), "mm/dd/yyyy")</f>
        <v>01/01/1980</v>
      </c>
      <c r="B7" t="str">
        <f>IFERROR(IF(ISNUMBER('Spending by Category'!C13),TEXT('Spending by Category'!C13,"0.00"), ""), "")</f>
        <v/>
      </c>
      <c r="C7" t="str">
        <f>IFERROR(IF(ISNUMBER('Spending by Category'!D13),TEXT('Spending by Category'!D13,"0.00"), ""), "")</f>
        <v/>
      </c>
      <c r="D7" t="str">
        <f>IFERROR(IF(ISNUMBER('Spending by Category'!E13),TEXT('Spending by Category'!E13,"0.00"), ""), "")</f>
        <v/>
      </c>
      <c r="E7" t="str">
        <f>IFERROR(IF(ISNUMBER('Spending by Category'!F13),TEXT('Spending by Category'!F13,"0.00"), ""), "")</f>
        <v/>
      </c>
      <c r="F7" t="str">
        <f>IFERROR(IF(ISNUMBER('Spending by Category'!G13),TEXT('Spending by Category'!G13,"0.00"), ""), "")</f>
        <v>1.72</v>
      </c>
      <c r="G7" t="str">
        <f>IFERROR(IF(ISNUMBER('Spending by Category'!H13),TEXT('Spending by Category'!H13,"0.00"), ""), "")</f>
        <v>4.19</v>
      </c>
      <c r="H7" t="str">
        <f>IFERROR(IF(ISNUMBER('Spending by Category'!I13),TEXT('Spending by Category'!I13,"0.00"), ""), "")</f>
        <v>1.88</v>
      </c>
      <c r="I7" t="str">
        <f>IFERROR(IF(ISNUMBER('Spending by Category'!J13),TEXT('Spending by Category'!J13,"0.00"), ""), "")</f>
        <v>13.37</v>
      </c>
      <c r="J7">
        <f>IFERROR(IF(ISNUMBER('Spending by Category'!B13),'Spending by Category'!N13, ""), "")</f>
        <v>1</v>
      </c>
    </row>
    <row r="8" spans="1:10">
      <c r="A8" t="str">
        <f>TEXT(IF('Spending by Category'!B14&lt;&gt;0,'Spending by Category'!B14, ""), "mm/dd/yyyy")</f>
        <v>01/01/1981</v>
      </c>
      <c r="B8" t="str">
        <f>IFERROR(IF(ISNUMBER('Spending by Category'!C14),TEXT('Spending by Category'!C14,"0.00"), ""), "")</f>
        <v/>
      </c>
      <c r="C8" t="str">
        <f>IFERROR(IF(ISNUMBER('Spending by Category'!D14),TEXT('Spending by Category'!D14,"0.00"), ""), "")</f>
        <v/>
      </c>
      <c r="D8" t="str">
        <f>IFERROR(IF(ISNUMBER('Spending by Category'!E14),TEXT('Spending by Category'!E14,"0.00"), ""), "")</f>
        <v/>
      </c>
      <c r="E8" t="str">
        <f>IFERROR(IF(ISNUMBER('Spending by Category'!F14),TEXT('Spending by Category'!F14,"0.00"), ""), "")</f>
        <v/>
      </c>
      <c r="F8" t="str">
        <f>IFERROR(IF(ISNUMBER('Spending by Category'!G14),TEXT('Spending by Category'!G14,"0.00"), ""), "")</f>
        <v>1.86</v>
      </c>
      <c r="G8" t="str">
        <f>IFERROR(IF(ISNUMBER('Spending by Category'!H14),TEXT('Spending by Category'!H14,"0.00"), ""), "")</f>
        <v>4.40</v>
      </c>
      <c r="H8" t="str">
        <f>IFERROR(IF(ISNUMBER('Spending by Category'!I14),TEXT('Spending by Category'!I14,"0.00"), ""), "")</f>
        <v>2.20</v>
      </c>
      <c r="I8" t="str">
        <f>IFERROR(IF(ISNUMBER('Spending by Category'!J14),TEXT('Spending by Category'!J14,"0.00"), ""), "")</f>
        <v>13.20</v>
      </c>
      <c r="J8">
        <f>IFERROR(IF(ISNUMBER('Spending by Category'!B14),'Spending by Category'!N14, ""), "")</f>
        <v>1</v>
      </c>
    </row>
    <row r="9" spans="1:10">
      <c r="A9" t="str">
        <f>TEXT(IF('Spending by Category'!B15&lt;&gt;0,'Spending by Category'!B15, ""), "mm/dd/yyyy")</f>
        <v>01/01/1982</v>
      </c>
      <c r="B9" t="str">
        <f>IFERROR(IF(ISNUMBER('Spending by Category'!C15),TEXT('Spending by Category'!C15,"0.00"), ""), "")</f>
        <v/>
      </c>
      <c r="C9" t="str">
        <f>IFERROR(IF(ISNUMBER('Spending by Category'!D15),TEXT('Spending by Category'!D15,"0.00"), ""), "")</f>
        <v/>
      </c>
      <c r="D9" t="str">
        <f>IFERROR(IF(ISNUMBER('Spending by Category'!E15),TEXT('Spending by Category'!E15,"0.00"), ""), "")</f>
        <v/>
      </c>
      <c r="E9" t="str">
        <f>IFERROR(IF(ISNUMBER('Spending by Category'!F15),TEXT('Spending by Category'!F15,"0.00"), ""), "")</f>
        <v/>
      </c>
      <c r="F9" t="str">
        <f>IFERROR(IF(ISNUMBER('Spending by Category'!G15),TEXT('Spending by Category'!G15,"0.00"), ""), "")</f>
        <v>2.01</v>
      </c>
      <c r="G9" t="str">
        <f>IFERROR(IF(ISNUMBER('Spending by Category'!H15),TEXT('Spending by Category'!H15,"0.00"), ""), "")</f>
        <v>4.65</v>
      </c>
      <c r="H9" t="str">
        <f>IFERROR(IF(ISNUMBER('Spending by Category'!I15),TEXT('Spending by Category'!I15,"0.00"), ""), "")</f>
        <v>2.57</v>
      </c>
      <c r="I9" t="str">
        <f>IFERROR(IF(ISNUMBER('Spending by Category'!J15),TEXT('Spending by Category'!J15,"0.00"), ""), "")</f>
        <v>13.29</v>
      </c>
      <c r="J9">
        <f>IFERROR(IF(ISNUMBER('Spending by Category'!B15),'Spending by Category'!N15, ""), "")</f>
        <v>1</v>
      </c>
    </row>
    <row r="10" spans="1:10">
      <c r="A10" t="str">
        <f>TEXT(IF('Spending by Category'!B16&lt;&gt;0,'Spending by Category'!B16, ""), "mm/dd/yyyy")</f>
        <v>01/01/1983</v>
      </c>
      <c r="B10" t="str">
        <f>IFERROR(IF(ISNUMBER('Spending by Category'!C16),TEXT('Spending by Category'!C16,"0.00"), ""), "")</f>
        <v/>
      </c>
      <c r="C10" t="str">
        <f>IFERROR(IF(ISNUMBER('Spending by Category'!D16),TEXT('Spending by Category'!D16,"0.00"), ""), "")</f>
        <v/>
      </c>
      <c r="D10" t="str">
        <f>IFERROR(IF(ISNUMBER('Spending by Category'!E16),TEXT('Spending by Category'!E16,"0.00"), ""), "")</f>
        <v/>
      </c>
      <c r="E10" t="str">
        <f>IFERROR(IF(ISNUMBER('Spending by Category'!F16),TEXT('Spending by Category'!F16,"0.00"), ""), "")</f>
        <v/>
      </c>
      <c r="F10" t="str">
        <f>IFERROR(IF(ISNUMBER('Spending by Category'!G16),TEXT('Spending by Category'!G16,"0.00"), ""), "")</f>
        <v>2.11</v>
      </c>
      <c r="G10" t="str">
        <f>IFERROR(IF(ISNUMBER('Spending by Category'!H16),TEXT('Spending by Category'!H16,"0.00"), ""), "")</f>
        <v>4.77</v>
      </c>
      <c r="H10" t="str">
        <f>IFERROR(IF(ISNUMBER('Spending by Category'!I16),TEXT('Spending by Category'!I16,"0.00"), ""), "")</f>
        <v>2.54</v>
      </c>
      <c r="I10" t="str">
        <f>IFERROR(IF(ISNUMBER('Spending by Category'!J16),TEXT('Spending by Category'!J16,"0.00"), ""), "")</f>
        <v>13.45</v>
      </c>
      <c r="J10">
        <f>IFERROR(IF(ISNUMBER('Spending by Category'!B16),'Spending by Category'!N16, ""), "")</f>
        <v>0</v>
      </c>
    </row>
    <row r="11" spans="1:10">
      <c r="A11" t="str">
        <f>TEXT(IF('Spending by Category'!B17&lt;&gt;0,'Spending by Category'!B17, ""), "mm/dd/yyyy")</f>
        <v>01/01/1984</v>
      </c>
      <c r="B11" t="str">
        <f>IFERROR(IF(ISNUMBER('Spending by Category'!C17),TEXT('Spending by Category'!C17,"0.00"), ""), "")</f>
        <v/>
      </c>
      <c r="C11" t="str">
        <f>IFERROR(IF(ISNUMBER('Spending by Category'!D17),TEXT('Spending by Category'!D17,"0.00"), ""), "")</f>
        <v/>
      </c>
      <c r="D11" t="str">
        <f>IFERROR(IF(ISNUMBER('Spending by Category'!E17),TEXT('Spending by Category'!E17,"0.00"), ""), "")</f>
        <v/>
      </c>
      <c r="E11" t="str">
        <f>IFERROR(IF(ISNUMBER('Spending by Category'!F17),TEXT('Spending by Category'!F17,"0.00"), ""), "")</f>
        <v/>
      </c>
      <c r="F11" t="str">
        <f>IFERROR(IF(ISNUMBER('Spending by Category'!G17),TEXT('Spending by Category'!G17,"0.00"), ""), "")</f>
        <v>2.06</v>
      </c>
      <c r="G11" t="str">
        <f>IFERROR(IF(ISNUMBER('Spending by Category'!H17),TEXT('Spending by Category'!H17,"0.00"), ""), "")</f>
        <v>4.46</v>
      </c>
      <c r="H11" t="str">
        <f>IFERROR(IF(ISNUMBER('Spending by Category'!I17),TEXT('Spending by Category'!I17,"0.00"), ""), "")</f>
        <v>2.81</v>
      </c>
      <c r="I11" t="str">
        <f>IFERROR(IF(ISNUMBER('Spending by Category'!J17),TEXT('Spending by Category'!J17,"0.00"), ""), "")</f>
        <v>12.24</v>
      </c>
      <c r="J11">
        <f>IFERROR(IF(ISNUMBER('Spending by Category'!B17),'Spending by Category'!N17, ""), "")</f>
        <v>0</v>
      </c>
    </row>
    <row r="12" spans="1:10">
      <c r="A12" t="str">
        <f>TEXT(IF('Spending by Category'!B18&lt;&gt;0,'Spending by Category'!B18, ""), "mm/dd/yyyy")</f>
        <v>01/01/1985</v>
      </c>
      <c r="B12" t="str">
        <f>IFERROR(IF(ISNUMBER('Spending by Category'!C18),TEXT('Spending by Category'!C18,"0.00"), ""), "")</f>
        <v/>
      </c>
      <c r="C12" t="str">
        <f>IFERROR(IF(ISNUMBER('Spending by Category'!D18),TEXT('Spending by Category'!D18,"0.00"), ""), "")</f>
        <v/>
      </c>
      <c r="D12" t="str">
        <f>IFERROR(IF(ISNUMBER('Spending by Category'!E18),TEXT('Spending by Category'!E18,"0.00"), ""), "")</f>
        <v/>
      </c>
      <c r="E12" t="str">
        <f>IFERROR(IF(ISNUMBER('Spending by Category'!F18),TEXT('Spending by Category'!F18,"0.00"), ""), "")</f>
        <v/>
      </c>
      <c r="F12" t="str">
        <f>IFERROR(IF(ISNUMBER('Spending by Category'!G18),TEXT('Spending by Category'!G18,"0.00"), ""), "")</f>
        <v>2.16</v>
      </c>
      <c r="G12" t="str">
        <f>IFERROR(IF(ISNUMBER('Spending by Category'!H18),TEXT('Spending by Category'!H18,"0.00"), ""), "")</f>
        <v>4.37</v>
      </c>
      <c r="H12" t="str">
        <f>IFERROR(IF(ISNUMBER('Spending by Category'!I18),TEXT('Spending by Category'!I18,"0.00"), ""), "")</f>
        <v>3.04</v>
      </c>
      <c r="I12" t="str">
        <f>IFERROR(IF(ISNUMBER('Spending by Category'!J18),TEXT('Spending by Category'!J18,"0.00"), ""), "")</f>
        <v>12.62</v>
      </c>
      <c r="J12">
        <f>IFERROR(IF(ISNUMBER('Spending by Category'!B18),'Spending by Category'!N18, ""), "")</f>
        <v>0</v>
      </c>
    </row>
    <row r="13" spans="1:10">
      <c r="A13" t="str">
        <f>TEXT(IF('Spending by Category'!B19&lt;&gt;0,'Spending by Category'!B19, ""), "mm/dd/yyyy")</f>
        <v>01/01/1986</v>
      </c>
      <c r="B13" t="str">
        <f>IFERROR(IF(ISNUMBER('Spending by Category'!C19),TEXT('Spending by Category'!C19,"0.00"), ""), "")</f>
        <v/>
      </c>
      <c r="C13" t="str">
        <f>IFERROR(IF(ISNUMBER('Spending by Category'!D19),TEXT('Spending by Category'!D19,"0.00"), ""), "")</f>
        <v/>
      </c>
      <c r="D13" t="str">
        <f>IFERROR(IF(ISNUMBER('Spending by Category'!E19),TEXT('Spending by Category'!E19,"0.00"), ""), "")</f>
        <v/>
      </c>
      <c r="E13" t="str">
        <f>IFERROR(IF(ISNUMBER('Spending by Category'!F19),TEXT('Spending by Category'!F19,"0.00"), ""), "")</f>
        <v/>
      </c>
      <c r="F13" t="str">
        <f>IFERROR(IF(ISNUMBER('Spending by Category'!G19),TEXT('Spending by Category'!G19,"0.00"), ""), "")</f>
        <v>2.19</v>
      </c>
      <c r="G13" t="str">
        <f>IFERROR(IF(ISNUMBER('Spending by Category'!H19),TEXT('Spending by Category'!H19,"0.00"), ""), "")</f>
        <v>4.34</v>
      </c>
      <c r="H13" t="str">
        <f>IFERROR(IF(ISNUMBER('Spending by Category'!I19),TEXT('Spending by Category'!I19,"0.00"), ""), "")</f>
        <v>3.01</v>
      </c>
      <c r="I13" t="str">
        <f>IFERROR(IF(ISNUMBER('Spending by Category'!J19),TEXT('Spending by Category'!J19,"0.00"), ""), "")</f>
        <v>12.34</v>
      </c>
      <c r="J13">
        <f>IFERROR(IF(ISNUMBER('Spending by Category'!B19),'Spending by Category'!N19, ""), "")</f>
        <v>0</v>
      </c>
    </row>
    <row r="14" spans="1:10">
      <c r="A14" t="str">
        <f>TEXT(IF('Spending by Category'!B20&lt;&gt;0,'Spending by Category'!B20, ""), "mm/dd/yyyy")</f>
        <v>01/01/1987</v>
      </c>
      <c r="B14" t="str">
        <f>IFERROR(IF(ISNUMBER('Spending by Category'!C20),TEXT('Spending by Category'!C20,"0.00"), ""), "")</f>
        <v/>
      </c>
      <c r="C14" t="str">
        <f>IFERROR(IF(ISNUMBER('Spending by Category'!D20),TEXT('Spending by Category'!D20,"0.00"), ""), "")</f>
        <v/>
      </c>
      <c r="D14" t="str">
        <f>IFERROR(IF(ISNUMBER('Spending by Category'!E20),TEXT('Spending by Category'!E20,"0.00"), ""), "")</f>
        <v/>
      </c>
      <c r="E14" t="str">
        <f>IFERROR(IF(ISNUMBER('Spending by Category'!F20),TEXT('Spending by Category'!F20,"0.00"), ""), "")</f>
        <v/>
      </c>
      <c r="F14" t="str">
        <f>IFERROR(IF(ISNUMBER('Spending by Category'!G20),TEXT('Spending by Category'!G20,"0.00"), ""), "")</f>
        <v>2.25</v>
      </c>
      <c r="G14" t="str">
        <f>IFERROR(IF(ISNUMBER('Spending by Category'!H20),TEXT('Spending by Category'!H20,"0.00"), ""), "")</f>
        <v>4.30</v>
      </c>
      <c r="H14" t="str">
        <f>IFERROR(IF(ISNUMBER('Spending by Category'!I20),TEXT('Spending by Category'!I20,"0.00"), ""), "")</f>
        <v>2.91</v>
      </c>
      <c r="I14" t="str">
        <f>IFERROR(IF(ISNUMBER('Spending by Category'!J20),TEXT('Spending by Category'!J20,"0.00"), ""), "")</f>
        <v>11.60</v>
      </c>
      <c r="J14">
        <f>IFERROR(IF(ISNUMBER('Spending by Category'!B20),'Spending by Category'!N20, ""), "")</f>
        <v>0</v>
      </c>
    </row>
    <row r="15" spans="1:10">
      <c r="A15" t="str">
        <f>TEXT(IF('Spending by Category'!B21&lt;&gt;0,'Spending by Category'!B21, ""), "mm/dd/yyyy")</f>
        <v>01/01/1988</v>
      </c>
      <c r="B15" t="str">
        <f>IFERROR(IF(ISNUMBER('Spending by Category'!C21),TEXT('Spending by Category'!C21,"0.00"), ""), "")</f>
        <v/>
      </c>
      <c r="C15" t="str">
        <f>IFERROR(IF(ISNUMBER('Spending by Category'!D21),TEXT('Spending by Category'!D21,"0.00"), ""), "")</f>
        <v/>
      </c>
      <c r="D15" t="str">
        <f>IFERROR(IF(ISNUMBER('Spending by Category'!E21),TEXT('Spending by Category'!E21,"0.00"), ""), "")</f>
        <v/>
      </c>
      <c r="E15" t="str">
        <f>IFERROR(IF(ISNUMBER('Spending by Category'!F21),TEXT('Spending by Category'!F21,"0.00"), ""), "")</f>
        <v/>
      </c>
      <c r="F15" t="str">
        <f>IFERROR(IF(ISNUMBER('Spending by Category'!G21),TEXT('Spending by Category'!G21,"0.00"), ""), "")</f>
        <v>2.26</v>
      </c>
      <c r="G15" t="str">
        <f>IFERROR(IF(ISNUMBER('Spending by Category'!H21),TEXT('Spending by Category'!H21,"0.00"), ""), "")</f>
        <v>4.22</v>
      </c>
      <c r="H15" t="str">
        <f>IFERROR(IF(ISNUMBER('Spending by Category'!I21),TEXT('Spending by Category'!I21,"0.00"), ""), "")</f>
        <v>2.95</v>
      </c>
      <c r="I15" t="str">
        <f>IFERROR(IF(ISNUMBER('Spending by Category'!J21),TEXT('Spending by Category'!J21,"0.00"), ""), "")</f>
        <v>11.28</v>
      </c>
      <c r="J15">
        <f>IFERROR(IF(ISNUMBER('Spending by Category'!B21),'Spending by Category'!N21, ""), "")</f>
        <v>0</v>
      </c>
    </row>
    <row r="16" spans="1:10">
      <c r="A16" t="str">
        <f>TEXT(IF('Spending by Category'!B22&lt;&gt;0,'Spending by Category'!B22, ""), "mm/dd/yyyy")</f>
        <v>01/01/1989</v>
      </c>
      <c r="B16" t="str">
        <f>IFERROR(IF(ISNUMBER('Spending by Category'!C22),TEXT('Spending by Category'!C22,"0.00"), ""), "")</f>
        <v/>
      </c>
      <c r="C16" t="str">
        <f>IFERROR(IF(ISNUMBER('Spending by Category'!D22),TEXT('Spending by Category'!D22,"0.00"), ""), "")</f>
        <v/>
      </c>
      <c r="D16" t="str">
        <f>IFERROR(IF(ISNUMBER('Spending by Category'!E22),TEXT('Spending by Category'!E22,"0.00"), ""), "")</f>
        <v/>
      </c>
      <c r="E16" t="str">
        <f>IFERROR(IF(ISNUMBER('Spending by Category'!F22),TEXT('Spending by Category'!F22,"0.00"), ""), "")</f>
        <v/>
      </c>
      <c r="F16" t="str">
        <f>IFERROR(IF(ISNUMBER('Spending by Category'!G22),TEXT('Spending by Category'!G22,"0.00"), ""), "")</f>
        <v>2.30</v>
      </c>
      <c r="G16" t="str">
        <f>IFERROR(IF(ISNUMBER('Spending by Category'!H22),TEXT('Spending by Category'!H22,"0.00"), ""), "")</f>
        <v>4.15</v>
      </c>
      <c r="H16" t="str">
        <f>IFERROR(IF(ISNUMBER('Spending by Category'!I22),TEXT('Spending by Category'!I22,"0.00"), ""), "")</f>
        <v>3.04</v>
      </c>
      <c r="I16" t="str">
        <f>IFERROR(IF(ISNUMBER('Spending by Category'!J22),TEXT('Spending by Category'!J22,"0.00"), ""), "")</f>
        <v>11.10</v>
      </c>
      <c r="J16">
        <f>IFERROR(IF(ISNUMBER('Spending by Category'!B22),'Spending by Category'!N22, ""), "")</f>
        <v>0</v>
      </c>
    </row>
    <row r="17" spans="1:10">
      <c r="A17" t="str">
        <f>TEXT(IF('Spending by Category'!B23&lt;&gt;0,'Spending by Category'!B23, ""), "mm/dd/yyyy")</f>
        <v>01/01/1990</v>
      </c>
      <c r="B17" t="str">
        <f>IFERROR(IF(ISNUMBER('Spending by Category'!C23),TEXT('Spending by Category'!C23,"0.00"), ""), "")</f>
        <v/>
      </c>
      <c r="C17" t="str">
        <f>IFERROR(IF(ISNUMBER('Spending by Category'!D23),TEXT('Spending by Category'!D23,"0.00"), ""), "")</f>
        <v/>
      </c>
      <c r="D17" t="str">
        <f>IFERROR(IF(ISNUMBER('Spending by Category'!E23),TEXT('Spending by Category'!E23,"0.00"), ""), "")</f>
        <v/>
      </c>
      <c r="E17" t="str">
        <f>IFERROR(IF(ISNUMBER('Spending by Category'!F23),TEXT('Spending by Category'!F23,"0.00"), ""), "")</f>
        <v/>
      </c>
      <c r="F17" t="str">
        <f>IFERROR(IF(ISNUMBER('Spending by Category'!G23),TEXT('Spending by Category'!G23,"0.00"), ""), "")</f>
        <v>2.51</v>
      </c>
      <c r="G17" t="str">
        <f>IFERROR(IF(ISNUMBER('Spending by Category'!H23),TEXT('Spending by Category'!H23,"0.00"), ""), "")</f>
        <v>4.18</v>
      </c>
      <c r="H17" t="str">
        <f>IFERROR(IF(ISNUMBER('Spending by Category'!I23),TEXT('Spending by Category'!I23,"0.00"), ""), "")</f>
        <v>3.13</v>
      </c>
      <c r="I17" t="str">
        <f>IFERROR(IF(ISNUMBER('Spending by Category'!J23),TEXT('Spending by Category'!J23,"0.00"), ""), "")</f>
        <v>11.43</v>
      </c>
      <c r="J17">
        <f>IFERROR(IF(ISNUMBER('Spending by Category'!B23),'Spending by Category'!N23, ""), "")</f>
        <v>1</v>
      </c>
    </row>
    <row r="18" spans="1:10">
      <c r="A18" t="str">
        <f>TEXT(IF('Spending by Category'!B24&lt;&gt;0,'Spending by Category'!B24, ""), "mm/dd/yyyy")</f>
        <v>01/01/1991</v>
      </c>
      <c r="B18" t="str">
        <f>IFERROR(IF(ISNUMBER('Spending by Category'!C24),TEXT('Spending by Category'!C24,"0.00"), ""), "")</f>
        <v/>
      </c>
      <c r="C18" t="str">
        <f>IFERROR(IF(ISNUMBER('Spending by Category'!D24),TEXT('Spending by Category'!D24,"0.00"), ""), "")</f>
        <v/>
      </c>
      <c r="D18" t="str">
        <f>IFERROR(IF(ISNUMBER('Spending by Category'!E24),TEXT('Spending by Category'!E24,"0.00"), ""), "")</f>
        <v/>
      </c>
      <c r="E18" t="str">
        <f>IFERROR(IF(ISNUMBER('Spending by Category'!F24),TEXT('Spending by Category'!F24,"0.00"), ""), "")</f>
        <v/>
      </c>
      <c r="F18" t="str">
        <f>IFERROR(IF(ISNUMBER('Spending by Category'!G24),TEXT('Spending by Category'!G24,"0.00"), ""), "")</f>
        <v>2.74</v>
      </c>
      <c r="G18" t="str">
        <f>IFERROR(IF(ISNUMBER('Spending by Category'!H24),TEXT('Spending by Category'!H24,"0.00"), ""), "")</f>
        <v>4.38</v>
      </c>
      <c r="H18" t="str">
        <f>IFERROR(IF(ISNUMBER('Spending by Category'!I24),TEXT('Spending by Category'!I24,"0.00"), ""), "")</f>
        <v>3.19</v>
      </c>
      <c r="I18" t="str">
        <f>IFERROR(IF(ISNUMBER('Spending by Category'!J24),TEXT('Spending by Category'!J24,"0.00"), ""), "")</f>
        <v>11.43</v>
      </c>
      <c r="J18">
        <f>IFERROR(IF(ISNUMBER('Spending by Category'!B24),'Spending by Category'!N24, ""), "")</f>
        <v>1</v>
      </c>
    </row>
    <row r="19" spans="1:10">
      <c r="A19" t="str">
        <f>TEXT(IF('Spending by Category'!B25&lt;&gt;0,'Spending by Category'!B25, ""), "mm/dd/yyyy")</f>
        <v>01/01/1992</v>
      </c>
      <c r="B19" t="str">
        <f>IFERROR(IF(ISNUMBER('Spending by Category'!C25),TEXT('Spending by Category'!C25,"0.00"), ""), "")</f>
        <v/>
      </c>
      <c r="C19" t="str">
        <f>IFERROR(IF(ISNUMBER('Spending by Category'!D25),TEXT('Spending by Category'!D25,"0.00"), ""), "")</f>
        <v/>
      </c>
      <c r="D19" t="str">
        <f>IFERROR(IF(ISNUMBER('Spending by Category'!E25),TEXT('Spending by Category'!E25,"0.00"), ""), "")</f>
        <v/>
      </c>
      <c r="E19" t="str">
        <f>IFERROR(IF(ISNUMBER('Spending by Category'!F25),TEXT('Spending by Category'!F25,"0.00"), ""), "")</f>
        <v/>
      </c>
      <c r="F19" t="str">
        <f>IFERROR(IF(ISNUMBER('Spending by Category'!G25),TEXT('Spending by Category'!G25,"0.00"), ""), "")</f>
        <v>3.07</v>
      </c>
      <c r="G19" t="str">
        <f>IFERROR(IF(ISNUMBER('Spending by Category'!H25),TEXT('Spending by Category'!H25,"0.00"), ""), "")</f>
        <v>4.44</v>
      </c>
      <c r="H19" t="str">
        <f>IFERROR(IF(ISNUMBER('Spending by Category'!I25),TEXT('Spending by Category'!I25,"0.00"), ""), "")</f>
        <v>3.11</v>
      </c>
      <c r="I19" t="str">
        <f>IFERROR(IF(ISNUMBER('Spending by Category'!J25),TEXT('Spending by Category'!J25,"0.00"), ""), "")</f>
        <v>10.91</v>
      </c>
      <c r="J19">
        <f>IFERROR(IF(ISNUMBER('Spending by Category'!B25),'Spending by Category'!N25, ""), "")</f>
        <v>0</v>
      </c>
    </row>
    <row r="20" spans="1:10">
      <c r="A20" t="str">
        <f>TEXT(IF('Spending by Category'!B26&lt;&gt;0,'Spending by Category'!B26, ""), "mm/dd/yyyy")</f>
        <v>01/01/1993</v>
      </c>
      <c r="B20" t="str">
        <f>IFERROR(IF(ISNUMBER('Spending by Category'!C26),TEXT('Spending by Category'!C26,"0.00"), ""), "")</f>
        <v/>
      </c>
      <c r="C20" t="str">
        <f>IFERROR(IF(ISNUMBER('Spending by Category'!D26),TEXT('Spending by Category'!D26,"0.00"), ""), "")</f>
        <v/>
      </c>
      <c r="D20" t="str">
        <f>IFERROR(IF(ISNUMBER('Spending by Category'!E26),TEXT('Spending by Category'!E26,"0.00"), ""), "")</f>
        <v/>
      </c>
      <c r="E20" t="str">
        <f>IFERROR(IF(ISNUMBER('Spending by Category'!F26),TEXT('Spending by Category'!F26,"0.00"), ""), "")</f>
        <v/>
      </c>
      <c r="F20" t="str">
        <f>IFERROR(IF(ISNUMBER('Spending by Category'!G26),TEXT('Spending by Category'!G26,"0.00"), ""), "")</f>
        <v>3.23</v>
      </c>
      <c r="G20" t="str">
        <f>IFERROR(IF(ISNUMBER('Spending by Category'!H26),TEXT('Spending by Category'!H26,"0.00"), ""), "")</f>
        <v>4.46</v>
      </c>
      <c r="H20" t="str">
        <f>IFERROR(IF(ISNUMBER('Spending by Category'!I26),TEXT('Spending by Category'!I26,"0.00"), ""), "")</f>
        <v>2.93</v>
      </c>
      <c r="I20" t="str">
        <f>IFERROR(IF(ISNUMBER('Spending by Category'!J26),TEXT('Spending by Category'!J26,"0.00"), ""), "")</f>
        <v>10.18</v>
      </c>
      <c r="J20">
        <f>IFERROR(IF(ISNUMBER('Spending by Category'!B26),'Spending by Category'!N26, ""), "")</f>
        <v>0</v>
      </c>
    </row>
    <row r="21" spans="1:10">
      <c r="A21" t="str">
        <f>TEXT(IF('Spending by Category'!B27&lt;&gt;0,'Spending by Category'!B27, ""), "mm/dd/yyyy")</f>
        <v>01/01/1994</v>
      </c>
      <c r="B21" t="str">
        <f>IFERROR(IF(ISNUMBER('Spending by Category'!C27),TEXT('Spending by Category'!C27,"0.00"), ""), "")</f>
        <v/>
      </c>
      <c r="C21" t="str">
        <f>IFERROR(IF(ISNUMBER('Spending by Category'!D27),TEXT('Spending by Category'!D27,"0.00"), ""), "")</f>
        <v/>
      </c>
      <c r="D21" t="str">
        <f>IFERROR(IF(ISNUMBER('Spending by Category'!E27),TEXT('Spending by Category'!E27,"0.00"), ""), "")</f>
        <v/>
      </c>
      <c r="E21" t="str">
        <f>IFERROR(IF(ISNUMBER('Spending by Category'!F27),TEXT('Spending by Category'!F27,"0.00"), ""), "")</f>
        <v/>
      </c>
      <c r="F21" t="str">
        <f>IFERROR(IF(ISNUMBER('Spending by Category'!G27),TEXT('Spending by Category'!G27,"0.00"), ""), "")</f>
        <v>3.37</v>
      </c>
      <c r="G21" t="str">
        <f>IFERROR(IF(ISNUMBER('Spending by Category'!H27),TEXT('Spending by Category'!H27,"0.00"), ""), "")</f>
        <v>4.42</v>
      </c>
      <c r="H21" t="str">
        <f>IFERROR(IF(ISNUMBER('Spending by Category'!I27),TEXT('Spending by Category'!I27,"0.00"), ""), "")</f>
        <v>2.83</v>
      </c>
      <c r="I21" t="str">
        <f>IFERROR(IF(ISNUMBER('Spending by Category'!J27),TEXT('Spending by Category'!J27,"0.00"), ""), "")</f>
        <v>9.76</v>
      </c>
      <c r="J21">
        <f>IFERROR(IF(ISNUMBER('Spending by Category'!B27),'Spending by Category'!N27, ""), "")</f>
        <v>0</v>
      </c>
    </row>
    <row r="22" spans="1:10">
      <c r="A22" t="str">
        <f>TEXT(IF('Spending by Category'!B28&lt;&gt;0,'Spending by Category'!B28, ""), "mm/dd/yyyy")</f>
        <v>01/01/1995</v>
      </c>
      <c r="B22" t="str">
        <f>IFERROR(IF(ISNUMBER('Spending by Category'!C28),TEXT('Spending by Category'!C28,"0.00"), ""), "")</f>
        <v/>
      </c>
      <c r="C22" t="str">
        <f>IFERROR(IF(ISNUMBER('Spending by Category'!D28),TEXT('Spending by Category'!D28,"0.00"), ""), "")</f>
        <v/>
      </c>
      <c r="D22" t="str">
        <f>IFERROR(IF(ISNUMBER('Spending by Category'!E28),TEXT('Spending by Category'!E28,"0.00"), ""), "")</f>
        <v/>
      </c>
      <c r="E22" t="str">
        <f>IFERROR(IF(ISNUMBER('Spending by Category'!F28),TEXT('Spending by Category'!F28,"0.00"), ""), "")</f>
        <v/>
      </c>
      <c r="F22" t="str">
        <f>IFERROR(IF(ISNUMBER('Spending by Category'!G28),TEXT('Spending by Category'!G28,"0.00"), ""), "")</f>
        <v>3.52</v>
      </c>
      <c r="G22" t="str">
        <f>IFERROR(IF(ISNUMBER('Spending by Category'!H28),TEXT('Spending by Category'!H28,"0.00"), ""), "")</f>
        <v>4.41</v>
      </c>
      <c r="H22" t="str">
        <f>IFERROR(IF(ISNUMBER('Spending by Category'!I28),TEXT('Spending by Category'!I28,"0.00"), ""), "")</f>
        <v>3.07</v>
      </c>
      <c r="I22" t="str">
        <f>IFERROR(IF(ISNUMBER('Spending by Category'!J28),TEXT('Spending by Category'!J28,"0.00"), ""), "")</f>
        <v>9.05</v>
      </c>
      <c r="J22">
        <f>IFERROR(IF(ISNUMBER('Spending by Category'!B28),'Spending by Category'!N28, ""), "")</f>
        <v>0</v>
      </c>
    </row>
    <row r="23" spans="1:10">
      <c r="A23" t="str">
        <f>TEXT(IF('Spending by Category'!B29&lt;&gt;0,'Spending by Category'!B29, ""), "mm/dd/yyyy")</f>
        <v>01/01/1996</v>
      </c>
      <c r="B23" t="str">
        <f>IFERROR(IF(ISNUMBER('Spending by Category'!C29),TEXT('Spending by Category'!C29,"0.00"), ""), "")</f>
        <v/>
      </c>
      <c r="C23" t="str">
        <f>IFERROR(IF(ISNUMBER('Spending by Category'!D29),TEXT('Spending by Category'!D29,"0.00"), ""), "")</f>
        <v/>
      </c>
      <c r="D23" t="str">
        <f>IFERROR(IF(ISNUMBER('Spending by Category'!E29),TEXT('Spending by Category'!E29,"0.00"), ""), "")</f>
        <v/>
      </c>
      <c r="E23" t="str">
        <f>IFERROR(IF(ISNUMBER('Spending by Category'!F29),TEXT('Spending by Category'!F29,"0.00"), ""), "")</f>
        <v/>
      </c>
      <c r="F23" t="str">
        <f>IFERROR(IF(ISNUMBER('Spending by Category'!G29),TEXT('Spending by Category'!G29,"0.00"), ""), "")</f>
        <v>3.56</v>
      </c>
      <c r="G23" t="str">
        <f>IFERROR(IF(ISNUMBER('Spending by Category'!H29),TEXT('Spending by Category'!H29,"0.00"), ""), "")</f>
        <v>4.37</v>
      </c>
      <c r="H23" t="str">
        <f>IFERROR(IF(ISNUMBER('Spending by Category'!I29),TEXT('Spending by Category'!I29,"0.00"), ""), "")</f>
        <v>3.03</v>
      </c>
      <c r="I23" t="str">
        <f>IFERROR(IF(ISNUMBER('Spending by Category'!J29),TEXT('Spending by Category'!J29,"0.00"), ""), "")</f>
        <v>8.67</v>
      </c>
      <c r="J23">
        <f>IFERROR(IF(ISNUMBER('Spending by Category'!B29),'Spending by Category'!N29, ""), "")</f>
        <v>0</v>
      </c>
    </row>
    <row r="24" spans="1:10">
      <c r="A24" t="str">
        <f>TEXT(IF('Spending by Category'!B30&lt;&gt;0,'Spending by Category'!B30, ""), "mm/dd/yyyy")</f>
        <v>01/01/1997</v>
      </c>
      <c r="B24" t="str">
        <f>IFERROR(IF(ISNUMBER('Spending by Category'!C30),TEXT('Spending by Category'!C30,"0.00"), ""), "")</f>
        <v/>
      </c>
      <c r="C24" t="str">
        <f>IFERROR(IF(ISNUMBER('Spending by Category'!D30),TEXT('Spending by Category'!D30,"0.00"), ""), "")</f>
        <v/>
      </c>
      <c r="D24" t="str">
        <f>IFERROR(IF(ISNUMBER('Spending by Category'!E30),TEXT('Spending by Category'!E30,"0.00"), ""), "")</f>
        <v/>
      </c>
      <c r="E24" t="str">
        <f>IFERROR(IF(ISNUMBER('Spending by Category'!F30),TEXT('Spending by Category'!F30,"0.00"), ""), "")</f>
        <v/>
      </c>
      <c r="F24" t="str">
        <f>IFERROR(IF(ISNUMBER('Spending by Category'!G30),TEXT('Spending by Category'!G30,"0.00"), ""), "")</f>
        <v>3.59</v>
      </c>
      <c r="G24" t="str">
        <f>IFERROR(IF(ISNUMBER('Spending by Category'!H30),TEXT('Spending by Category'!H30,"0.00"), ""), "")</f>
        <v>4.29</v>
      </c>
      <c r="H24" t="str">
        <f>IFERROR(IF(ISNUMBER('Spending by Category'!I30),TEXT('Spending by Category'!I30,"0.00"), ""), "")</f>
        <v>2.89</v>
      </c>
      <c r="I24" t="str">
        <f>IFERROR(IF(ISNUMBER('Spending by Category'!J30),TEXT('Spending by Category'!J30,"0.00"), ""), "")</f>
        <v>8.18</v>
      </c>
      <c r="J24">
        <f>IFERROR(IF(ISNUMBER('Spending by Category'!B30),'Spending by Category'!N30, ""), "")</f>
        <v>0</v>
      </c>
    </row>
    <row r="25" spans="1:10">
      <c r="A25" t="str">
        <f>TEXT(IF('Spending by Category'!B31&lt;&gt;0,'Spending by Category'!B31, ""), "mm/dd/yyyy")</f>
        <v>01/01/1998</v>
      </c>
      <c r="B25" t="str">
        <f>IFERROR(IF(ISNUMBER('Spending by Category'!C31),TEXT('Spending by Category'!C31,"0.00"), ""), "")</f>
        <v/>
      </c>
      <c r="C25" t="str">
        <f>IFERROR(IF(ISNUMBER('Spending by Category'!D31),TEXT('Spending by Category'!D31,"0.00"), ""), "")</f>
        <v/>
      </c>
      <c r="D25" t="str">
        <f>IFERROR(IF(ISNUMBER('Spending by Category'!E31),TEXT('Spending by Category'!E31,"0.00"), ""), "")</f>
        <v/>
      </c>
      <c r="E25" t="str">
        <f>IFERROR(IF(ISNUMBER('Spending by Category'!F31),TEXT('Spending by Category'!F31,"0.00"), ""), "")</f>
        <v/>
      </c>
      <c r="F25" t="str">
        <f>IFERROR(IF(ISNUMBER('Spending by Category'!G31),TEXT('Spending by Category'!G31,"0.00"), ""), "")</f>
        <v>3.50</v>
      </c>
      <c r="G25" t="str">
        <f>IFERROR(IF(ISNUMBER('Spending by Category'!H31),TEXT('Spending by Category'!H31,"0.00"), ""), "")</f>
        <v>4.21</v>
      </c>
      <c r="H25" t="str">
        <f>IFERROR(IF(ISNUMBER('Spending by Category'!I31),TEXT('Spending by Category'!I31,"0.00"), ""), "")</f>
        <v>2.70</v>
      </c>
      <c r="I25" t="str">
        <f>IFERROR(IF(ISNUMBER('Spending by Category'!J31),TEXT('Spending by Category'!J31,"0.00"), ""), "")</f>
        <v>8.10</v>
      </c>
      <c r="J25">
        <f>IFERROR(IF(ISNUMBER('Spending by Category'!B31),'Spending by Category'!N31, ""), "")</f>
        <v>0</v>
      </c>
    </row>
    <row r="26" spans="1:10">
      <c r="A26" t="str">
        <f>TEXT(IF('Spending by Category'!B32&lt;&gt;0,'Spending by Category'!B32, ""), "mm/dd/yyyy")</f>
        <v>01/01/1999</v>
      </c>
      <c r="B26" t="str">
        <f>IFERROR(IF(ISNUMBER('Spending by Category'!C32),TEXT('Spending by Category'!C32,"0.00"), ""), "")</f>
        <v/>
      </c>
      <c r="C26" t="str">
        <f>IFERROR(IF(ISNUMBER('Spending by Category'!D32),TEXT('Spending by Category'!D32,"0.00"), ""), "")</f>
        <v/>
      </c>
      <c r="D26" t="str">
        <f>IFERROR(IF(ISNUMBER('Spending by Category'!E32),TEXT('Spending by Category'!E32,"0.00"), ""), "")</f>
        <v/>
      </c>
      <c r="E26" t="str">
        <f>IFERROR(IF(ISNUMBER('Spending by Category'!F32),TEXT('Spending by Category'!F32,"0.00"), ""), "")</f>
        <v/>
      </c>
      <c r="F26" t="str">
        <f>IFERROR(IF(ISNUMBER('Spending by Category'!G32),TEXT('Spending by Category'!G32,"0.00"), ""), "")</f>
        <v>3.35</v>
      </c>
      <c r="G26" t="str">
        <f>IFERROR(IF(ISNUMBER('Spending by Category'!H32),TEXT('Spending by Category'!H32,"0.00"), ""), "")</f>
        <v>4.08</v>
      </c>
      <c r="H26" t="str">
        <f>IFERROR(IF(ISNUMBER('Spending by Category'!I32),TEXT('Spending by Category'!I32,"0.00"), ""), "")</f>
        <v>2.42</v>
      </c>
      <c r="I26" t="str">
        <f>IFERROR(IF(ISNUMBER('Spending by Category'!J32),TEXT('Spending by Category'!J32,"0.00"), ""), "")</f>
        <v>8.10</v>
      </c>
      <c r="J26">
        <f>IFERROR(IF(ISNUMBER('Spending by Category'!B32),'Spending by Category'!N32, ""), "")</f>
        <v>0</v>
      </c>
    </row>
    <row r="27" spans="1:10">
      <c r="A27" t="str">
        <f>TEXT(IF('Spending by Category'!B33&lt;&gt;0,'Spending by Category'!B33, ""), "mm/dd/yyyy")</f>
        <v>01/01/2000</v>
      </c>
      <c r="B27" t="str">
        <f>IFERROR(IF(ISNUMBER('Spending by Category'!C33),TEXT('Spending by Category'!C33,"0.00"), ""), "")</f>
        <v/>
      </c>
      <c r="C27" t="str">
        <f>IFERROR(IF(ISNUMBER('Spending by Category'!D33),TEXT('Spending by Category'!D33,"0.00"), ""), "")</f>
        <v/>
      </c>
      <c r="D27" t="str">
        <f>IFERROR(IF(ISNUMBER('Spending by Category'!E33),TEXT('Spending by Category'!E33,"0.00"), ""), "")</f>
        <v/>
      </c>
      <c r="E27" t="str">
        <f>IFERROR(IF(ISNUMBER('Spending by Category'!F33),TEXT('Spending by Category'!F33,"0.00"), ""), "")</f>
        <v/>
      </c>
      <c r="F27" t="str">
        <f>IFERROR(IF(ISNUMBER('Spending by Category'!G33),TEXT('Spending by Category'!G33,"0.00"), ""), "")</f>
        <v>3.30</v>
      </c>
      <c r="G27" t="str">
        <f>IFERROR(IF(ISNUMBER('Spending by Category'!H33),TEXT('Spending by Category'!H33,"0.00"), ""), "")</f>
        <v>4.01</v>
      </c>
      <c r="H27" t="str">
        <f>IFERROR(IF(ISNUMBER('Spending by Category'!I33),TEXT('Spending by Category'!I33,"0.00"), ""), "")</f>
        <v>2.20</v>
      </c>
      <c r="I27" t="str">
        <f>IFERROR(IF(ISNUMBER('Spending by Category'!J33),TEXT('Spending by Category'!J33,"0.00"), ""), "")</f>
        <v>8.16</v>
      </c>
      <c r="J27">
        <f>IFERROR(IF(ISNUMBER('Spending by Category'!B33),'Spending by Category'!N33, ""), "")</f>
        <v>0</v>
      </c>
    </row>
    <row r="28" spans="1:10">
      <c r="A28" t="str">
        <f>TEXT(IF('Spending by Category'!B34&lt;&gt;0,'Spending by Category'!B34, ""), "mm/dd/yyyy")</f>
        <v>01/01/2001</v>
      </c>
      <c r="B28" t="str">
        <f>IFERROR(IF(ISNUMBER('Spending by Category'!C34),TEXT('Spending by Category'!C34,"0.00"), ""), "")</f>
        <v/>
      </c>
      <c r="C28" t="str">
        <f>IFERROR(IF(ISNUMBER('Spending by Category'!D34),TEXT('Spending by Category'!D34,"0.00"), ""), "")</f>
        <v/>
      </c>
      <c r="D28" t="str">
        <f>IFERROR(IF(ISNUMBER('Spending by Category'!E34),TEXT('Spending by Category'!E34,"0.00"), ""), "")</f>
        <v/>
      </c>
      <c r="E28" t="str">
        <f>IFERROR(IF(ISNUMBER('Spending by Category'!F34),TEXT('Spending by Category'!F34,"0.00"), ""), "")</f>
        <v/>
      </c>
      <c r="F28" t="str">
        <f>IFERROR(IF(ISNUMBER('Spending by Category'!G34),TEXT('Spending by Category'!G34,"0.00"), ""), "")</f>
        <v>3.49</v>
      </c>
      <c r="G28" t="str">
        <f>IFERROR(IF(ISNUMBER('Spending by Category'!H34),TEXT('Spending by Category'!H34,"0.00"), ""), "")</f>
        <v>4.08</v>
      </c>
      <c r="H28" t="str">
        <f>IFERROR(IF(ISNUMBER('Spending by Category'!I34),TEXT('Spending by Category'!I34,"0.00"), ""), "")</f>
        <v>1.96</v>
      </c>
      <c r="I28" t="str">
        <f>IFERROR(IF(ISNUMBER('Spending by Category'!J34),TEXT('Spending by Category'!J34,"0.00"), ""), "")</f>
        <v>8.17</v>
      </c>
      <c r="J28">
        <f>IFERROR(IF(ISNUMBER('Spending by Category'!B34),'Spending by Category'!N34, ""), "")</f>
        <v>1</v>
      </c>
    </row>
    <row r="29" spans="1:10">
      <c r="A29" t="str">
        <f>TEXT(IF('Spending by Category'!B35&lt;&gt;0,'Spending by Category'!B35, ""), "mm/dd/yyyy")</f>
        <v>01/01/2002</v>
      </c>
      <c r="B29" t="str">
        <f>IFERROR(IF(ISNUMBER('Spending by Category'!C35),TEXT('Spending by Category'!C35,"0.00"), ""), "")</f>
        <v/>
      </c>
      <c r="C29" t="str">
        <f>IFERROR(IF(ISNUMBER('Spending by Category'!D35),TEXT('Spending by Category'!D35,"0.00"), ""), "")</f>
        <v/>
      </c>
      <c r="D29" t="str">
        <f>IFERROR(IF(ISNUMBER('Spending by Category'!E35),TEXT('Spending by Category'!E35,"0.00"), ""), "")</f>
        <v/>
      </c>
      <c r="E29" t="str">
        <f>IFERROR(IF(ISNUMBER('Spending by Category'!F35),TEXT('Spending by Category'!F35,"0.00"), ""), "")</f>
        <v/>
      </c>
      <c r="F29" t="str">
        <f>IFERROR(IF(ISNUMBER('Spending by Category'!G35),TEXT('Spending by Category'!G35,"0.00"), ""), "")</f>
        <v>3.70</v>
      </c>
      <c r="G29" t="str">
        <f>IFERROR(IF(ISNUMBER('Spending by Category'!H35),TEXT('Spending by Category'!H35,"0.00"), ""), "")</f>
        <v>4.17</v>
      </c>
      <c r="H29" t="str">
        <f>IFERROR(IF(ISNUMBER('Spending by Category'!I35),TEXT('Spending by Category'!I35,"0.00"), ""), "")</f>
        <v>1.58</v>
      </c>
      <c r="I29" t="str">
        <f>IFERROR(IF(ISNUMBER('Spending by Category'!J35),TEXT('Spending by Category'!J35,"0.00"), ""), "")</f>
        <v>9.11</v>
      </c>
      <c r="J29">
        <f>IFERROR(IF(ISNUMBER('Spending by Category'!B35),'Spending by Category'!N35, ""), "")</f>
        <v>0</v>
      </c>
    </row>
    <row r="30" spans="1:10">
      <c r="A30" t="str">
        <f>TEXT(IF('Spending by Category'!B36&lt;&gt;0,'Spending by Category'!B36, ""), "mm/dd/yyyy")</f>
        <v>01/01/2003</v>
      </c>
      <c r="B30" t="str">
        <f>IFERROR(IF(ISNUMBER('Spending by Category'!C36),TEXT('Spending by Category'!C36,"0.00"), ""), "")</f>
        <v/>
      </c>
      <c r="C30" t="str">
        <f>IFERROR(IF(ISNUMBER('Spending by Category'!D36),TEXT('Spending by Category'!D36,"0.00"), ""), "")</f>
        <v/>
      </c>
      <c r="D30" t="str">
        <f>IFERROR(IF(ISNUMBER('Spending by Category'!E36),TEXT('Spending by Category'!E36,"0.00"), ""), "")</f>
        <v/>
      </c>
      <c r="E30" t="str">
        <f>IFERROR(IF(ISNUMBER('Spending by Category'!F36),TEXT('Spending by Category'!F36,"0.00"), ""), "")</f>
        <v/>
      </c>
      <c r="F30" t="str">
        <f>IFERROR(IF(ISNUMBER('Spending by Category'!G36),TEXT('Spending by Category'!G36,"0.00"), ""), "")</f>
        <v>3.85</v>
      </c>
      <c r="G30" t="str">
        <f>IFERROR(IF(ISNUMBER('Spending by Category'!H36),TEXT('Spending by Category'!H36,"0.00"), ""), "")</f>
        <v>4.17</v>
      </c>
      <c r="H30" t="str">
        <f>IFERROR(IF(ISNUMBER('Spending by Category'!I36),TEXT('Spending by Category'!I36,"0.00"), ""), "")</f>
        <v>1.36</v>
      </c>
      <c r="I30" t="str">
        <f>IFERROR(IF(ISNUMBER('Spending by Category'!J36),TEXT('Spending by Category'!J36,"0.00"), ""), "")</f>
        <v>9.76</v>
      </c>
      <c r="J30">
        <f>IFERROR(IF(ISNUMBER('Spending by Category'!B36),'Spending by Category'!N36, ""), "")</f>
        <v>0</v>
      </c>
    </row>
    <row r="31" spans="1:10">
      <c r="A31" t="str">
        <f>TEXT(IF('Spending by Category'!B37&lt;&gt;0,'Spending by Category'!B37, ""), "mm/dd/yyyy")</f>
        <v>01/01/2004</v>
      </c>
      <c r="B31" t="str">
        <f>IFERROR(IF(ISNUMBER('Spending by Category'!C37),TEXT('Spending by Category'!C37,"0.00"), ""), "")</f>
        <v/>
      </c>
      <c r="C31" t="str">
        <f>IFERROR(IF(ISNUMBER('Spending by Category'!D37),TEXT('Spending by Category'!D37,"0.00"), ""), "")</f>
        <v/>
      </c>
      <c r="D31" t="str">
        <f>IFERROR(IF(ISNUMBER('Spending by Category'!E37),TEXT('Spending by Category'!E37,"0.00"), ""), "")</f>
        <v/>
      </c>
      <c r="E31" t="str">
        <f>IFERROR(IF(ISNUMBER('Spending by Category'!F37),TEXT('Spending by Category'!F37,"0.00"), ""), "")</f>
        <v/>
      </c>
      <c r="F31" t="str">
        <f>IFERROR(IF(ISNUMBER('Spending by Category'!G37),TEXT('Spending by Category'!G37,"0.00"), ""), "")</f>
        <v>3.94</v>
      </c>
      <c r="G31" t="str">
        <f>IFERROR(IF(ISNUMBER('Spending by Category'!H37),TEXT('Spending by Category'!H37,"0.00"), ""), "")</f>
        <v>4.09</v>
      </c>
      <c r="H31" t="str">
        <f>IFERROR(IF(ISNUMBER('Spending by Category'!I37),TEXT('Spending by Category'!I37,"0.00"), ""), "")</f>
        <v>1.33</v>
      </c>
      <c r="I31" t="str">
        <f>IFERROR(IF(ISNUMBER('Spending by Category'!J37),TEXT('Spending by Category'!J37,"0.00"), ""), "")</f>
        <v>9.71</v>
      </c>
      <c r="J31">
        <f>IFERROR(IF(ISNUMBER('Spending by Category'!B37),'Spending by Category'!N37, ""), "")</f>
        <v>0</v>
      </c>
    </row>
    <row r="32" spans="1:10">
      <c r="A32" t="str">
        <f>TEXT(IF('Spending by Category'!B38&lt;&gt;0,'Spending by Category'!B38, ""), "mm/dd/yyyy")</f>
        <v>01/01/2005</v>
      </c>
      <c r="B32" t="str">
        <f>IFERROR(IF(ISNUMBER('Spending by Category'!C38),TEXT('Spending by Category'!C38,"0.00"), ""), "")</f>
        <v/>
      </c>
      <c r="C32" t="str">
        <f>IFERROR(IF(ISNUMBER('Spending by Category'!D38),TEXT('Spending by Category'!D38,"0.00"), ""), "")</f>
        <v/>
      </c>
      <c r="D32" t="str">
        <f>IFERROR(IF(ISNUMBER('Spending by Category'!E38),TEXT('Spending by Category'!E38,"0.00"), ""), "")</f>
        <v/>
      </c>
      <c r="E32" t="str">
        <f>IFERROR(IF(ISNUMBER('Spending by Category'!F38),TEXT('Spending by Category'!F38,"0.00"), ""), "")</f>
        <v/>
      </c>
      <c r="F32" t="str">
        <f>IFERROR(IF(ISNUMBER('Spending by Category'!G38),TEXT('Spending by Category'!G38,"0.00"), ""), "")</f>
        <v>4.03</v>
      </c>
      <c r="G32" t="str">
        <f>IFERROR(IF(ISNUMBER('Spending by Category'!H38),TEXT('Spending by Category'!H38,"0.00"), ""), "")</f>
        <v>4.04</v>
      </c>
      <c r="H32" t="str">
        <f>IFERROR(IF(ISNUMBER('Spending by Category'!I38),TEXT('Spending by Category'!I38,"0.00"), ""), "")</f>
        <v>1.43</v>
      </c>
      <c r="I32" t="str">
        <f>IFERROR(IF(ISNUMBER('Spending by Category'!J38),TEXT('Spending by Category'!J38,"0.00"), ""), "")</f>
        <v>9.76</v>
      </c>
      <c r="J32">
        <f>IFERROR(IF(ISNUMBER('Spending by Category'!B38),'Spending by Category'!N38, ""), "")</f>
        <v>0</v>
      </c>
    </row>
    <row r="33" spans="1:10">
      <c r="A33" t="str">
        <f>TEXT(IF('Spending by Category'!B39&lt;&gt;0,'Spending by Category'!B39, ""), "mm/dd/yyyy")</f>
        <v>01/01/2006</v>
      </c>
      <c r="B33" t="str">
        <f>IFERROR(IF(ISNUMBER('Spending by Category'!C39),TEXT('Spending by Category'!C39,"0.00"), ""), "")</f>
        <v/>
      </c>
      <c r="C33" t="str">
        <f>IFERROR(IF(ISNUMBER('Spending by Category'!D39),TEXT('Spending by Category'!D39,"0.00"), ""), "")</f>
        <v/>
      </c>
      <c r="D33" t="str">
        <f>IFERROR(IF(ISNUMBER('Spending by Category'!E39),TEXT('Spending by Category'!E39,"0.00"), ""), "")</f>
        <v/>
      </c>
      <c r="E33" t="str">
        <f>IFERROR(IF(ISNUMBER('Spending by Category'!F39),TEXT('Spending by Category'!F39,"0.00"), ""), "")</f>
        <v/>
      </c>
      <c r="F33" t="str">
        <f>IFERROR(IF(ISNUMBER('Spending by Category'!G39),TEXT('Spending by Category'!G39,"0.00"), ""), "")</f>
        <v>4.09</v>
      </c>
      <c r="G33" t="str">
        <f>IFERROR(IF(ISNUMBER('Spending by Category'!H39),TEXT('Spending by Category'!H39,"0.00"), ""), "")</f>
        <v>3.99</v>
      </c>
      <c r="H33" t="str">
        <f>IFERROR(IF(ISNUMBER('Spending by Category'!I39),TEXT('Spending by Category'!I39,"0.00"), ""), "")</f>
        <v>1.66</v>
      </c>
      <c r="I33" t="str">
        <f>IFERROR(IF(ISNUMBER('Spending by Category'!J39),TEXT('Spending by Category'!J39,"0.00"), ""), "")</f>
        <v>9.73</v>
      </c>
      <c r="J33">
        <f>IFERROR(IF(ISNUMBER('Spending by Category'!B39),'Spending by Category'!N39, ""), "")</f>
        <v>0</v>
      </c>
    </row>
    <row r="34" spans="1:10">
      <c r="A34" t="str">
        <f>TEXT(IF('Spending by Category'!B40&lt;&gt;0,'Spending by Category'!B40, ""), "mm/dd/yyyy")</f>
        <v>01/01/2007</v>
      </c>
      <c r="B34" t="str">
        <f>IFERROR(IF(ISNUMBER('Spending by Category'!C40),TEXT('Spending by Category'!C40,"0.00"), ""), "")</f>
        <v/>
      </c>
      <c r="C34" t="str">
        <f>IFERROR(IF(ISNUMBER('Spending by Category'!D40),TEXT('Spending by Category'!D40,"0.00"), ""), "")</f>
        <v/>
      </c>
      <c r="D34" t="str">
        <f>IFERROR(IF(ISNUMBER('Spending by Category'!E40),TEXT('Spending by Category'!E40,"0.00"), ""), "")</f>
        <v/>
      </c>
      <c r="E34" t="str">
        <f>IFERROR(IF(ISNUMBER('Spending by Category'!F40),TEXT('Spending by Category'!F40,"0.00"), ""), "")</f>
        <v/>
      </c>
      <c r="F34" t="str">
        <f>IFERROR(IF(ISNUMBER('Spending by Category'!G40),TEXT('Spending by Category'!G40,"0.00"), ""), "")</f>
        <v>4.39</v>
      </c>
      <c r="G34" t="str">
        <f>IFERROR(IF(ISNUMBER('Spending by Category'!H40),TEXT('Spending by Category'!H40,"0.00"), ""), "")</f>
        <v>4.07</v>
      </c>
      <c r="H34" t="str">
        <f>IFERROR(IF(ISNUMBER('Spending by Category'!I40),TEXT('Spending by Category'!I40,"0.00"), ""), "")</f>
        <v>1.66</v>
      </c>
      <c r="I34" t="str">
        <f>IFERROR(IF(ISNUMBER('Spending by Category'!J40),TEXT('Spending by Category'!J40,"0.00"), ""), "")</f>
        <v>8.98</v>
      </c>
      <c r="J34">
        <f>IFERROR(IF(ISNUMBER('Spending by Category'!B40),'Spending by Category'!N40, ""), "")</f>
        <v>0</v>
      </c>
    </row>
    <row r="35" spans="1:10">
      <c r="A35" t="str">
        <f>TEXT(IF('Spending by Category'!B41&lt;&gt;0,'Spending by Category'!B41, ""), "mm/dd/yyyy")</f>
        <v>01/01/2008</v>
      </c>
      <c r="B35" t="str">
        <f>IFERROR(IF(ISNUMBER('Spending by Category'!C41),TEXT('Spending by Category'!C41,"0.00"), ""), "")</f>
        <v/>
      </c>
      <c r="C35" t="str">
        <f>IFERROR(IF(ISNUMBER('Spending by Category'!D41),TEXT('Spending by Category'!D41,"0.00"), ""), "")</f>
        <v/>
      </c>
      <c r="D35" t="str">
        <f>IFERROR(IF(ISNUMBER('Spending by Category'!E41),TEXT('Spending by Category'!E41,"0.00"), ""), "")</f>
        <v/>
      </c>
      <c r="E35" t="str">
        <f>IFERROR(IF(ISNUMBER('Spending by Category'!F41),TEXT('Spending by Category'!F41,"0.00"), ""), "")</f>
        <v/>
      </c>
      <c r="F35" t="str">
        <f>IFERROR(IF(ISNUMBER('Spending by Category'!G41),TEXT('Spending by Category'!G41,"0.00"), ""), "")</f>
        <v>4.46</v>
      </c>
      <c r="G35" t="str">
        <f>IFERROR(IF(ISNUMBER('Spending by Category'!H41),TEXT('Spending by Category'!H41,"0.00"), ""), "")</f>
        <v>4.15</v>
      </c>
      <c r="H35" t="str">
        <f>IFERROR(IF(ISNUMBER('Spending by Category'!I41),TEXT('Spending by Category'!I41,"0.00"), ""), "")</f>
        <v>1.71</v>
      </c>
      <c r="I35" t="str">
        <f>IFERROR(IF(ISNUMBER('Spending by Category'!J41),TEXT('Spending by Category'!J41,"0.00"), ""), "")</f>
        <v>9.91</v>
      </c>
      <c r="J35">
        <f>IFERROR(IF(ISNUMBER('Spending by Category'!B41),'Spending by Category'!N41, ""), "")</f>
        <v>1</v>
      </c>
    </row>
    <row r="36" spans="1:10">
      <c r="A36" t="str">
        <f>TEXT(IF('Spending by Category'!B42&lt;&gt;0,'Spending by Category'!B42, ""), "mm/dd/yyyy")</f>
        <v>01/01/2009</v>
      </c>
      <c r="B36" t="str">
        <f>IFERROR(IF(ISNUMBER('Spending by Category'!C42),TEXT('Spending by Category'!C42,"0.00"), ""), "")</f>
        <v/>
      </c>
      <c r="C36" t="str">
        <f>IFERROR(IF(ISNUMBER('Spending by Category'!D42),TEXT('Spending by Category'!D42,"0.00"), ""), "")</f>
        <v/>
      </c>
      <c r="D36" t="str">
        <f>IFERROR(IF(ISNUMBER('Spending by Category'!E42),TEXT('Spending by Category'!E42,"0.00"), ""), "")</f>
        <v/>
      </c>
      <c r="E36" t="str">
        <f>IFERROR(IF(ISNUMBER('Spending by Category'!F42),TEXT('Spending by Category'!F42,"0.00"), ""), "")</f>
        <v/>
      </c>
      <c r="F36" t="str">
        <f>IFERROR(IF(ISNUMBER('Spending by Category'!G42),TEXT('Spending by Category'!G42,"0.00"), ""), "")</f>
        <v>5.20</v>
      </c>
      <c r="G36" t="str">
        <f>IFERROR(IF(ISNUMBER('Spending by Category'!H42),TEXT('Spending by Category'!H42,"0.00"), ""), "")</f>
        <v>4.70</v>
      </c>
      <c r="H36" t="str">
        <f>IFERROR(IF(ISNUMBER('Spending by Category'!I42),TEXT('Spending by Category'!I42,"0.00"), ""), "")</f>
        <v>1.30</v>
      </c>
      <c r="I36" t="str">
        <f>IFERROR(IF(ISNUMBER('Spending by Category'!J42),TEXT('Spending by Category'!J42,"0.00"), ""), "")</f>
        <v>13.18</v>
      </c>
      <c r="J36">
        <f>IFERROR(IF(ISNUMBER('Spending by Category'!B42),'Spending by Category'!N42, ""), "")</f>
        <v>1</v>
      </c>
    </row>
    <row r="37" spans="1:10">
      <c r="A37" t="str">
        <f>TEXT(IF('Spending by Category'!B43&lt;&gt;0,'Spending by Category'!B43, ""), "mm/dd/yyyy")</f>
        <v>01/01/2010</v>
      </c>
      <c r="B37" t="str">
        <f>IFERROR(IF(ISNUMBER('Spending by Category'!C43),TEXT('Spending by Category'!C43,"0.00"), ""), "")</f>
        <v/>
      </c>
      <c r="C37" t="str">
        <f>IFERROR(IF(ISNUMBER('Spending by Category'!D43),TEXT('Spending by Category'!D43,"0.00"), ""), "")</f>
        <v/>
      </c>
      <c r="D37" t="str">
        <f>IFERROR(IF(ISNUMBER('Spending by Category'!E43),TEXT('Spending by Category'!E43,"0.00"), ""), "")</f>
        <v/>
      </c>
      <c r="E37" t="str">
        <f>IFERROR(IF(ISNUMBER('Spending by Category'!F43),TEXT('Spending by Category'!F43,"0.00"), ""), "")</f>
        <v/>
      </c>
      <c r="F37" t="str">
        <f>IFERROR(IF(ISNUMBER('Spending by Category'!G43),TEXT('Spending by Category'!G43,"0.00"), ""), "")</f>
        <v>5.35</v>
      </c>
      <c r="G37" t="str">
        <f>IFERROR(IF(ISNUMBER('Spending by Category'!H43),TEXT('Spending by Category'!H43,"0.00"), ""), "")</f>
        <v>4.72</v>
      </c>
      <c r="H37" t="str">
        <f>IFERROR(IF(ISNUMBER('Spending by Category'!I43),TEXT('Spending by Category'!I43,"0.00"), ""), "")</f>
        <v>1.32</v>
      </c>
      <c r="I37" t="str">
        <f>IFERROR(IF(ISNUMBER('Spending by Category'!J43),TEXT('Spending by Category'!J43,"0.00"), ""), "")</f>
        <v>11.91</v>
      </c>
      <c r="J37">
        <f>IFERROR(IF(ISNUMBER('Spending by Category'!B43),'Spending by Category'!N43, ""), "")</f>
        <v>0</v>
      </c>
    </row>
    <row r="38" spans="1:10">
      <c r="A38" t="str">
        <f>TEXT(IF('Spending by Category'!B44&lt;&gt;0,'Spending by Category'!B44, ""), "mm/dd/yyyy")</f>
        <v>01/01/2011</v>
      </c>
      <c r="B38" t="str">
        <f>IFERROR(IF(ISNUMBER('Spending by Category'!C44),TEXT('Spending by Category'!C44,"0.00"), ""), "")</f>
        <v/>
      </c>
      <c r="C38" t="str">
        <f>IFERROR(IF(ISNUMBER('Spending by Category'!D44),TEXT('Spending by Category'!D44,"0.00"), ""), "")</f>
        <v/>
      </c>
      <c r="D38" t="str">
        <f>IFERROR(IF(ISNUMBER('Spending by Category'!E44),TEXT('Spending by Category'!E44,"0.00"), ""), "")</f>
        <v/>
      </c>
      <c r="E38" t="str">
        <f>IFERROR(IF(ISNUMBER('Spending by Category'!F44),TEXT('Spending by Category'!F44,"0.00"), ""), "")</f>
        <v/>
      </c>
      <c r="F38" t="str">
        <f>IFERROR(IF(ISNUMBER('Spending by Category'!G44),TEXT('Spending by Category'!G44,"0.00"), ""), "")</f>
        <v>5.42</v>
      </c>
      <c r="G38" t="str">
        <f>IFERROR(IF(ISNUMBER('Spending by Category'!H44),TEXT('Spending by Category'!H44,"0.00"), ""), "")</f>
        <v>4.71</v>
      </c>
      <c r="H38" t="str">
        <f>IFERROR(IF(ISNUMBER('Spending by Category'!I44),TEXT('Spending by Category'!I44,"0.00"), ""), "")</f>
        <v>1.49</v>
      </c>
      <c r="I38" t="str">
        <f>IFERROR(IF(ISNUMBER('Spending by Category'!J44),TEXT('Spending by Category'!J44,"0.00"), ""), "")</f>
        <v>11.77</v>
      </c>
      <c r="J38">
        <f>IFERROR(IF(ISNUMBER('Spending by Category'!B44),'Spending by Category'!N44, ""), "")</f>
        <v>0</v>
      </c>
    </row>
    <row r="39" spans="1:10">
      <c r="A39" t="str">
        <f>TEXT(IF('Spending by Category'!B45&lt;&gt;0,'Spending by Category'!B45, ""), "mm/dd/yyyy")</f>
        <v>01/01/2012</v>
      </c>
      <c r="B39" t="str">
        <f>IFERROR(IF(ISNUMBER('Spending by Category'!C45),TEXT('Spending by Category'!C45,"0.00"), ""), "")</f>
        <v/>
      </c>
      <c r="C39" t="str">
        <f>IFERROR(IF(ISNUMBER('Spending by Category'!D45),TEXT('Spending by Category'!D45,"0.00"), ""), "")</f>
        <v/>
      </c>
      <c r="D39" t="str">
        <f>IFERROR(IF(ISNUMBER('Spending by Category'!E45),TEXT('Spending by Category'!E45,"0.00"), ""), "")</f>
        <v/>
      </c>
      <c r="E39" t="str">
        <f>IFERROR(IF(ISNUMBER('Spending by Category'!F45),TEXT('Spending by Category'!F45,"0.00"), ""), "")</f>
        <v/>
      </c>
      <c r="F39" t="str">
        <f>IFERROR(IF(ISNUMBER('Spending by Category'!G45),TEXT('Spending by Category'!G45,"0.00"), ""), "")</f>
        <v>4.99</v>
      </c>
      <c r="G39" t="str">
        <f>IFERROR(IF(ISNUMBER('Spending by Category'!H45),TEXT('Spending by Category'!H45,"0.00"), ""), "")</f>
        <v>4.78</v>
      </c>
      <c r="H39" t="str">
        <f>IFERROR(IF(ISNUMBER('Spending by Category'!I45),TEXT('Spending by Category'!I45,"0.00"), ""), "")</f>
        <v>1.37</v>
      </c>
      <c r="I39" t="str">
        <f>IFERROR(IF(ISNUMBER('Spending by Category'!J45),TEXT('Spending by Category'!J45,"0.00"), ""), "")</f>
        <v>10.88</v>
      </c>
      <c r="J39">
        <f>IFERROR(IF(ISNUMBER('Spending by Category'!B45),'Spending by Category'!N45, ""), "")</f>
        <v>0</v>
      </c>
    </row>
    <row r="40" spans="1:10">
      <c r="A40" t="str">
        <f>TEXT(IF('Spending by Category'!B46&lt;&gt;0,'Spending by Category'!B46, ""), "mm/dd/yyyy")</f>
        <v>01/01/2013</v>
      </c>
      <c r="B40" t="str">
        <f>IFERROR(IF(ISNUMBER('Spending by Category'!C46),TEXT('Spending by Category'!C46,"0.00"), ""), "")</f>
        <v/>
      </c>
      <c r="C40" t="str">
        <f>IFERROR(IF(ISNUMBER('Spending by Category'!D46),TEXT('Spending by Category'!D46,"0.00"), ""), "")</f>
        <v/>
      </c>
      <c r="D40" t="str">
        <f>IFERROR(IF(ISNUMBER('Spending by Category'!E46),TEXT('Spending by Category'!E46,"0.00"), ""), "")</f>
        <v/>
      </c>
      <c r="E40" t="str">
        <f>IFERROR(IF(ISNUMBER('Spending by Category'!F46),TEXT('Spending by Category'!F46,"0.00"), ""), "")</f>
        <v/>
      </c>
      <c r="F40" t="str">
        <f>IFERROR(IF(ISNUMBER('Spending by Category'!G46),TEXT('Spending by Category'!G46,"0.00"), ""), "")</f>
        <v>5.12</v>
      </c>
      <c r="G40" t="str">
        <f>IFERROR(IF(ISNUMBER('Spending by Category'!H46),TEXT('Spending by Category'!H46,"0.00"), ""), "")</f>
        <v>4.87</v>
      </c>
      <c r="H40" t="str">
        <f>IFERROR(IF(ISNUMBER('Spending by Category'!I46),TEXT('Spending by Category'!I46,"0.00"), ""), "")</f>
        <v>1.33</v>
      </c>
      <c r="I40" t="str">
        <f>IFERROR(IF(ISNUMBER('Spending by Category'!J46),TEXT('Spending by Category'!J46,"0.00"), ""), "")</f>
        <v>9.49</v>
      </c>
      <c r="J40">
        <f>IFERROR(IF(ISNUMBER('Spending by Category'!B46),'Spending by Category'!N46, ""), "")</f>
        <v>0</v>
      </c>
    </row>
    <row r="41" spans="1:10">
      <c r="A41" t="str">
        <f>TEXT(IF('Spending by Category'!B47&lt;&gt;0,'Spending by Category'!B47, ""), "mm/dd/yyyy")</f>
        <v>01/01/2014</v>
      </c>
      <c r="F41" t="str">
        <f>IFERROR(IF(ISNUMBER('Spending by Category'!G47),TEXT('Spending by Category'!G47,"0.00"), ""), "")</f>
        <v>5.20</v>
      </c>
      <c r="G41" t="str">
        <f>IFERROR(IF(ISNUMBER('Spending by Category'!H47),TEXT('Spending by Category'!H47,"0.00"), ""), "")</f>
        <v>4.87</v>
      </c>
      <c r="H41" t="str">
        <f>IFERROR(IF(ISNUMBER('Spending by Category'!I47),TEXT('Spending by Category'!I47,"0.00"), ""), "")</f>
        <v>1.32</v>
      </c>
      <c r="I41" t="str">
        <f>IFERROR(IF(ISNUMBER('Spending by Category'!J47),TEXT('Spending by Category'!J47,"0.00"), ""), "")</f>
        <v>8.83</v>
      </c>
      <c r="J41">
        <f>IFERROR(IF(ISNUMBER('Spending by Category'!B47),'Spending by Category'!N47, ""), "")</f>
        <v>0</v>
      </c>
    </row>
    <row r="42" spans="1:10">
      <c r="A42" t="str">
        <f>TEXT(IF('Spending by Category'!B48&lt;&gt;0,'Spending by Category'!B48, ""), "mm/dd/yyyy")</f>
        <v>01/01/2015</v>
      </c>
      <c r="B42" t="str">
        <f>IFERROR(IF(ISNUMBER('Spending by Category'!C48),TEXT('Spending by Category'!C48,"0.00"), ""), "")</f>
        <v/>
      </c>
      <c r="C42" t="str">
        <f>IFERROR(IF(ISNUMBER('Spending by Category'!D48),TEXT('Spending by Category'!D48,"0.00"), ""), "")</f>
        <v/>
      </c>
      <c r="D42" t="str">
        <f>IFERROR(IF(ISNUMBER('Spending by Category'!E48),TEXT('Spending by Category'!E48,"0.00"), ""), "")</f>
        <v/>
      </c>
      <c r="E42" t="str">
        <f>IFERROR(IF(ISNUMBER('Spending by Category'!F48),TEXT('Spending by Category'!F48,"0.00"), ""), "")</f>
        <v/>
      </c>
      <c r="F42" t="str">
        <f>IFERROR(IF(ISNUMBER('Spending by Category'!G48),TEXT('Spending by Category'!G48,"0.00"), ""), "")</f>
        <v>5.44</v>
      </c>
      <c r="G42" t="str">
        <f>IFERROR(IF(ISNUMBER('Spending by Category'!H48),TEXT('Spending by Category'!H48,"0.00"), ""), "")</f>
        <v>4.88</v>
      </c>
      <c r="H42" t="str">
        <f>IFERROR(IF(ISNUMBER('Spending by Category'!I48),TEXT('Spending by Category'!I48,"0.00"), ""), "")</f>
        <v>1.23</v>
      </c>
      <c r="I42" t="str">
        <f>IFERROR(IF(ISNUMBER('Spending by Category'!J48),TEXT('Spending by Category'!J48,"0.00"), ""), "")</f>
        <v>8.84</v>
      </c>
      <c r="J42">
        <f>IFERROR(IF(ISNUMBER('Spending by Category'!B48),'Spending by Category'!N48, ""), "")</f>
        <v>0</v>
      </c>
    </row>
    <row r="43" spans="1:10">
      <c r="A43" t="str">
        <f>TEXT(IF('Spending by Category'!B49&lt;&gt;0,'Spending by Category'!B49, ""), "mm/dd/yyyy")</f>
        <v>01/01/2016</v>
      </c>
      <c r="B43" t="str">
        <f>IFERROR(IF(ISNUMBER('Spending by Category'!C49),TEXT('Spending by Category'!C49,"0.00"), ""), "")</f>
        <v/>
      </c>
      <c r="C43" t="str">
        <f>IFERROR(IF(ISNUMBER('Spending by Category'!D49),TEXT('Spending by Category'!D49,"0.00"), ""), "")</f>
        <v/>
      </c>
      <c r="D43" t="str">
        <f>IFERROR(IF(ISNUMBER('Spending by Category'!E49),TEXT('Spending by Category'!E49,"0.00"), ""), "")</f>
        <v/>
      </c>
      <c r="E43" t="str">
        <f>IFERROR(IF(ISNUMBER('Spending by Category'!F49),TEXT('Spending by Category'!F49,"0.00"), ""), "")</f>
        <v/>
      </c>
      <c r="F43" t="str">
        <f>IFERROR(IF(ISNUMBER('Spending by Category'!G49),TEXT('Spending by Category'!G49,"0.00"), ""), "")</f>
        <v>5.72</v>
      </c>
      <c r="G43" t="str">
        <f>IFERROR(IF(ISNUMBER('Spending by Category'!H49),TEXT('Spending by Category'!H49,"0.00"), ""), "")</f>
        <v>4.91</v>
      </c>
      <c r="H43" t="str">
        <f>IFERROR(IF(ISNUMBER('Spending by Category'!I49),TEXT('Spending by Category'!I49,"0.00"), ""), "")</f>
        <v>1.29</v>
      </c>
      <c r="I43" t="str">
        <f>IFERROR(IF(ISNUMBER('Spending by Category'!J49),TEXT('Spending by Category'!J49,"0.00"), ""), "")</f>
        <v>8.85</v>
      </c>
      <c r="J43">
        <f>IFERROR(IF(ISNUMBER('Spending by Category'!B49),'Spending by Category'!N49, ""), "")</f>
        <v>0</v>
      </c>
    </row>
    <row r="44" spans="1:10">
      <c r="A44" t="str">
        <f>TEXT(IF('Spending by Category'!B50&lt;&gt;0,'Spending by Category'!B50, ""), "mm/dd/yyyy")</f>
        <v>01/01/2017</v>
      </c>
      <c r="B44" t="str">
        <f>IFERROR(IF(ISNUMBER('Spending by Category'!C50),TEXT('Spending by Category'!C50,"0.00"), ""), "")</f>
        <v>5.50</v>
      </c>
      <c r="C44" t="str">
        <f>IFERROR(IF(ISNUMBER('Spending by Category'!D50),TEXT('Spending by Category'!D50,"0.00"), ""), "")</f>
        <v>4.90</v>
      </c>
      <c r="D44" t="str">
        <f>IFERROR(IF(ISNUMBER('Spending by Category'!E50),TEXT('Spending by Category'!E50,"0.00"), ""), "")</f>
        <v>1.40</v>
      </c>
      <c r="E44" t="str">
        <f>IFERROR(IF(ISNUMBER('Spending by Category'!F50),TEXT('Spending by Category'!F50,"0.00"), ""), "")</f>
        <v>8.90</v>
      </c>
      <c r="F44" t="str">
        <f>IFERROR(IF(ISNUMBER('Spending by Category'!G50),TEXT('Spending by Category'!G50,"0.00"), ""), "")</f>
        <v>5.59</v>
      </c>
      <c r="G44" t="str">
        <f>IFERROR(IF(ISNUMBER('Spending by Category'!H50),TEXT('Spending by Category'!H50,"0.00"), ""), "")</f>
        <v>4.87</v>
      </c>
      <c r="H44" t="str">
        <f>IFERROR(IF(ISNUMBER('Spending by Category'!I50),TEXT('Spending by Category'!I50,"0.00"), ""), "")</f>
        <v>1.36</v>
      </c>
      <c r="I44" t="str">
        <f>IFERROR(IF(ISNUMBER('Spending by Category'!J50),TEXT('Spending by Category'!J50,"0.00"), ""), "")</f>
        <v>8.84</v>
      </c>
      <c r="J44">
        <f>IFERROR(IF(ISNUMBER('Spending by Category'!B50),'Spending by Category'!N50, ""), "")</f>
        <v>0</v>
      </c>
    </row>
    <row r="45" spans="1:10">
      <c r="A45" t="str">
        <f>TEXT(IF('Spending by Category'!B51&lt;&gt;0,'Spending by Category'!B51, ""), "mm/dd/yyyy")</f>
        <v>01/01/2018</v>
      </c>
      <c r="B45" t="str">
        <f>IFERROR(IF(ISNUMBER('Spending by Category'!C51),TEXT('Spending by Category'!C51,"0.00"), ""), "")</f>
        <v>5.20</v>
      </c>
      <c r="C45" t="str">
        <f>IFERROR(IF(ISNUMBER('Spending by Category'!D51),TEXT('Spending by Category'!D51,"0.00"), ""), "")</f>
        <v>4.90</v>
      </c>
      <c r="D45" t="str">
        <f>IFERROR(IF(ISNUMBER('Spending by Category'!E51),TEXT('Spending by Category'!E51,"0.00"), ""), "")</f>
        <v>1.60</v>
      </c>
      <c r="E45" t="str">
        <f>IFERROR(IF(ISNUMBER('Spending by Category'!F51),TEXT('Spending by Category'!F51,"0.00"), ""), "")</f>
        <v>8.90</v>
      </c>
      <c r="F45" t="str">
        <f>IFERROR(IF(ISNUMBER('Spending by Category'!G51),TEXT('Spending by Category'!G51,"0.00"), ""), "")</f>
        <v>5.40</v>
      </c>
      <c r="G45" t="str">
        <f>IFERROR(IF(ISNUMBER('Spending by Category'!H51),TEXT('Spending by Category'!H51,"0.00"), ""), "")</f>
        <v>4.85</v>
      </c>
      <c r="H45" t="str">
        <f>IFERROR(IF(ISNUMBER('Spending by Category'!I51),TEXT('Spending by Category'!I51,"0.00"), ""), "")</f>
        <v>1.61</v>
      </c>
      <c r="I45" t="str">
        <f>IFERROR(IF(ISNUMBER('Spending by Category'!J51),TEXT('Spending by Category'!J51,"0.00"), ""), "")</f>
        <v>8.44</v>
      </c>
      <c r="J45">
        <f>IFERROR(IF(ISNUMBER('Spending by Category'!B51),'Spending by Category'!N51, ""), "")</f>
        <v>0</v>
      </c>
    </row>
    <row r="46" spans="1:10">
      <c r="A46" t="str">
        <f>TEXT(IF('Spending by Category'!B52&lt;&gt;0,'Spending by Category'!B52, ""), "mm/dd/yyyy")</f>
        <v>01/01/2019</v>
      </c>
      <c r="B46" t="str">
        <f>IFERROR(IF(ISNUMBER('Spending by Category'!C52),TEXT('Spending by Category'!C52,"0.00"), ""), "")</f>
        <v>5.20</v>
      </c>
      <c r="C46" t="str">
        <f>IFERROR(IF(ISNUMBER('Spending by Category'!D52),TEXT('Spending by Category'!D52,"0.00"), ""), "")</f>
        <v>4.90</v>
      </c>
      <c r="D46" t="str">
        <f>IFERROR(IF(ISNUMBER('Spending by Category'!E52),TEXT('Spending by Category'!E52,"0.00"), ""), "")</f>
        <v>1.80</v>
      </c>
      <c r="E46" t="str">
        <f>IFERROR(IF(ISNUMBER('Spending by Category'!F52),TEXT('Spending by Category'!F52,"0.00"), ""), "")</f>
        <v>9.10</v>
      </c>
      <c r="F46" t="str">
        <f>IFERROR(IF(ISNUMBER('Spending by Category'!G52),TEXT('Spending by Category'!G52,"0.00"), ""), "")</f>
        <v/>
      </c>
      <c r="G46" t="str">
        <f>IFERROR(IF(ISNUMBER('Spending by Category'!H52),TEXT('Spending by Category'!H52,"0.00"), ""), "")</f>
        <v/>
      </c>
      <c r="H46" t="str">
        <f>IFERROR(IF(ISNUMBER('Spending by Category'!I52),TEXT('Spending by Category'!I52,"0.00"), ""), "")</f>
        <v/>
      </c>
      <c r="I46" t="str">
        <f>IFERROR(IF(ISNUMBER('Spending by Category'!J52),TEXT('Spending by Category'!J52,"0.00"), ""), "")</f>
        <v/>
      </c>
      <c r="J46">
        <f>IFERROR(IF(ISNUMBER('Spending by Category'!B52),'Spending by Category'!N52, ""), "")</f>
        <v>0</v>
      </c>
    </row>
    <row r="47" spans="1:10">
      <c r="A47" t="str">
        <f>TEXT(IF('Spending by Category'!B53&lt;&gt;0,'Spending by Category'!B53, ""), "mm/dd/yyyy")</f>
        <v>01/01/2020</v>
      </c>
      <c r="B47" t="str">
        <f>IFERROR(IF(ISNUMBER('Spending by Category'!C53),TEXT('Spending by Category'!C53,"0.00"), ""), "")</f>
        <v>5.30</v>
      </c>
      <c r="C47" t="str">
        <f>IFERROR(IF(ISNUMBER('Spending by Category'!D53),TEXT('Spending by Category'!D53,"0.00"), ""), "")</f>
        <v>5.00</v>
      </c>
      <c r="D47" t="str">
        <f>IFERROR(IF(ISNUMBER('Spending by Category'!E53),TEXT('Spending by Category'!E53,"0.00"), ""), "")</f>
        <v>2.20</v>
      </c>
      <c r="E47" t="str">
        <f>IFERROR(IF(ISNUMBER('Spending by Category'!F53),TEXT('Spending by Category'!F53,"0.00"), ""), "")</f>
        <v>8.70</v>
      </c>
      <c r="F47" t="str">
        <f>IFERROR(IF(ISNUMBER('Spending by Category'!G53),TEXT('Spending by Category'!G53,"0.00"), ""), "")</f>
        <v/>
      </c>
      <c r="G47" t="str">
        <f>IFERROR(IF(ISNUMBER('Spending by Category'!H53),TEXT('Spending by Category'!H53,"0.00"), ""), "")</f>
        <v/>
      </c>
      <c r="H47" t="str">
        <f>IFERROR(IF(ISNUMBER('Spending by Category'!I53),TEXT('Spending by Category'!I53,"0.00"), ""), "")</f>
        <v/>
      </c>
      <c r="I47" t="str">
        <f>IFERROR(IF(ISNUMBER('Spending by Category'!J53),TEXT('Spending by Category'!J53,"0.00"), ""), "")</f>
        <v/>
      </c>
      <c r="J47">
        <f>IFERROR(IF(ISNUMBER('Spending by Category'!B53),'Spending by Category'!N53, ""), "")</f>
        <v>0</v>
      </c>
    </row>
    <row r="48" spans="1:10">
      <c r="A48" t="str">
        <f>TEXT(IF('Spending by Category'!B54&lt;&gt;0,'Spending by Category'!B54, ""), "mm/dd/yyyy")</f>
        <v>01/01/2021</v>
      </c>
      <c r="B48" t="str">
        <f>IFERROR(IF(ISNUMBER('Spending by Category'!C54),TEXT('Spending by Category'!C54,"0.00"), ""), "")</f>
        <v>5.50</v>
      </c>
      <c r="C48" t="str">
        <f>IFERROR(IF(ISNUMBER('Spending by Category'!D54),TEXT('Spending by Category'!D54,"0.00"), ""), "")</f>
        <v>5.20</v>
      </c>
      <c r="D48" t="str">
        <f>IFERROR(IF(ISNUMBER('Spending by Category'!E54),TEXT('Spending by Category'!E54,"0.00"), ""), "")</f>
        <v>2.50</v>
      </c>
      <c r="E48" t="str">
        <f>IFERROR(IF(ISNUMBER('Spending by Category'!F54),TEXT('Spending by Category'!F54,"0.00"), ""), "")</f>
        <v>8.50</v>
      </c>
      <c r="F48" t="str">
        <f>IFERROR(IF(ISNUMBER('Spending by Category'!G54),TEXT('Spending by Category'!G54,"0.00"), ""), "")</f>
        <v/>
      </c>
      <c r="G48" t="str">
        <f>IFERROR(IF(ISNUMBER('Spending by Category'!H54),TEXT('Spending by Category'!H54,"0.00"), ""), "")</f>
        <v/>
      </c>
      <c r="H48" t="str">
        <f>IFERROR(IF(ISNUMBER('Spending by Category'!I54),TEXT('Spending by Category'!I54,"0.00"), ""), "")</f>
        <v/>
      </c>
      <c r="I48" t="str">
        <f>IFERROR(IF(ISNUMBER('Spending by Category'!J54),TEXT('Spending by Category'!J54,"0.00"), ""), "")</f>
        <v/>
      </c>
      <c r="J48">
        <f>IFERROR(IF(ISNUMBER('Spending by Category'!B54),'Spending by Category'!N54, ""), "")</f>
        <v>0</v>
      </c>
    </row>
    <row r="49" spans="1:10">
      <c r="A49" t="str">
        <f>TEXT(IF('Spending by Category'!B55&lt;&gt;0,'Spending by Category'!B55, ""), "mm/dd/yyyy")</f>
        <v>01/01/2022</v>
      </c>
      <c r="B49" t="str">
        <f>IFERROR(IF(ISNUMBER('Spending by Category'!C55),TEXT('Spending by Category'!C55,"0.00"), ""), "")</f>
        <v>5.80</v>
      </c>
      <c r="C49" t="str">
        <f>IFERROR(IF(ISNUMBER('Spending by Category'!D55),TEXT('Spending by Category'!D55,"0.00"), ""), "")</f>
        <v>5.30</v>
      </c>
      <c r="D49" t="str">
        <f>IFERROR(IF(ISNUMBER('Spending by Category'!E55),TEXT('Spending by Category'!E55,"0.00"), ""), "")</f>
        <v>2.70</v>
      </c>
      <c r="E49" t="str">
        <f>IFERROR(IF(ISNUMBER('Spending by Category'!F55),TEXT('Spending by Category'!F55,"0.00"), ""), "")</f>
        <v>8.50</v>
      </c>
      <c r="F49" t="str">
        <f>IFERROR(IF(ISNUMBER('Spending by Category'!G55),TEXT('Spending by Category'!G55,"0.00"), ""), "")</f>
        <v/>
      </c>
      <c r="G49" t="str">
        <f>IFERROR(IF(ISNUMBER('Spending by Category'!H55),TEXT('Spending by Category'!H55,"0.00"), ""), "")</f>
        <v/>
      </c>
      <c r="H49" t="str">
        <f>IFERROR(IF(ISNUMBER('Spending by Category'!I55),TEXT('Spending by Category'!I55,"0.00"), ""), "")</f>
        <v/>
      </c>
      <c r="I49" t="str">
        <f>IFERROR(IF(ISNUMBER('Spending by Category'!J55),TEXT('Spending by Category'!J55,"0.00"), ""), "")</f>
        <v/>
      </c>
      <c r="J49">
        <f>IFERROR(IF(ISNUMBER('Spending by Category'!B55),'Spending by Category'!N55, ""), "")</f>
        <v>0</v>
      </c>
    </row>
    <row r="50" spans="1:10">
      <c r="A50" t="str">
        <f>TEXT(IF('Spending by Category'!B56&lt;&gt;0,'Spending by Category'!B56, ""), "mm/dd/yyyy")</f>
        <v>01/01/2023</v>
      </c>
      <c r="B50" t="str">
        <f>IFERROR(IF(ISNUMBER('Spending by Category'!C56),TEXT('Spending by Category'!C56,"0.00"), ""), "")</f>
        <v>5.90</v>
      </c>
      <c r="C50" t="str">
        <f>IFERROR(IF(ISNUMBER('Spending by Category'!D56),TEXT('Spending by Category'!D56,"0.00"), ""), "")</f>
        <v>5.40</v>
      </c>
      <c r="D50" t="str">
        <f>IFERROR(IF(ISNUMBER('Spending by Category'!E56),TEXT('Spending by Category'!E56,"0.00"), ""), "")</f>
        <v>2.80</v>
      </c>
      <c r="E50" t="str">
        <f>IFERROR(IF(ISNUMBER('Spending by Category'!F56),TEXT('Spending by Category'!F56,"0.00"), ""), "")</f>
        <v>8.30</v>
      </c>
      <c r="F50" t="str">
        <f>IFERROR(IF(ISNUMBER('Spending by Category'!G56),TEXT('Spending by Category'!G56,"0.00"), ""), "")</f>
        <v/>
      </c>
      <c r="G50" t="str">
        <f>IFERROR(IF(ISNUMBER('Spending by Category'!H56),TEXT('Spending by Category'!H56,"0.00"), ""), "")</f>
        <v/>
      </c>
      <c r="H50" t="str">
        <f>IFERROR(IF(ISNUMBER('Spending by Category'!I56),TEXT('Spending by Category'!I56,"0.00"), ""), "")</f>
        <v/>
      </c>
      <c r="I50" t="str">
        <f>IFERROR(IF(ISNUMBER('Spending by Category'!J56),TEXT('Spending by Category'!J56,"0.00"), ""), "")</f>
        <v/>
      </c>
      <c r="J50">
        <f>IFERROR(IF(ISNUMBER('Spending by Category'!B56),'Spending by Category'!N56, ""), "")</f>
        <v>0</v>
      </c>
    </row>
    <row r="51" spans="1:10">
      <c r="A51" t="str">
        <f>TEXT(IF('Spending by Category'!B57&lt;&gt;0,'Spending by Category'!B57, ""), "mm/dd/yyyy")</f>
        <v>01/01/2024</v>
      </c>
      <c r="B51" t="str">
        <f>IFERROR(IF(ISNUMBER('Spending by Category'!C57),TEXT('Spending by Category'!C57,"0.00"), ""), "")</f>
        <v>5.80</v>
      </c>
      <c r="C51" t="str">
        <f>IFERROR(IF(ISNUMBER('Spending by Category'!D57),TEXT('Spending by Category'!D57,"0.00"), ""), "")</f>
        <v>5.50</v>
      </c>
      <c r="D51" t="str">
        <f>IFERROR(IF(ISNUMBER('Spending by Category'!E57),TEXT('Spending by Category'!E57,"0.00"), ""), "")</f>
        <v>2.90</v>
      </c>
      <c r="E51" t="str">
        <f>IFERROR(IF(ISNUMBER('Spending by Category'!F57),TEXT('Spending by Category'!F57,"0.00"), ""), "")</f>
        <v>8.00</v>
      </c>
      <c r="F51" t="str">
        <f>IFERROR(IF(ISNUMBER('Spending by Category'!G57),TEXT('Spending by Category'!G57,"0.00"), ""), "")</f>
        <v/>
      </c>
      <c r="G51" t="str">
        <f>IFERROR(IF(ISNUMBER('Spending by Category'!H57),TEXT('Spending by Category'!H57,"0.00"), ""), "")</f>
        <v/>
      </c>
      <c r="H51" t="str">
        <f>IFERROR(IF(ISNUMBER('Spending by Category'!I57),TEXT('Spending by Category'!I57,"0.00"), ""), "")</f>
        <v/>
      </c>
      <c r="I51" t="str">
        <f>IFERROR(IF(ISNUMBER('Spending by Category'!J57),TEXT('Spending by Category'!J57,"0.00"), ""), "")</f>
        <v/>
      </c>
      <c r="J51">
        <f>IFERROR(IF(ISNUMBER('Spending by Category'!B57),'Spending by Category'!N57, ""), "")</f>
        <v>0</v>
      </c>
    </row>
    <row r="52" spans="1:10">
      <c r="A52" t="str">
        <f>TEXT(IF('Spending by Category'!B58&lt;&gt;0,'Spending by Category'!B58, ""), "mm/dd/yyyy")</f>
        <v>01/01/2025</v>
      </c>
      <c r="B52" t="str">
        <f>IFERROR(IF(ISNUMBER('Spending by Category'!C58),TEXT('Spending by Category'!C58,"0.00"), ""), "")</f>
        <v>6.10</v>
      </c>
      <c r="C52" t="str">
        <f>IFERROR(IF(ISNUMBER('Spending by Category'!D58),TEXT('Spending by Category'!D58,"0.00"), ""), "")</f>
        <v>5.60</v>
      </c>
      <c r="D52" t="str">
        <f>IFERROR(IF(ISNUMBER('Spending by Category'!E58),TEXT('Spending by Category'!E58,"0.00"), ""), "")</f>
        <v>2.90</v>
      </c>
      <c r="E52" t="str">
        <f>IFERROR(IF(ISNUMBER('Spending by Category'!F58),TEXT('Spending by Category'!F58,"0.00"), ""), "")</f>
        <v>8.00</v>
      </c>
      <c r="F52" t="str">
        <f>IFERROR(IF(ISNUMBER('Spending by Category'!G58),TEXT('Spending by Category'!G58,"0.00"), ""), "")</f>
        <v/>
      </c>
      <c r="G52" t="str">
        <f>IFERROR(IF(ISNUMBER('Spending by Category'!H58),TEXT('Spending by Category'!H58,"0.00"), ""), "")</f>
        <v/>
      </c>
      <c r="H52" t="str">
        <f>IFERROR(IF(ISNUMBER('Spending by Category'!I58),TEXT('Spending by Category'!I58,"0.00"), ""), "")</f>
        <v/>
      </c>
      <c r="I52" t="str">
        <f>IFERROR(IF(ISNUMBER('Spending by Category'!J58),TEXT('Spending by Category'!J58,"0.00"), ""), "")</f>
        <v/>
      </c>
      <c r="J52">
        <f>IFERROR(IF(ISNUMBER('Spending by Category'!B58),'Spending by Category'!N58, ""), "")</f>
        <v>0</v>
      </c>
    </row>
    <row r="53" spans="1:10">
      <c r="A53" t="str">
        <f>TEXT(IF('Spending by Category'!B59&lt;&gt;0,'Spending by Category'!B59, ""), "mm/dd/yyyy")</f>
        <v>01/01/2026</v>
      </c>
      <c r="B53" t="str">
        <f>IFERROR(IF(ISNUMBER('Spending by Category'!C59),TEXT('Spending by Category'!C59,"0.00"), ""), "")</f>
        <v>6.30</v>
      </c>
      <c r="C53" t="str">
        <f>IFERROR(IF(ISNUMBER('Spending by Category'!D59),TEXT('Spending by Category'!D59,"0.00"), ""), "")</f>
        <v>5.70</v>
      </c>
      <c r="D53" t="str">
        <f>IFERROR(IF(ISNUMBER('Spending by Category'!E59),TEXT('Spending by Category'!E59,"0.00"), ""), "")</f>
        <v>3.00</v>
      </c>
      <c r="E53" t="str">
        <f>IFERROR(IF(ISNUMBER('Spending by Category'!F59),TEXT('Spending by Category'!F59,"0.00"), ""), "")</f>
        <v>8.00</v>
      </c>
      <c r="F53" t="str">
        <f>IFERROR(IF(ISNUMBER('Spending by Category'!G59),TEXT('Spending by Category'!G59,"0.00"), ""), "")</f>
        <v/>
      </c>
      <c r="G53" t="str">
        <f>IFERROR(IF(ISNUMBER('Spending by Category'!H59),TEXT('Spending by Category'!H59,"0.00"), ""), "")</f>
        <v/>
      </c>
      <c r="H53" t="str">
        <f>IFERROR(IF(ISNUMBER('Spending by Category'!I59),TEXT('Spending by Category'!I59,"0.00"), ""), "")</f>
        <v/>
      </c>
      <c r="I53" t="str">
        <f>IFERROR(IF(ISNUMBER('Spending by Category'!J59),TEXT('Spending by Category'!J59,"0.00"), ""), "")</f>
        <v/>
      </c>
      <c r="J53">
        <f>IFERROR(IF(ISNUMBER('Spending by Category'!B59),'Spending by Category'!N59, ""), "")</f>
        <v>0</v>
      </c>
    </row>
    <row r="54" spans="1:10">
      <c r="A54" t="str">
        <f>TEXT(IF('Spending by Category'!B60&lt;&gt;0,'Spending by Category'!B60, ""), "mm/dd/yyyy")</f>
        <v>01/01/2027</v>
      </c>
      <c r="B54" t="str">
        <f>IFERROR(IF(ISNUMBER('Spending by Category'!C60),TEXT('Spending by Category'!C60,"0.00"), ""), "")</f>
        <v>6.40</v>
      </c>
      <c r="C54" t="str">
        <f>IFERROR(IF(ISNUMBER('Spending by Category'!D60),TEXT('Spending by Category'!D60,"0.00"), ""), "")</f>
        <v>5.80</v>
      </c>
      <c r="D54" t="str">
        <f>IFERROR(IF(ISNUMBER('Spending by Category'!E60),TEXT('Spending by Category'!E60,"0.00"), ""), "")</f>
        <v>3.00</v>
      </c>
      <c r="E54" t="str">
        <f>IFERROR(IF(ISNUMBER('Spending by Category'!F60),TEXT('Spending by Category'!F60,"0.00"), ""), "")</f>
        <v>7.80</v>
      </c>
      <c r="F54" t="str">
        <f>IFERROR(IF(ISNUMBER('Spending by Category'!G60),TEXT('Spending by Category'!G60,"0.00"), ""), "")</f>
        <v/>
      </c>
      <c r="G54" t="str">
        <f>IFERROR(IF(ISNUMBER('Spending by Category'!H60),TEXT('Spending by Category'!H60,"0.00"), ""), "")</f>
        <v/>
      </c>
      <c r="H54" t="str">
        <f>IFERROR(IF(ISNUMBER('Spending by Category'!I60),TEXT('Spending by Category'!I60,"0.00"), ""), "")</f>
        <v/>
      </c>
      <c r="I54" t="str">
        <f>IFERROR(IF(ISNUMBER('Spending by Category'!J60),TEXT('Spending by Category'!J60,"0.00"), ""), "")</f>
        <v/>
      </c>
      <c r="J54">
        <f>IFERROR(IF(ISNUMBER('Spending by Category'!B60),'Spending by Category'!N60, ""), "")</f>
        <v>0</v>
      </c>
    </row>
    <row r="55" spans="1:10">
      <c r="A55" t="str">
        <f>TEXT(IF('Spending by Category'!B61&lt;&gt;0,'Spending by Category'!B61, ""), "mm/dd/yyyy")</f>
        <v>01/01/2028</v>
      </c>
      <c r="B55" t="str">
        <f>IFERROR(IF(ISNUMBER('Spending by Category'!C61),TEXT('Spending by Category'!C61,"0.00"), ""), "")</f>
        <v>6.70</v>
      </c>
      <c r="C55" t="str">
        <f>IFERROR(IF(ISNUMBER('Spending by Category'!D61),TEXT('Spending by Category'!D61,"0.00"), ""), "")</f>
        <v>6.00</v>
      </c>
      <c r="D55" t="str">
        <f>IFERROR(IF(ISNUMBER('Spending by Category'!E61),TEXT('Spending by Category'!E61,"0.00"), ""), "")</f>
        <v>3.10</v>
      </c>
      <c r="E55" t="str">
        <f>IFERROR(IF(ISNUMBER('Spending by Category'!F61),TEXT('Spending by Category'!F61,"0.00"), ""), "")</f>
        <v>7.90</v>
      </c>
      <c r="F55" t="str">
        <f>IFERROR(IF(ISNUMBER('Spending by Category'!G61),TEXT('Spending by Category'!G61,"0.00"), ""), "")</f>
        <v/>
      </c>
      <c r="G55" t="str">
        <f>IFERROR(IF(ISNUMBER('Spending by Category'!H61),TEXT('Spending by Category'!H61,"0.00"), ""), "")</f>
        <v/>
      </c>
      <c r="H55" t="str">
        <f>IFERROR(IF(ISNUMBER('Spending by Category'!I61),TEXT('Spending by Category'!I61,"0.00"), ""), "")</f>
        <v/>
      </c>
      <c r="I55" t="str">
        <f>IFERROR(IF(ISNUMBER('Spending by Category'!J61),TEXT('Spending by Category'!J61,"0.00"), ""), "")</f>
        <v/>
      </c>
      <c r="J55">
        <f>IFERROR(IF(ISNUMBER('Spending by Category'!B61),'Spending by Category'!N61, ""), "")</f>
        <v>0</v>
      </c>
    </row>
    <row r="56" spans="1:10">
      <c r="A56" t="str">
        <f>TEXT(IF('Spending by Category'!B62&lt;&gt;0,'Spending by Category'!B62, ""), "mm/dd/yyyy")</f>
        <v>01/01/2029</v>
      </c>
      <c r="B56" t="str">
        <f>IFERROR(IF(ISNUMBER('Spending by Category'!C62),TEXT('Spending by Category'!C62,"0.00"), ""), "")</f>
        <v>6.70</v>
      </c>
      <c r="C56" t="str">
        <f>IFERROR(IF(ISNUMBER('Spending by Category'!D62),TEXT('Spending by Category'!D62,"0.00"), ""), "")</f>
        <v>6.00</v>
      </c>
      <c r="D56" t="str">
        <f>IFERROR(IF(ISNUMBER('Spending by Category'!E62),TEXT('Spending by Category'!E62,"0.00"), ""), "")</f>
        <v>3.10</v>
      </c>
      <c r="E56" t="str">
        <f>IFERROR(IF(ISNUMBER('Spending by Category'!F62),TEXT('Spending by Category'!F62,"0.00"), ""), "")</f>
        <v>7.70</v>
      </c>
      <c r="F56" t="str">
        <f>IFERROR(IF(ISNUMBER('Spending by Category'!G62),TEXT('Spending by Category'!G62,"0.00"), ""), "")</f>
        <v/>
      </c>
      <c r="G56" t="str">
        <f>IFERROR(IF(ISNUMBER('Spending by Category'!H62),TEXT('Spending by Category'!H62,"0.00"), ""), "")</f>
        <v/>
      </c>
      <c r="H56" t="str">
        <f>IFERROR(IF(ISNUMBER('Spending by Category'!I62),TEXT('Spending by Category'!I62,"0.00"), ""), "")</f>
        <v/>
      </c>
      <c r="I56" t="str">
        <f>IFERROR(IF(ISNUMBER('Spending by Category'!J62),TEXT('Spending by Category'!J62,"0.00"), ""), "")</f>
        <v/>
      </c>
      <c r="J56">
        <f>IFERROR(IF(ISNUMBER('Spending by Category'!B62),'Spending by Category'!N62, ""), "")</f>
        <v>0</v>
      </c>
    </row>
    <row r="57" spans="1:10">
      <c r="A57" t="str">
        <f>TEXT(IF('Spending by Category'!B63&lt;&gt;0,'Spending by Category'!B63, ""), "mm/dd/yyyy")</f>
        <v>01/01/2030</v>
      </c>
      <c r="B57" t="str">
        <f>IFERROR(IF(ISNUMBER('Spending by Category'!C63),TEXT('Spending by Category'!C63,"0.00"), ""), "")</f>
        <v>6.80</v>
      </c>
      <c r="C57" t="str">
        <f>IFERROR(IF(ISNUMBER('Spending by Category'!D63),TEXT('Spending by Category'!D63,"0.00"), ""), "")</f>
        <v>6.10</v>
      </c>
      <c r="D57" t="str">
        <f>IFERROR(IF(ISNUMBER('Spending by Category'!E63),TEXT('Spending by Category'!E63,"0.00"), ""), "")</f>
        <v>3.20</v>
      </c>
      <c r="E57" t="str">
        <f>IFERROR(IF(ISNUMBER('Spending by Category'!F63),TEXT('Spending by Category'!F63,"0.00"), ""), "")</f>
        <v>7.70</v>
      </c>
      <c r="F57" t="str">
        <f>IFERROR(IF(ISNUMBER('Spending by Category'!G63),TEXT('Spending by Category'!G63,"0.00"), ""), "")</f>
        <v/>
      </c>
      <c r="G57" t="str">
        <f>IFERROR(IF(ISNUMBER('Spending by Category'!H63),TEXT('Spending by Category'!H63,"0.00"), ""), "")</f>
        <v/>
      </c>
      <c r="H57" t="str">
        <f>IFERROR(IF(ISNUMBER('Spending by Category'!I63),TEXT('Spending by Category'!I63,"0.00"), ""), "")</f>
        <v/>
      </c>
      <c r="I57" t="str">
        <f>IFERROR(IF(ISNUMBER('Spending by Category'!J63),TEXT('Spending by Category'!J63,"0.00"), ""), "")</f>
        <v/>
      </c>
      <c r="J57">
        <f>IFERROR(IF(ISNUMBER('Spending by Category'!B63),'Spending by Category'!N63, ""), "")</f>
        <v>0</v>
      </c>
    </row>
    <row r="58" spans="1:10">
      <c r="A58" t="str">
        <f>TEXT(IF('Spending by Category'!B64&lt;&gt;0,'Spending by Category'!B64, ""), "mm/dd/yyyy")</f>
        <v>01/01/2031</v>
      </c>
      <c r="B58" t="str">
        <f>IFERROR(IF(ISNUMBER('Spending by Category'!C64),TEXT('Spending by Category'!C64,"0.00"), ""), "")</f>
        <v>7.10</v>
      </c>
      <c r="C58" t="str">
        <f>IFERROR(IF(ISNUMBER('Spending by Category'!D64),TEXT('Spending by Category'!D64,"0.00"), ""), "")</f>
        <v>6.10</v>
      </c>
      <c r="D58" t="str">
        <f>IFERROR(IF(ISNUMBER('Spending by Category'!E64),TEXT('Spending by Category'!E64,"0.00"), ""), "")</f>
        <v>3.30</v>
      </c>
      <c r="E58" t="str">
        <f>IFERROR(IF(ISNUMBER('Spending by Category'!F64),TEXT('Spending by Category'!F64,"0.00"), ""), "")</f>
        <v>7.70</v>
      </c>
      <c r="F58" t="str">
        <f>IFERROR(IF(ISNUMBER('Spending by Category'!G64),TEXT('Spending by Category'!G64,"0.00"), ""), "")</f>
        <v/>
      </c>
      <c r="G58" t="str">
        <f>IFERROR(IF(ISNUMBER('Spending by Category'!H64),TEXT('Spending by Category'!H64,"0.00"), ""), "")</f>
        <v/>
      </c>
      <c r="H58" t="str">
        <f>IFERROR(IF(ISNUMBER('Spending by Category'!I64),TEXT('Spending by Category'!I64,"0.00"), ""), "")</f>
        <v/>
      </c>
      <c r="I58" t="str">
        <f>IFERROR(IF(ISNUMBER('Spending by Category'!J64),TEXT('Spending by Category'!J64,"0.00"), ""), "")</f>
        <v/>
      </c>
      <c r="J58">
        <f>IFERROR(IF(ISNUMBER('Spending by Category'!B64),'Spending by Category'!N64, ""), "")</f>
        <v>0</v>
      </c>
    </row>
    <row r="59" spans="1:10">
      <c r="A59" t="str">
        <f>TEXT(IF('Spending by Category'!B65&lt;&gt;0,'Spending by Category'!B65, ""), "mm/dd/yyyy")</f>
        <v>01/01/2032</v>
      </c>
      <c r="B59" t="str">
        <f>IFERROR(IF(ISNUMBER('Spending by Category'!C65),TEXT('Spending by Category'!C65,"0.00"), ""), "")</f>
        <v>7.20</v>
      </c>
      <c r="C59" t="str">
        <f>IFERROR(IF(ISNUMBER('Spending by Category'!D65),TEXT('Spending by Category'!D65,"0.00"), ""), "")</f>
        <v>6.20</v>
      </c>
      <c r="D59" t="str">
        <f>IFERROR(IF(ISNUMBER('Spending by Category'!E65),TEXT('Spending by Category'!E65,"0.00"), ""), "")</f>
        <v>3.40</v>
      </c>
      <c r="E59" t="str">
        <f>IFERROR(IF(ISNUMBER('Spending by Category'!F65),TEXT('Spending by Category'!F65,"0.00"), ""), "")</f>
        <v>7.70</v>
      </c>
      <c r="F59" t="str">
        <f>IFERROR(IF(ISNUMBER('Spending by Category'!G65),TEXT('Spending by Category'!G65,"0.00"), ""), "")</f>
        <v/>
      </c>
      <c r="G59" t="str">
        <f>IFERROR(IF(ISNUMBER('Spending by Category'!H65),TEXT('Spending by Category'!H65,"0.00"), ""), "")</f>
        <v/>
      </c>
      <c r="H59" t="str">
        <f>IFERROR(IF(ISNUMBER('Spending by Category'!I65),TEXT('Spending by Category'!I65,"0.00"), ""), "")</f>
        <v/>
      </c>
      <c r="I59" t="str">
        <f>IFERROR(IF(ISNUMBER('Spending by Category'!J65),TEXT('Spending by Category'!J65,"0.00"), ""), "")</f>
        <v/>
      </c>
      <c r="J59">
        <f>IFERROR(IF(ISNUMBER('Spending by Category'!B65),'Spending by Category'!N65, ""), "")</f>
        <v>0</v>
      </c>
    </row>
    <row r="60" spans="1:10">
      <c r="A60" t="str">
        <f>TEXT(IF('Spending by Category'!B66&lt;&gt;0,'Spending by Category'!B66, ""), "mm/dd/yyyy")</f>
        <v>01/01/2033</v>
      </c>
      <c r="B60" t="str">
        <f>IFERROR(IF(ISNUMBER('Spending by Category'!C66),TEXT('Spending by Category'!C66,"0.00"), ""), "")</f>
        <v>7.30</v>
      </c>
      <c r="C60" t="str">
        <f>IFERROR(IF(ISNUMBER('Spending by Category'!D66),TEXT('Spending by Category'!D66,"0.00"), ""), "")</f>
        <v>6.20</v>
      </c>
      <c r="D60" t="str">
        <f>IFERROR(IF(ISNUMBER('Spending by Category'!E66),TEXT('Spending by Category'!E66,"0.00"), ""), "")</f>
        <v>3.60</v>
      </c>
      <c r="E60" t="str">
        <f>IFERROR(IF(ISNUMBER('Spending by Category'!F66),TEXT('Spending by Category'!F66,"0.00"), ""), "")</f>
        <v>7.70</v>
      </c>
      <c r="F60" t="str">
        <f>IFERROR(IF(ISNUMBER('Spending by Category'!G66),TEXT('Spending by Category'!G66,"0.00"), ""), "")</f>
        <v/>
      </c>
      <c r="G60" t="str">
        <f>IFERROR(IF(ISNUMBER('Spending by Category'!H66),TEXT('Spending by Category'!H66,"0.00"), ""), "")</f>
        <v/>
      </c>
      <c r="H60" t="str">
        <f>IFERROR(IF(ISNUMBER('Spending by Category'!I66),TEXT('Spending by Category'!I66,"0.00"), ""), "")</f>
        <v/>
      </c>
      <c r="I60" t="str">
        <f>IFERROR(IF(ISNUMBER('Spending by Category'!J66),TEXT('Spending by Category'!J66,"0.00"), ""), "")</f>
        <v/>
      </c>
      <c r="J60">
        <f>IFERROR(IF(ISNUMBER('Spending by Category'!B66),'Spending by Category'!N66, ""), "")</f>
        <v>0</v>
      </c>
    </row>
    <row r="61" spans="1:10">
      <c r="A61" t="str">
        <f>TEXT(IF('Spending by Category'!B67&lt;&gt;0,'Spending by Category'!B67, ""), "mm/dd/yyyy")</f>
        <v>01/01/2034</v>
      </c>
      <c r="B61" t="str">
        <f>IFERROR(IF(ISNUMBER('Spending by Category'!C67),TEXT('Spending by Category'!C67,"0.00"), ""), "")</f>
        <v>7.50</v>
      </c>
      <c r="C61" t="str">
        <f>IFERROR(IF(ISNUMBER('Spending by Category'!D67),TEXT('Spending by Category'!D67,"0.00"), ""), "")</f>
        <v>6.20</v>
      </c>
      <c r="D61" t="str">
        <f>IFERROR(IF(ISNUMBER('Spending by Category'!E67),TEXT('Spending by Category'!E67,"0.00"), ""), "")</f>
        <v>3.70</v>
      </c>
      <c r="E61" t="str">
        <f>IFERROR(IF(ISNUMBER('Spending by Category'!F67),TEXT('Spending by Category'!F67,"0.00"), ""), "")</f>
        <v>7.70</v>
      </c>
      <c r="F61" t="str">
        <f>IFERROR(IF(ISNUMBER('Spending by Category'!G67),TEXT('Spending by Category'!G67,"0.00"), ""), "")</f>
        <v/>
      </c>
      <c r="G61" t="str">
        <f>IFERROR(IF(ISNUMBER('Spending by Category'!H67),TEXT('Spending by Category'!H67,"0.00"), ""), "")</f>
        <v/>
      </c>
      <c r="H61" t="str">
        <f>IFERROR(IF(ISNUMBER('Spending by Category'!I67),TEXT('Spending by Category'!I67,"0.00"), ""), "")</f>
        <v/>
      </c>
      <c r="I61" t="str">
        <f>IFERROR(IF(ISNUMBER('Spending by Category'!J67),TEXT('Spending by Category'!J67,"0.00"), ""), "")</f>
        <v/>
      </c>
      <c r="J61">
        <f>IFERROR(IF(ISNUMBER('Spending by Category'!B67),'Spending by Category'!N67, ""), "")</f>
        <v>0</v>
      </c>
    </row>
    <row r="62" spans="1:10">
      <c r="A62" t="str">
        <f>TEXT(IF('Spending by Category'!B68&lt;&gt;0,'Spending by Category'!B68, ""), "mm/dd/yyyy")</f>
        <v>01/01/2035</v>
      </c>
      <c r="B62" t="str">
        <f>IFERROR(IF(ISNUMBER('Spending by Category'!C68),TEXT('Spending by Category'!C68,"0.00"), ""), "")</f>
        <v>7.60</v>
      </c>
      <c r="C62" t="str">
        <f>IFERROR(IF(ISNUMBER('Spending by Category'!D68),TEXT('Spending by Category'!D68,"0.00"), ""), "")</f>
        <v>6.30</v>
      </c>
      <c r="D62" t="str">
        <f>IFERROR(IF(ISNUMBER('Spending by Category'!E68),TEXT('Spending by Category'!E68,"0.00"), ""), "")</f>
        <v>3.80</v>
      </c>
      <c r="E62" t="str">
        <f>IFERROR(IF(ISNUMBER('Spending by Category'!F68),TEXT('Spending by Category'!F68,"0.00"), ""), "")</f>
        <v>7.70</v>
      </c>
      <c r="F62" t="str">
        <f>IFERROR(IF(ISNUMBER('Spending by Category'!G68),TEXT('Spending by Category'!G68,"0.00"), ""), "")</f>
        <v/>
      </c>
      <c r="G62" t="str">
        <f>IFERROR(IF(ISNUMBER('Spending by Category'!H68),TEXT('Spending by Category'!H68,"0.00"), ""), "")</f>
        <v/>
      </c>
      <c r="H62" t="str">
        <f>IFERROR(IF(ISNUMBER('Spending by Category'!I68),TEXT('Spending by Category'!I68,"0.00"), ""), "")</f>
        <v/>
      </c>
      <c r="I62" t="str">
        <f>IFERROR(IF(ISNUMBER('Spending by Category'!J68),TEXT('Spending by Category'!J68,"0.00"), ""), "")</f>
        <v/>
      </c>
      <c r="J62">
        <f>IFERROR(IF(ISNUMBER('Spending by Category'!B68),'Spending by Category'!N68, ""), "")</f>
        <v>0</v>
      </c>
    </row>
    <row r="63" spans="1:10">
      <c r="A63" t="str">
        <f>TEXT(IF('Spending by Category'!B69&lt;&gt;0,'Spending by Category'!B69, ""), "mm/dd/yyyy")</f>
        <v/>
      </c>
      <c r="B63" t="str">
        <f>IFERROR(IF(ISNUMBER('Spending by Category'!C69),TEXT('Spending by Category'!C69,"0.00"), ""), "")</f>
        <v/>
      </c>
      <c r="C63" t="str">
        <f>IFERROR(IF(ISNUMBER('Spending by Category'!D69),TEXT('Spending by Category'!D69,"0.00"), ""), "")</f>
        <v/>
      </c>
      <c r="D63" t="str">
        <f>IFERROR(IF(ISNUMBER('Spending by Category'!E69),TEXT('Spending by Category'!E69,"0.00"), ""), "")</f>
        <v/>
      </c>
      <c r="E63" t="str">
        <f>IFERROR(IF(ISNUMBER('Spending by Category'!F69),TEXT('Spending by Category'!F69,"0.00"), ""), "")</f>
        <v/>
      </c>
      <c r="F63" t="str">
        <f>IFERROR(IF(ISNUMBER('Spending by Category'!G69),TEXT('Spending by Category'!G69,"0.00"), ""), "")</f>
        <v/>
      </c>
      <c r="G63" t="str">
        <f>IFERROR(IF(ISNUMBER('Spending by Category'!H69),TEXT('Spending by Category'!H69,"0.00"), ""), "")</f>
        <v/>
      </c>
      <c r="H63" t="str">
        <f>IFERROR(IF(ISNUMBER('Spending by Category'!I69),TEXT('Spending by Category'!I69,"0.00"), ""), "")</f>
        <v/>
      </c>
      <c r="I63" t="str">
        <f>IFERROR(IF(ISNUMBER('Spending by Category'!J69),TEXT('Spending by Category'!J69,"0.00"), ""), "")</f>
        <v/>
      </c>
      <c r="J63" t="str">
        <f>IFERROR(IF(ISNUMBER('Spending by Category'!B69),'Spending by Category'!N69, ""), "")</f>
        <v/>
      </c>
    </row>
    <row r="64" spans="1:10">
      <c r="A64" t="str">
        <f>TEXT(IF('Spending by Category'!B70&lt;&gt;0,'Spending by Category'!B70, ""), "mm/dd/yyyy")</f>
        <v/>
      </c>
      <c r="B64" t="str">
        <f>IFERROR(IF(ISNUMBER('Spending by Category'!C70),TEXT('Spending by Category'!C70,"0.00"), ""), "")</f>
        <v/>
      </c>
      <c r="C64" t="str">
        <f>IFERROR(IF(ISNUMBER('Spending by Category'!D70),TEXT('Spending by Category'!D70,"0.00"), ""), "")</f>
        <v/>
      </c>
      <c r="D64" t="str">
        <f>IFERROR(IF(ISNUMBER('Spending by Category'!E70),TEXT('Spending by Category'!E70,"0.00"), ""), "")</f>
        <v/>
      </c>
      <c r="E64" t="str">
        <f>IFERROR(IF(ISNUMBER('Spending by Category'!F70),TEXT('Spending by Category'!F70,"0.00"), ""), "")</f>
        <v/>
      </c>
      <c r="F64" t="str">
        <f>IFERROR(IF(ISNUMBER('Spending by Category'!G70),TEXT('Spending by Category'!G70,"0.00"), ""), "")</f>
        <v/>
      </c>
      <c r="G64" t="str">
        <f>IFERROR(IF(ISNUMBER('Spending by Category'!H70),TEXT('Spending by Category'!H70,"0.00"), ""), "")</f>
        <v/>
      </c>
      <c r="H64" t="str">
        <f>IFERROR(IF(ISNUMBER('Spending by Category'!I70),TEXT('Spending by Category'!I70,"0.00"), ""), "")</f>
        <v/>
      </c>
      <c r="I64" t="str">
        <f>IFERROR(IF(ISNUMBER('Spending by Category'!J70),TEXT('Spending by Category'!J70,"0.00"), ""), "")</f>
        <v/>
      </c>
      <c r="J64" t="str">
        <f>IFERROR(IF(ISNUMBER('Spending by Category'!B70),'Spending by Category'!N70, ""), "")</f>
        <v/>
      </c>
    </row>
    <row r="65" spans="1:10">
      <c r="A65" t="str">
        <f>TEXT(IF('Spending by Category'!B71&lt;&gt;0,'Spending by Category'!B71, ""), "mm/dd/yyyy")</f>
        <v/>
      </c>
      <c r="B65" t="str">
        <f>IFERROR(IF(ISNUMBER('Spending by Category'!C71),TEXT('Spending by Category'!C71,"0.00"), ""), "")</f>
        <v/>
      </c>
      <c r="C65" t="str">
        <f>IFERROR(IF(ISNUMBER('Spending by Category'!D71),TEXT('Spending by Category'!D71,"0.00"), ""), "")</f>
        <v/>
      </c>
      <c r="D65" t="str">
        <f>IFERROR(IF(ISNUMBER('Spending by Category'!E71),TEXT('Spending by Category'!E71,"0.00"), ""), "")</f>
        <v/>
      </c>
      <c r="E65" t="str">
        <f>IFERROR(IF(ISNUMBER('Spending by Category'!F71),TEXT('Spending by Category'!F71,"0.00"), ""), "")</f>
        <v/>
      </c>
      <c r="F65" t="str">
        <f>IFERROR(IF(ISNUMBER('Spending by Category'!G71),TEXT('Spending by Category'!G71,"0.00"), ""), "")</f>
        <v/>
      </c>
      <c r="G65" t="str">
        <f>IFERROR(IF(ISNUMBER('Spending by Category'!H71),TEXT('Spending by Category'!H71,"0.00"), ""), "")</f>
        <v/>
      </c>
      <c r="H65" t="str">
        <f>IFERROR(IF(ISNUMBER('Spending by Category'!I71),TEXT('Spending by Category'!I71,"0.00"), ""), "")</f>
        <v/>
      </c>
      <c r="I65" t="str">
        <f>IFERROR(IF(ISNUMBER('Spending by Category'!J71),TEXT('Spending by Category'!J71,"0.00"), ""), "")</f>
        <v/>
      </c>
      <c r="J65" t="str">
        <f>IFERROR(IF(ISNUMBER('Spending by Category'!B71),'Spending by Category'!N71, ""), "")</f>
        <v/>
      </c>
    </row>
    <row r="66" spans="1:10">
      <c r="A66" t="str">
        <f>TEXT(IF('Spending by Category'!B72&lt;&gt;0,'Spending by Category'!B72, ""), "mm/dd/yyyy")</f>
        <v/>
      </c>
      <c r="B66" t="str">
        <f>IFERROR(IF(ISNUMBER('Spending by Category'!C72),TEXT('Spending by Category'!C72,"0.00"), ""), "")</f>
        <v/>
      </c>
      <c r="C66" t="str">
        <f>IFERROR(IF(ISNUMBER('Spending by Category'!D72),TEXT('Spending by Category'!D72,"0.00"), ""), "")</f>
        <v/>
      </c>
      <c r="D66" t="str">
        <f>IFERROR(IF(ISNUMBER('Spending by Category'!E72),TEXT('Spending by Category'!E72,"0.00"), ""), "")</f>
        <v/>
      </c>
      <c r="E66" t="str">
        <f>IFERROR(IF(ISNUMBER('Spending by Category'!F72),TEXT('Spending by Category'!F72,"0.00"), ""), "")</f>
        <v/>
      </c>
      <c r="F66" t="str">
        <f>IFERROR(IF(ISNUMBER('Spending by Category'!G72),TEXT('Spending by Category'!G72,"0.00"), ""), "")</f>
        <v/>
      </c>
      <c r="G66" t="str">
        <f>IFERROR(IF(ISNUMBER('Spending by Category'!H72),TEXT('Spending by Category'!H72,"0.00"), ""), "")</f>
        <v/>
      </c>
      <c r="H66" t="str">
        <f>IFERROR(IF(ISNUMBER('Spending by Category'!I72),TEXT('Spending by Category'!I72,"0.00"), ""), "")</f>
        <v/>
      </c>
      <c r="I66" t="str">
        <f>IFERROR(IF(ISNUMBER('Spending by Category'!J72),TEXT('Spending by Category'!J72,"0.00"), ""), "")</f>
        <v/>
      </c>
      <c r="J66" t="str">
        <f>IFERROR(IF(ISNUMBER('Spending by Category'!B72),'Spending by Category'!N72, ""), "")</f>
        <v/>
      </c>
    </row>
    <row r="67" spans="1:10">
      <c r="A67" t="str">
        <f>TEXT(IF('Spending by Category'!B73&lt;&gt;0,'Spending by Category'!B73, ""), "mm/dd/yyyy")</f>
        <v/>
      </c>
      <c r="B67" t="str">
        <f>IFERROR(IF(ISNUMBER('Spending by Category'!C73),TEXT('Spending by Category'!C73,"0.00"), ""), "")</f>
        <v/>
      </c>
      <c r="C67" t="str">
        <f>IFERROR(IF(ISNUMBER('Spending by Category'!D73),TEXT('Spending by Category'!D73,"0.00"), ""), "")</f>
        <v/>
      </c>
      <c r="D67" t="str">
        <f>IFERROR(IF(ISNUMBER('Spending by Category'!E73),TEXT('Spending by Category'!E73,"0.00"), ""), "")</f>
        <v/>
      </c>
      <c r="E67" t="str">
        <f>IFERROR(IF(ISNUMBER('Spending by Category'!F73),TEXT('Spending by Category'!F73,"0.00"), ""), "")</f>
        <v/>
      </c>
      <c r="F67" t="str">
        <f>IFERROR(IF(ISNUMBER('Spending by Category'!G73),TEXT('Spending by Category'!G73,"0.00"), ""), "")</f>
        <v/>
      </c>
      <c r="G67" t="str">
        <f>IFERROR(IF(ISNUMBER('Spending by Category'!H73),TEXT('Spending by Category'!H73,"0.00"), ""), "")</f>
        <v/>
      </c>
      <c r="H67" t="str">
        <f>IFERROR(IF(ISNUMBER('Spending by Category'!I73),TEXT('Spending by Category'!I73,"0.00"), ""), "")</f>
        <v/>
      </c>
      <c r="I67" t="str">
        <f>IFERROR(IF(ISNUMBER('Spending by Category'!J73),TEXT('Spending by Category'!J73,"0.00"), ""), "")</f>
        <v/>
      </c>
      <c r="J67" t="str">
        <f>IFERROR(IF(ISNUMBER('Spending by Category'!B73),'Spending by Category'!N73, ""), "")</f>
        <v/>
      </c>
    </row>
    <row r="68" spans="1:10">
      <c r="A68" t="str">
        <f>TEXT(IF('Spending by Category'!B74&lt;&gt;0,'Spending by Category'!B74, ""), "mm/dd/yyyy")</f>
        <v/>
      </c>
      <c r="B68" t="str">
        <f>IFERROR(IF(ISNUMBER('Spending by Category'!C74),TEXT('Spending by Category'!C74,"0.00"), ""), "")</f>
        <v/>
      </c>
      <c r="C68" t="str">
        <f>IFERROR(IF(ISNUMBER('Spending by Category'!D74),TEXT('Spending by Category'!D74,"0.00"), ""), "")</f>
        <v/>
      </c>
      <c r="D68" t="str">
        <f>IFERROR(IF(ISNUMBER('Spending by Category'!E74),TEXT('Spending by Category'!E74,"0.00"), ""), "")</f>
        <v/>
      </c>
      <c r="E68" t="str">
        <f>IFERROR(IF(ISNUMBER('Spending by Category'!F74),TEXT('Spending by Category'!F74,"0.00"), ""), "")</f>
        <v/>
      </c>
      <c r="F68" t="str">
        <f>IFERROR(IF(ISNUMBER('Spending by Category'!G74),TEXT('Spending by Category'!G74,"0.00"), ""), "")</f>
        <v/>
      </c>
      <c r="G68" t="str">
        <f>IFERROR(IF(ISNUMBER('Spending by Category'!H74),TEXT('Spending by Category'!H74,"0.00"), ""), "")</f>
        <v/>
      </c>
      <c r="H68" t="str">
        <f>IFERROR(IF(ISNUMBER('Spending by Category'!I74),TEXT('Spending by Category'!I74,"0.00"), ""), "")</f>
        <v/>
      </c>
      <c r="I68" t="str">
        <f>IFERROR(IF(ISNUMBER('Spending by Category'!J74),TEXT('Spending by Category'!J74,"0.00"), ""), "")</f>
        <v/>
      </c>
      <c r="J68" t="str">
        <f>IFERROR(IF(ISNUMBER('Spending by Category'!B74),'Spending by Category'!N74, ""), "")</f>
        <v/>
      </c>
    </row>
    <row r="69" spans="1:10">
      <c r="A69" t="str">
        <f>TEXT(IF('Spending by Category'!B75&lt;&gt;0,'Spending by Category'!B75, ""), "mm/dd/yyyy")</f>
        <v/>
      </c>
      <c r="B69" t="str">
        <f>IFERROR(IF(ISNUMBER('Spending by Category'!C75),TEXT('Spending by Category'!C75,"0.00"), ""), "")</f>
        <v/>
      </c>
      <c r="C69" t="str">
        <f>IFERROR(IF(ISNUMBER('Spending by Category'!D75),TEXT('Spending by Category'!D75,"0.00"), ""), "")</f>
        <v/>
      </c>
      <c r="D69" t="str">
        <f>IFERROR(IF(ISNUMBER('Spending by Category'!E75),TEXT('Spending by Category'!E75,"0.00"), ""), "")</f>
        <v/>
      </c>
      <c r="E69" t="str">
        <f>IFERROR(IF(ISNUMBER('Spending by Category'!F75),TEXT('Spending by Category'!F75,"0.00"), ""), "")</f>
        <v/>
      </c>
      <c r="F69" t="str">
        <f>IFERROR(IF(ISNUMBER('Spending by Category'!G75),TEXT('Spending by Category'!G75,"0.00"), ""), "")</f>
        <v/>
      </c>
      <c r="G69" t="str">
        <f>IFERROR(IF(ISNUMBER('Spending by Category'!H75),TEXT('Spending by Category'!H75,"0.00"), ""), "")</f>
        <v/>
      </c>
      <c r="H69" t="str">
        <f>IFERROR(IF(ISNUMBER('Spending by Category'!I75),TEXT('Spending by Category'!I75,"0.00"), ""), "")</f>
        <v/>
      </c>
      <c r="I69" t="str">
        <f>IFERROR(IF(ISNUMBER('Spending by Category'!J75),TEXT('Spending by Category'!J75,"0.00"), ""), "")</f>
        <v/>
      </c>
      <c r="J69" t="str">
        <f>IFERROR(IF(ISNUMBER('Spending by Category'!B75),'Spending by Category'!N75, ""), "")</f>
        <v/>
      </c>
    </row>
    <row r="70" spans="1:10">
      <c r="A70" t="str">
        <f>TEXT(IF('Spending by Category'!B76&lt;&gt;0,'Spending by Category'!B76, ""), "mm/dd/yyyy")</f>
        <v/>
      </c>
      <c r="B70" t="str">
        <f>IFERROR(IF(ISNUMBER('Spending by Category'!C76),TEXT('Spending by Category'!C76,"0.00"), ""), "")</f>
        <v/>
      </c>
      <c r="C70" t="str">
        <f>IFERROR(IF(ISNUMBER('Spending by Category'!D76),TEXT('Spending by Category'!D76,"0.00"), ""), "")</f>
        <v/>
      </c>
      <c r="D70" t="str">
        <f>IFERROR(IF(ISNUMBER('Spending by Category'!E76),TEXT('Spending by Category'!E76,"0.00"), ""), "")</f>
        <v/>
      </c>
      <c r="E70" t="str">
        <f>IFERROR(IF(ISNUMBER('Spending by Category'!F76),TEXT('Spending by Category'!F76,"0.00"), ""), "")</f>
        <v/>
      </c>
      <c r="F70" t="str">
        <f>IFERROR(IF(ISNUMBER('Spending by Category'!G76),TEXT('Spending by Category'!G76,"0.00"), ""), "")</f>
        <v/>
      </c>
      <c r="G70" t="str">
        <f>IFERROR(IF(ISNUMBER('Spending by Category'!H76),TEXT('Spending by Category'!H76,"0.00"), ""), "")</f>
        <v/>
      </c>
      <c r="H70" t="str">
        <f>IFERROR(IF(ISNUMBER('Spending by Category'!I76),TEXT('Spending by Category'!I76,"0.00"), ""), "")</f>
        <v/>
      </c>
      <c r="I70" t="str">
        <f>IFERROR(IF(ISNUMBER('Spending by Category'!J76),TEXT('Spending by Category'!J76,"0.00"), ""), "")</f>
        <v/>
      </c>
      <c r="J70" t="str">
        <f>IFERROR(IF(ISNUMBER('Spending by Category'!B76),'Spending by Category'!N76, ""), "")</f>
        <v/>
      </c>
    </row>
    <row r="71" spans="1:10">
      <c r="A71" t="str">
        <f>TEXT(IF('Spending by Category'!B77&lt;&gt;0,'Spending by Category'!B77, ""), "mm/dd/yyyy")</f>
        <v/>
      </c>
      <c r="B71" t="str">
        <f>IFERROR(IF(ISNUMBER('Spending by Category'!C77),TEXT('Spending by Category'!C77,"0.00"), ""), "")</f>
        <v/>
      </c>
      <c r="C71" t="str">
        <f>IFERROR(IF(ISNUMBER('Spending by Category'!D77),TEXT('Spending by Category'!D77,"0.00"), ""), "")</f>
        <v/>
      </c>
      <c r="D71" t="str">
        <f>IFERROR(IF(ISNUMBER('Spending by Category'!E77),TEXT('Spending by Category'!E77,"0.00"), ""), "")</f>
        <v/>
      </c>
      <c r="E71" t="str">
        <f>IFERROR(IF(ISNUMBER('Spending by Category'!F77),TEXT('Spending by Category'!F77,"0.00"), ""), "")</f>
        <v/>
      </c>
      <c r="F71" t="str">
        <f>IFERROR(IF(ISNUMBER('Spending by Category'!G77),TEXT('Spending by Category'!G77,"0.00"), ""), "")</f>
        <v/>
      </c>
      <c r="G71" t="str">
        <f>IFERROR(IF(ISNUMBER('Spending by Category'!H77),TEXT('Spending by Category'!H77,"0.00"), ""), "")</f>
        <v/>
      </c>
      <c r="H71" t="str">
        <f>IFERROR(IF(ISNUMBER('Spending by Category'!I77),TEXT('Spending by Category'!I77,"0.00"), ""), "")</f>
        <v/>
      </c>
      <c r="I71" t="str">
        <f>IFERROR(IF(ISNUMBER('Spending by Category'!J77),TEXT('Spending by Category'!J77,"0.00"), ""), "")</f>
        <v/>
      </c>
      <c r="J71" t="str">
        <f>IFERROR(IF(ISNUMBER('Spending by Category'!B77),'Spending by Category'!N77, ""), "")</f>
        <v/>
      </c>
    </row>
    <row r="72" spans="1:10">
      <c r="A72" t="str">
        <f>TEXT(IF('Spending by Category'!B78&lt;&gt;0,'Spending by Category'!B78, ""), "mm/dd/yyyy")</f>
        <v/>
      </c>
      <c r="B72" t="str">
        <f>IFERROR(IF(ISNUMBER('Spending by Category'!C78),TEXT('Spending by Category'!C78,"0.00"), ""), "")</f>
        <v/>
      </c>
      <c r="C72" t="str">
        <f>IFERROR(IF(ISNUMBER('Spending by Category'!D78),TEXT('Spending by Category'!D78,"0.00"), ""), "")</f>
        <v/>
      </c>
      <c r="D72" t="str">
        <f>IFERROR(IF(ISNUMBER('Spending by Category'!E78),TEXT('Spending by Category'!E78,"0.00"), ""), "")</f>
        <v/>
      </c>
      <c r="E72" t="str">
        <f>IFERROR(IF(ISNUMBER('Spending by Category'!F78),TEXT('Spending by Category'!F78,"0.00"), ""), "")</f>
        <v/>
      </c>
      <c r="F72" t="str">
        <f>IFERROR(IF(ISNUMBER('Spending by Category'!G78),TEXT('Spending by Category'!G78,"0.00"), ""), "")</f>
        <v/>
      </c>
      <c r="G72" t="str">
        <f>IFERROR(IF(ISNUMBER('Spending by Category'!H78),TEXT('Spending by Category'!H78,"0.00"), ""), "")</f>
        <v/>
      </c>
      <c r="H72" t="str">
        <f>IFERROR(IF(ISNUMBER('Spending by Category'!I78),TEXT('Spending by Category'!I78,"0.00"), ""), "")</f>
        <v/>
      </c>
      <c r="I72" t="str">
        <f>IFERROR(IF(ISNUMBER('Spending by Category'!J78),TEXT('Spending by Category'!J78,"0.00"), ""), "")</f>
        <v/>
      </c>
      <c r="J72" t="str">
        <f>IFERROR(IF(ISNUMBER('Spending by Category'!B78),'Spending by Category'!N78, ""), "")</f>
        <v/>
      </c>
    </row>
    <row r="73" spans="1:10">
      <c r="A73" t="str">
        <f>TEXT(IF('Spending by Category'!B79&lt;&gt;0,'Spending by Category'!B79, ""), "mm/dd/yyyy")</f>
        <v/>
      </c>
      <c r="B73" t="str">
        <f>IFERROR(IF(ISNUMBER('Spending by Category'!C79),TEXT('Spending by Category'!C79,"0.00"), ""), "")</f>
        <v/>
      </c>
      <c r="C73" t="str">
        <f>IFERROR(IF(ISNUMBER('Spending by Category'!D79),TEXT('Spending by Category'!D79,"0.00"), ""), "")</f>
        <v/>
      </c>
      <c r="D73" t="str">
        <f>IFERROR(IF(ISNUMBER('Spending by Category'!E79),TEXT('Spending by Category'!E79,"0.00"), ""), "")</f>
        <v/>
      </c>
      <c r="E73" t="str">
        <f>IFERROR(IF(ISNUMBER('Spending by Category'!F79),TEXT('Spending by Category'!F79,"0.00"), ""), "")</f>
        <v/>
      </c>
      <c r="F73" t="str">
        <f>IFERROR(IF(ISNUMBER('Spending by Category'!G79),TEXT('Spending by Category'!G79,"0.00"), ""), "")</f>
        <v/>
      </c>
      <c r="G73" t="str">
        <f>IFERROR(IF(ISNUMBER('Spending by Category'!H79),TEXT('Spending by Category'!H79,"0.00"), ""), "")</f>
        <v/>
      </c>
      <c r="H73" t="str">
        <f>IFERROR(IF(ISNUMBER('Spending by Category'!I79),TEXT('Spending by Category'!I79,"0.00"), ""), "")</f>
        <v/>
      </c>
      <c r="I73" t="str">
        <f>IFERROR(IF(ISNUMBER('Spending by Category'!J79),TEXT('Spending by Category'!J79,"0.00"), ""), "")</f>
        <v/>
      </c>
      <c r="J73" t="str">
        <f>IFERROR(IF(ISNUMBER('Spending by Category'!B79),'Spending by Category'!N79, ""), "")</f>
        <v/>
      </c>
    </row>
    <row r="74" spans="1:10">
      <c r="A74" t="str">
        <f>TEXT(IF('Spending by Category'!B80&lt;&gt;0,'Spending by Category'!B80, ""), "mm/dd/yyyy")</f>
        <v/>
      </c>
      <c r="B74" t="str">
        <f>IFERROR(IF(ISNUMBER('Spending by Category'!C80),TEXT('Spending by Category'!C80,"0.00"), ""), "")</f>
        <v/>
      </c>
      <c r="C74" t="str">
        <f>IFERROR(IF(ISNUMBER('Spending by Category'!D80),TEXT('Spending by Category'!D80,"0.00"), ""), "")</f>
        <v/>
      </c>
      <c r="D74" t="str">
        <f>IFERROR(IF(ISNUMBER('Spending by Category'!E80),TEXT('Spending by Category'!E80,"0.00"), ""), "")</f>
        <v/>
      </c>
      <c r="E74" t="str">
        <f>IFERROR(IF(ISNUMBER('Spending by Category'!F80),TEXT('Spending by Category'!F80,"0.00"), ""), "")</f>
        <v/>
      </c>
      <c r="F74" t="str">
        <f>IFERROR(IF(ISNUMBER('Spending by Category'!G80),TEXT('Spending by Category'!G80,"0.00"), ""), "")</f>
        <v/>
      </c>
      <c r="G74" t="str">
        <f>IFERROR(IF(ISNUMBER('Spending by Category'!H80),TEXT('Spending by Category'!H80,"0.00"), ""), "")</f>
        <v/>
      </c>
      <c r="H74" t="str">
        <f>IFERROR(IF(ISNUMBER('Spending by Category'!I80),TEXT('Spending by Category'!I80,"0.00"), ""), "")</f>
        <v/>
      </c>
      <c r="I74" t="str">
        <f>IFERROR(IF(ISNUMBER('Spending by Category'!J80),TEXT('Spending by Category'!J80,"0.00"), ""), "")</f>
        <v/>
      </c>
      <c r="J74" t="str">
        <f>IFERROR(IF(ISNUMBER('Spending by Category'!B80),'Spending by Category'!N80, ""), "")</f>
        <v/>
      </c>
    </row>
    <row r="75" spans="1:10">
      <c r="A75" t="str">
        <f>TEXT(IF('Spending by Category'!B81&lt;&gt;0,'Spending by Category'!B81, ""), "mm/dd/yyyy")</f>
        <v/>
      </c>
      <c r="B75" t="str">
        <f>IFERROR(IF(ISNUMBER('Spending by Category'!C81),TEXT('Spending by Category'!C81,"0.00"), ""), "")</f>
        <v/>
      </c>
      <c r="C75" t="str">
        <f>IFERROR(IF(ISNUMBER('Spending by Category'!D81),TEXT('Spending by Category'!D81,"0.00"), ""), "")</f>
        <v/>
      </c>
      <c r="D75" t="str">
        <f>IFERROR(IF(ISNUMBER('Spending by Category'!E81),TEXT('Spending by Category'!E81,"0.00"), ""), "")</f>
        <v/>
      </c>
      <c r="E75" t="str">
        <f>IFERROR(IF(ISNUMBER('Spending by Category'!F81),TEXT('Spending by Category'!F81,"0.00"), ""), "")</f>
        <v/>
      </c>
      <c r="F75" t="str">
        <f>IFERROR(IF(ISNUMBER('Spending by Category'!G81),TEXT('Spending by Category'!G81,"0.00"), ""), "")</f>
        <v/>
      </c>
      <c r="G75" t="str">
        <f>IFERROR(IF(ISNUMBER('Spending by Category'!H81),TEXT('Spending by Category'!H81,"0.00"), ""), "")</f>
        <v/>
      </c>
      <c r="H75" t="str">
        <f>IFERROR(IF(ISNUMBER('Spending by Category'!I81),TEXT('Spending by Category'!I81,"0.00"), ""), "")</f>
        <v/>
      </c>
      <c r="I75" t="str">
        <f>IFERROR(IF(ISNUMBER('Spending by Category'!J81),TEXT('Spending by Category'!J81,"0.00"), ""), "")</f>
        <v/>
      </c>
      <c r="J75" t="str">
        <f>IFERROR(IF(ISNUMBER('Spending by Category'!B81),'Spending by Category'!N81, ""), "")</f>
        <v/>
      </c>
    </row>
    <row r="76" spans="1:10">
      <c r="A76" t="str">
        <f>TEXT(IF('Spending by Category'!B82&lt;&gt;0,'Spending by Category'!B82, ""), "mm/dd/yyyy")</f>
        <v/>
      </c>
      <c r="B76" t="str">
        <f>IFERROR(IF(ISNUMBER('Spending by Category'!C82),TEXT('Spending by Category'!C82,"0.00"), ""), "")</f>
        <v/>
      </c>
      <c r="C76" t="str">
        <f>IFERROR(IF(ISNUMBER('Spending by Category'!D82),TEXT('Spending by Category'!D82,"0.00"), ""), "")</f>
        <v/>
      </c>
      <c r="D76" t="str">
        <f>IFERROR(IF(ISNUMBER('Spending by Category'!E82),TEXT('Spending by Category'!E82,"0.00"), ""), "")</f>
        <v/>
      </c>
      <c r="E76" t="str">
        <f>IFERROR(IF(ISNUMBER('Spending by Category'!F82),TEXT('Spending by Category'!F82,"0.00"), ""), "")</f>
        <v/>
      </c>
      <c r="F76" t="str">
        <f>IFERROR(IF(ISNUMBER('Spending by Category'!G82),TEXT('Spending by Category'!G82,"0.00"), ""), "")</f>
        <v/>
      </c>
      <c r="G76" t="str">
        <f>IFERROR(IF(ISNUMBER('Spending by Category'!H82),TEXT('Spending by Category'!H82,"0.00"), ""), "")</f>
        <v/>
      </c>
      <c r="H76" t="str">
        <f>IFERROR(IF(ISNUMBER('Spending by Category'!I82),TEXT('Spending by Category'!I82,"0.00"), ""), "")</f>
        <v/>
      </c>
      <c r="I76" t="str">
        <f>IFERROR(IF(ISNUMBER('Spending by Category'!J82),TEXT('Spending by Category'!J82,"0.00"), ""), "")</f>
        <v/>
      </c>
      <c r="J76" t="str">
        <f>IFERROR(IF(ISNUMBER('Spending by Category'!B82),'Spending by Category'!N82, ""), "")</f>
        <v/>
      </c>
    </row>
    <row r="77" spans="1:10">
      <c r="A77" t="str">
        <f>TEXT(IF('Spending by Category'!B83&lt;&gt;0,'Spending by Category'!B83, ""), "mm/dd/yyyy")</f>
        <v/>
      </c>
      <c r="B77" t="str">
        <f>IFERROR(IF(ISNUMBER('Spending by Category'!C83),TEXT('Spending by Category'!C83,"0.00"), ""), "")</f>
        <v/>
      </c>
      <c r="C77" t="str">
        <f>IFERROR(IF(ISNUMBER('Spending by Category'!D83),TEXT('Spending by Category'!D83,"0.00"), ""), "")</f>
        <v/>
      </c>
      <c r="D77" t="str">
        <f>IFERROR(IF(ISNUMBER('Spending by Category'!E83),TEXT('Spending by Category'!E83,"0.00"), ""), "")</f>
        <v/>
      </c>
      <c r="E77" t="str">
        <f>IFERROR(IF(ISNUMBER('Spending by Category'!F83),TEXT('Spending by Category'!F83,"0.00"), ""), "")</f>
        <v/>
      </c>
      <c r="F77" t="str">
        <f>IFERROR(IF(ISNUMBER('Spending by Category'!G83),TEXT('Spending by Category'!G83,"0.00"), ""), "")</f>
        <v/>
      </c>
      <c r="G77" t="str">
        <f>IFERROR(IF(ISNUMBER('Spending by Category'!H83),TEXT('Spending by Category'!H83,"0.00"), ""), "")</f>
        <v/>
      </c>
      <c r="H77" t="str">
        <f>IFERROR(IF(ISNUMBER('Spending by Category'!I83),TEXT('Spending by Category'!I83,"0.00"), ""), "")</f>
        <v/>
      </c>
      <c r="I77" t="str">
        <f>IFERROR(IF(ISNUMBER('Spending by Category'!J83),TEXT('Spending by Category'!J83,"0.00"), ""), "")</f>
        <v/>
      </c>
      <c r="J77" t="str">
        <f>IFERROR(IF(ISNUMBER('Spending by Category'!B83),'Spending by Category'!N83, ""), "")</f>
        <v/>
      </c>
    </row>
    <row r="78" spans="1:10">
      <c r="A78" t="str">
        <f>TEXT(IF('Spending by Category'!B84&lt;&gt;0,'Spending by Category'!B84, ""), "mm/dd/yyyy")</f>
        <v/>
      </c>
      <c r="B78" t="str">
        <f>IFERROR(IF(ISNUMBER('Spending by Category'!C84),TEXT('Spending by Category'!C84,"0.00"), ""), "")</f>
        <v/>
      </c>
      <c r="C78" t="str">
        <f>IFERROR(IF(ISNUMBER('Spending by Category'!D84),TEXT('Spending by Category'!D84,"0.00"), ""), "")</f>
        <v/>
      </c>
      <c r="D78" t="str">
        <f>IFERROR(IF(ISNUMBER('Spending by Category'!E84),TEXT('Spending by Category'!E84,"0.00"), ""), "")</f>
        <v/>
      </c>
      <c r="E78" t="str">
        <f>IFERROR(IF(ISNUMBER('Spending by Category'!F84),TEXT('Spending by Category'!F84,"0.00"), ""), "")</f>
        <v/>
      </c>
      <c r="F78" t="str">
        <f>IFERROR(IF(ISNUMBER('Spending by Category'!G84),TEXT('Spending by Category'!G84,"0.00"), ""), "")</f>
        <v/>
      </c>
      <c r="G78" t="str">
        <f>IFERROR(IF(ISNUMBER('Spending by Category'!H84),TEXT('Spending by Category'!H84,"0.00"), ""), "")</f>
        <v/>
      </c>
      <c r="H78" t="str">
        <f>IFERROR(IF(ISNUMBER('Spending by Category'!I84),TEXT('Spending by Category'!I84,"0.00"), ""), "")</f>
        <v/>
      </c>
      <c r="I78" t="str">
        <f>IFERROR(IF(ISNUMBER('Spending by Category'!J84),TEXT('Spending by Category'!J84,"0.00"), ""), "")</f>
        <v/>
      </c>
      <c r="J78" t="str">
        <f>IFERROR(IF(ISNUMBER('Spending by Category'!B84),'Spending by Category'!N84, ""), "")</f>
        <v/>
      </c>
    </row>
    <row r="79" spans="1:10">
      <c r="A79" t="str">
        <f>TEXT(IF('Spending by Category'!B85&lt;&gt;0,'Spending by Category'!B85, ""), "mm/dd/yyyy")</f>
        <v/>
      </c>
      <c r="B79" t="str">
        <f>IFERROR(IF(ISNUMBER('Spending by Category'!C85),TEXT('Spending by Category'!C85,"0.00"), ""), "")</f>
        <v/>
      </c>
      <c r="C79" t="str">
        <f>IFERROR(IF(ISNUMBER('Spending by Category'!D85),TEXT('Spending by Category'!D85,"0.00"), ""), "")</f>
        <v/>
      </c>
      <c r="D79" t="str">
        <f>IFERROR(IF(ISNUMBER('Spending by Category'!E85),TEXT('Spending by Category'!E85,"0.00"), ""), "")</f>
        <v/>
      </c>
      <c r="E79" t="str">
        <f>IFERROR(IF(ISNUMBER('Spending by Category'!F85),TEXT('Spending by Category'!F85,"0.00"), ""), "")</f>
        <v/>
      </c>
      <c r="F79" t="str">
        <f>IFERROR(IF(ISNUMBER('Spending by Category'!G85),TEXT('Spending by Category'!G85,"0.00"), ""), "")</f>
        <v/>
      </c>
      <c r="G79" t="str">
        <f>IFERROR(IF(ISNUMBER('Spending by Category'!H85),TEXT('Spending by Category'!H85,"0.00"), ""), "")</f>
        <v/>
      </c>
      <c r="H79" t="str">
        <f>IFERROR(IF(ISNUMBER('Spending by Category'!I85),TEXT('Spending by Category'!I85,"0.00"), ""), "")</f>
        <v/>
      </c>
      <c r="I79" t="str">
        <f>IFERROR(IF(ISNUMBER('Spending by Category'!J85),TEXT('Spending by Category'!J85,"0.00"), ""), "")</f>
        <v/>
      </c>
      <c r="J79" t="str">
        <f>IFERROR(IF(ISNUMBER('Spending by Category'!B85),'Spending by Category'!N85, ""), "")</f>
        <v/>
      </c>
    </row>
    <row r="80" spans="1:10">
      <c r="A80" t="str">
        <f>TEXT(IF('Spending by Category'!B86&lt;&gt;0,'Spending by Category'!B86, ""), "mm/dd/yyyy")</f>
        <v/>
      </c>
      <c r="B80" t="str">
        <f>IFERROR(IF(ISNUMBER('Spending by Category'!C86),TEXT('Spending by Category'!C86,"0.00"), ""), "")</f>
        <v/>
      </c>
      <c r="C80" t="str">
        <f>IFERROR(IF(ISNUMBER('Spending by Category'!D86),TEXT('Spending by Category'!D86,"0.00"), ""), "")</f>
        <v/>
      </c>
      <c r="D80" t="str">
        <f>IFERROR(IF(ISNUMBER('Spending by Category'!E86),TEXT('Spending by Category'!E86,"0.00"), ""), "")</f>
        <v/>
      </c>
      <c r="E80" t="str">
        <f>IFERROR(IF(ISNUMBER('Spending by Category'!F86),TEXT('Spending by Category'!F86,"0.00"), ""), "")</f>
        <v/>
      </c>
      <c r="F80" t="str">
        <f>IFERROR(IF(ISNUMBER('Spending by Category'!G86),TEXT('Spending by Category'!G86,"0.00"), ""), "")</f>
        <v/>
      </c>
      <c r="G80" t="str">
        <f>IFERROR(IF(ISNUMBER('Spending by Category'!H86),TEXT('Spending by Category'!H86,"0.00"), ""), "")</f>
        <v/>
      </c>
      <c r="H80" t="str">
        <f>IFERROR(IF(ISNUMBER('Spending by Category'!I86),TEXT('Spending by Category'!I86,"0.00"), ""), "")</f>
        <v/>
      </c>
      <c r="I80" t="str">
        <f>IFERROR(IF(ISNUMBER('Spending by Category'!J86),TEXT('Spending by Category'!J86,"0.00"), ""), "")</f>
        <v/>
      </c>
      <c r="J80" t="str">
        <f>IFERROR(IF(ISNUMBER('Spending by Category'!B86),'Spending by Category'!N86, ""), "")</f>
        <v/>
      </c>
    </row>
    <row r="81" spans="1:10">
      <c r="A81" t="str">
        <f>TEXT(IF('Spending by Category'!B87&lt;&gt;0,'Spending by Category'!B87, ""), "mm/dd/yyyy")</f>
        <v/>
      </c>
      <c r="B81" t="str">
        <f>IFERROR(IF(ISNUMBER('Spending by Category'!C87),TEXT('Spending by Category'!C87,"0.00"), ""), "")</f>
        <v/>
      </c>
      <c r="C81" t="str">
        <f>IFERROR(IF(ISNUMBER('Spending by Category'!D87),TEXT('Spending by Category'!D87,"0.00"), ""), "")</f>
        <v/>
      </c>
      <c r="D81" t="str">
        <f>IFERROR(IF(ISNUMBER('Spending by Category'!E87),TEXT('Spending by Category'!E87,"0.00"), ""), "")</f>
        <v/>
      </c>
      <c r="E81" t="str">
        <f>IFERROR(IF(ISNUMBER('Spending by Category'!F87),TEXT('Spending by Category'!F87,"0.00"), ""), "")</f>
        <v/>
      </c>
      <c r="F81" t="str">
        <f>IFERROR(IF(ISNUMBER('Spending by Category'!G87),TEXT('Spending by Category'!G87,"0.00"), ""), "")</f>
        <v/>
      </c>
      <c r="G81" t="str">
        <f>IFERROR(IF(ISNUMBER('Spending by Category'!H87),TEXT('Spending by Category'!H87,"0.00"), ""), "")</f>
        <v/>
      </c>
      <c r="H81" t="str">
        <f>IFERROR(IF(ISNUMBER('Spending by Category'!I87),TEXT('Spending by Category'!I87,"0.00"), ""), "")</f>
        <v/>
      </c>
      <c r="I81" t="str">
        <f>IFERROR(IF(ISNUMBER('Spending by Category'!J87),TEXT('Spending by Category'!J87,"0.00"), ""), "")</f>
        <v/>
      </c>
      <c r="J81" t="str">
        <f>IFERROR(IF(ISNUMBER('Spending by Category'!B87),'Spending by Category'!N87, ""), "")</f>
        <v/>
      </c>
    </row>
    <row r="82" spans="1:10">
      <c r="A82" t="str">
        <f>TEXT(IF('Spending by Category'!B88&lt;&gt;0,'Spending by Category'!B88, ""), "mm/dd/yyyy")</f>
        <v/>
      </c>
      <c r="B82" t="str">
        <f>IFERROR(IF(ISNUMBER('Spending by Category'!C88),TEXT('Spending by Category'!C88,"0.00"), ""), "")</f>
        <v/>
      </c>
      <c r="C82" t="str">
        <f>IFERROR(IF(ISNUMBER('Spending by Category'!D88),TEXT('Spending by Category'!D88,"0.00"), ""), "")</f>
        <v/>
      </c>
      <c r="D82" t="str">
        <f>IFERROR(IF(ISNUMBER('Spending by Category'!E88),TEXT('Spending by Category'!E88,"0.00"), ""), "")</f>
        <v/>
      </c>
      <c r="E82" t="str">
        <f>IFERROR(IF(ISNUMBER('Spending by Category'!F88),TEXT('Spending by Category'!F88,"0.00"), ""), "")</f>
        <v/>
      </c>
      <c r="F82" t="str">
        <f>IFERROR(IF(ISNUMBER('Spending by Category'!G88),TEXT('Spending by Category'!G88,"0.00"), ""), "")</f>
        <v/>
      </c>
      <c r="G82" t="str">
        <f>IFERROR(IF(ISNUMBER('Spending by Category'!H88),TEXT('Spending by Category'!H88,"0.00"), ""), "")</f>
        <v/>
      </c>
      <c r="H82" t="str">
        <f>IFERROR(IF(ISNUMBER('Spending by Category'!I88),TEXT('Spending by Category'!I88,"0.00"), ""), "")</f>
        <v/>
      </c>
      <c r="I82" t="str">
        <f>IFERROR(IF(ISNUMBER('Spending by Category'!J88),TEXT('Spending by Category'!J88,"0.00"), ""), "")</f>
        <v/>
      </c>
      <c r="J82" t="str">
        <f>IFERROR(IF(ISNUMBER('Spending by Category'!B88),'Spending by Category'!N88, ""), "")</f>
        <v/>
      </c>
    </row>
    <row r="83" spans="1:10">
      <c r="A83" t="str">
        <f>TEXT(IF('Spending by Category'!B89&lt;&gt;0,'Spending by Category'!B89, ""), "mm/dd/yyyy")</f>
        <v/>
      </c>
      <c r="B83" t="str">
        <f>IFERROR(IF(ISNUMBER('Spending by Category'!C89),TEXT('Spending by Category'!C89,"0.00"), ""), "")</f>
        <v/>
      </c>
      <c r="C83" t="str">
        <f>IFERROR(IF(ISNUMBER('Spending by Category'!D89),TEXT('Spending by Category'!D89,"0.00"), ""), "")</f>
        <v/>
      </c>
      <c r="D83" t="str">
        <f>IFERROR(IF(ISNUMBER('Spending by Category'!E89),TEXT('Spending by Category'!E89,"0.00"), ""), "")</f>
        <v/>
      </c>
      <c r="E83" t="str">
        <f>IFERROR(IF(ISNUMBER('Spending by Category'!F89),TEXT('Spending by Category'!F89,"0.00"), ""), "")</f>
        <v/>
      </c>
      <c r="F83" t="str">
        <f>IFERROR(IF(ISNUMBER('Spending by Category'!G89),TEXT('Spending by Category'!G89,"0.00"), ""), "")</f>
        <v/>
      </c>
      <c r="G83" t="str">
        <f>IFERROR(IF(ISNUMBER('Spending by Category'!H89),TEXT('Spending by Category'!H89,"0.00"), ""), "")</f>
        <v/>
      </c>
      <c r="H83" t="str">
        <f>IFERROR(IF(ISNUMBER('Spending by Category'!I89),TEXT('Spending by Category'!I89,"0.00"), ""), "")</f>
        <v/>
      </c>
      <c r="I83" t="str">
        <f>IFERROR(IF(ISNUMBER('Spending by Category'!J89),TEXT('Spending by Category'!J89,"0.00"), ""), "")</f>
        <v/>
      </c>
      <c r="J83" t="str">
        <f>IFERROR(IF(ISNUMBER('Spending by Category'!B89),'Spending by Category'!N89, ""), "")</f>
        <v/>
      </c>
    </row>
    <row r="84" spans="1:10">
      <c r="A84" t="str">
        <f>TEXT(IF('Spending by Category'!B90&lt;&gt;0,'Spending by Category'!B90, ""), "mm/dd/yyyy")</f>
        <v/>
      </c>
      <c r="B84" t="str">
        <f>IFERROR(IF(ISNUMBER('Spending by Category'!C90),TEXT('Spending by Category'!C90,"0.00"), ""), "")</f>
        <v/>
      </c>
      <c r="C84" t="str">
        <f>IFERROR(IF(ISNUMBER('Spending by Category'!D90),TEXT('Spending by Category'!D90,"0.00"), ""), "")</f>
        <v/>
      </c>
      <c r="D84" t="str">
        <f>IFERROR(IF(ISNUMBER('Spending by Category'!E90),TEXT('Spending by Category'!E90,"0.00"), ""), "")</f>
        <v/>
      </c>
      <c r="E84" t="str">
        <f>IFERROR(IF(ISNUMBER('Spending by Category'!F90),TEXT('Spending by Category'!F90,"0.00"), ""), "")</f>
        <v/>
      </c>
      <c r="F84" t="str">
        <f>IFERROR(IF(ISNUMBER('Spending by Category'!G90),TEXT('Spending by Category'!G90,"0.00"), ""), "")</f>
        <v/>
      </c>
      <c r="G84" t="str">
        <f>IFERROR(IF(ISNUMBER('Spending by Category'!H90),TEXT('Spending by Category'!H90,"0.00"), ""), "")</f>
        <v/>
      </c>
      <c r="H84" t="str">
        <f>IFERROR(IF(ISNUMBER('Spending by Category'!I90),TEXT('Spending by Category'!I90,"0.00"), ""), "")</f>
        <v/>
      </c>
      <c r="I84" t="str">
        <f>IFERROR(IF(ISNUMBER('Spending by Category'!J90),TEXT('Spending by Category'!J90,"0.00"), ""), "")</f>
        <v/>
      </c>
      <c r="J84" t="str">
        <f>IFERROR(IF(ISNUMBER('Spending by Category'!B90),'Spending by Category'!N90, ""), "")</f>
        <v/>
      </c>
    </row>
    <row r="85" spans="1:10">
      <c r="A85" t="str">
        <f>TEXT(IF('Spending by Category'!B91&lt;&gt;0,'Spending by Category'!B91, ""), "mm/dd/yyyy")</f>
        <v/>
      </c>
      <c r="B85" t="str">
        <f>IFERROR(IF(ISNUMBER('Spending by Category'!C91),TEXT('Spending by Category'!C91,"0.00"), ""), "")</f>
        <v/>
      </c>
      <c r="C85" t="str">
        <f>IFERROR(IF(ISNUMBER('Spending by Category'!D91),TEXT('Spending by Category'!D91,"0.00"), ""), "")</f>
        <v/>
      </c>
      <c r="D85" t="str">
        <f>IFERROR(IF(ISNUMBER('Spending by Category'!E91),TEXT('Spending by Category'!E91,"0.00"), ""), "")</f>
        <v/>
      </c>
      <c r="E85" t="str">
        <f>IFERROR(IF(ISNUMBER('Spending by Category'!F91),TEXT('Spending by Category'!F91,"0.00"), ""), "")</f>
        <v/>
      </c>
      <c r="F85" t="str">
        <f>IFERROR(IF(ISNUMBER('Spending by Category'!G91),TEXT('Spending by Category'!G91,"0.00"), ""), "")</f>
        <v/>
      </c>
      <c r="G85" t="str">
        <f>IFERROR(IF(ISNUMBER('Spending by Category'!H91),TEXT('Spending by Category'!H91,"0.00"), ""), "")</f>
        <v/>
      </c>
      <c r="H85" t="str">
        <f>IFERROR(IF(ISNUMBER('Spending by Category'!I91),TEXT('Spending by Category'!I91,"0.00"), ""), "")</f>
        <v/>
      </c>
      <c r="I85" t="str">
        <f>IFERROR(IF(ISNUMBER('Spending by Category'!J91),TEXT('Spending by Category'!J91,"0.00"), ""), "")</f>
        <v/>
      </c>
      <c r="J85" t="str">
        <f>IFERROR(IF(ISNUMBER('Spending by Category'!B91),'Spending by Category'!N91, ""), "")</f>
        <v/>
      </c>
    </row>
    <row r="86" spans="1:10">
      <c r="A86" t="str">
        <f>TEXT(IF('Spending by Category'!B92&lt;&gt;0,'Spending by Category'!B92, ""), "mm/dd/yyyy")</f>
        <v/>
      </c>
      <c r="B86" t="str">
        <f>IFERROR(IF(ISNUMBER('Spending by Category'!C92),TEXT('Spending by Category'!C92,"0.00"), ""), "")</f>
        <v/>
      </c>
      <c r="C86" t="str">
        <f>IFERROR(IF(ISNUMBER('Spending by Category'!D92),TEXT('Spending by Category'!D92,"0.00"), ""), "")</f>
        <v/>
      </c>
      <c r="D86" t="str">
        <f>IFERROR(IF(ISNUMBER('Spending by Category'!E92),TEXT('Spending by Category'!E92,"0.00"), ""), "")</f>
        <v/>
      </c>
      <c r="E86" t="str">
        <f>IFERROR(IF(ISNUMBER('Spending by Category'!F92),TEXT('Spending by Category'!F92,"0.00"), ""), "")</f>
        <v/>
      </c>
      <c r="F86" t="str">
        <f>IFERROR(IF(ISNUMBER('Spending by Category'!G92),TEXT('Spending by Category'!G92,"0.00"), ""), "")</f>
        <v/>
      </c>
      <c r="G86" t="str">
        <f>IFERROR(IF(ISNUMBER('Spending by Category'!H92),TEXT('Spending by Category'!H92,"0.00"), ""), "")</f>
        <v/>
      </c>
      <c r="H86" t="str">
        <f>IFERROR(IF(ISNUMBER('Spending by Category'!I92),TEXT('Spending by Category'!I92,"0.00"), ""), "")</f>
        <v/>
      </c>
      <c r="I86" t="str">
        <f>IFERROR(IF(ISNUMBER('Spending by Category'!J92),TEXT('Spending by Category'!J92,"0.00"), ""), "")</f>
        <v/>
      </c>
      <c r="J86" t="str">
        <f>IFERROR(IF(ISNUMBER('Spending by Category'!B92),'Spending by Category'!N92, ""), "")</f>
        <v/>
      </c>
    </row>
    <row r="87" spans="1:10">
      <c r="A87" t="str">
        <f>TEXT(IF('Spending by Category'!B93&lt;&gt;0,'Spending by Category'!B93, ""), "mm/dd/yyyy")</f>
        <v/>
      </c>
      <c r="B87" t="str">
        <f>IFERROR(IF(ISNUMBER('Spending by Category'!C93),TEXT('Spending by Category'!C93,"0.00"), ""), "")</f>
        <v/>
      </c>
      <c r="C87" t="str">
        <f>IFERROR(IF(ISNUMBER('Spending by Category'!D93),TEXT('Spending by Category'!D93,"0.00"), ""), "")</f>
        <v/>
      </c>
      <c r="D87" t="str">
        <f>IFERROR(IF(ISNUMBER('Spending by Category'!E93),TEXT('Spending by Category'!E93,"0.00"), ""), "")</f>
        <v/>
      </c>
      <c r="E87" t="str">
        <f>IFERROR(IF(ISNUMBER('Spending by Category'!F93),TEXT('Spending by Category'!F93,"0.00"), ""), "")</f>
        <v/>
      </c>
      <c r="F87" t="str">
        <f>IFERROR(IF(ISNUMBER('Spending by Category'!G93),TEXT('Spending by Category'!G93,"0.00"), ""), "")</f>
        <v/>
      </c>
      <c r="G87" t="str">
        <f>IFERROR(IF(ISNUMBER('Spending by Category'!H93),TEXT('Spending by Category'!H93,"0.00"), ""), "")</f>
        <v/>
      </c>
      <c r="H87" t="str">
        <f>IFERROR(IF(ISNUMBER('Spending by Category'!I93),TEXT('Spending by Category'!I93,"0.00"), ""), "")</f>
        <v/>
      </c>
      <c r="I87" t="str">
        <f>IFERROR(IF(ISNUMBER('Spending by Category'!J93),TEXT('Spending by Category'!J93,"0.00"), ""), "")</f>
        <v/>
      </c>
      <c r="J87" t="str">
        <f>IFERROR(IF(ISNUMBER('Spending by Category'!B93),'Spending by Category'!N93, ""), "")</f>
        <v/>
      </c>
    </row>
    <row r="88" spans="1:10">
      <c r="A88" t="str">
        <f>TEXT(IF('Spending by Category'!B94&lt;&gt;0,'Spending by Category'!B94, ""), "mm/dd/yyyy")</f>
        <v/>
      </c>
      <c r="B88" t="str">
        <f>IFERROR(IF(ISNUMBER('Spending by Category'!C94),TEXT('Spending by Category'!C94,"0.00"), ""), "")</f>
        <v/>
      </c>
      <c r="C88" t="str">
        <f>IFERROR(IF(ISNUMBER('Spending by Category'!D94),TEXT('Spending by Category'!D94,"0.00"), ""), "")</f>
        <v/>
      </c>
      <c r="D88" t="str">
        <f>IFERROR(IF(ISNUMBER('Spending by Category'!E94),TEXT('Spending by Category'!E94,"0.00"), ""), "")</f>
        <v/>
      </c>
      <c r="E88" t="str">
        <f>IFERROR(IF(ISNUMBER('Spending by Category'!F94),TEXT('Spending by Category'!F94,"0.00"), ""), "")</f>
        <v/>
      </c>
      <c r="F88" t="str">
        <f>IFERROR(IF(ISNUMBER('Spending by Category'!G94),TEXT('Spending by Category'!G94,"0.00"), ""), "")</f>
        <v/>
      </c>
      <c r="G88" t="str">
        <f>IFERROR(IF(ISNUMBER('Spending by Category'!H94),TEXT('Spending by Category'!H94,"0.00"), ""), "")</f>
        <v/>
      </c>
      <c r="H88" t="str">
        <f>IFERROR(IF(ISNUMBER('Spending by Category'!I94),TEXT('Spending by Category'!I94,"0.00"), ""), "")</f>
        <v/>
      </c>
      <c r="I88" t="str">
        <f>IFERROR(IF(ISNUMBER('Spending by Category'!J94),TEXT('Spending by Category'!J94,"0.00"), ""), "")</f>
        <v/>
      </c>
      <c r="J88" t="str">
        <f>IFERROR(IF(ISNUMBER('Spending by Category'!B94),'Spending by Category'!N94, ""), "")</f>
        <v/>
      </c>
    </row>
    <row r="89" spans="1:10">
      <c r="A89" t="str">
        <f>TEXT(IF('Spending by Category'!B95&lt;&gt;0,'Spending by Category'!B95, ""), "mm/dd/yyyy")</f>
        <v/>
      </c>
      <c r="B89" t="str">
        <f>IFERROR(IF(ISNUMBER('Spending by Category'!C95),TEXT('Spending by Category'!C95,"0.00"), ""), "")</f>
        <v/>
      </c>
      <c r="C89" t="str">
        <f>IFERROR(IF(ISNUMBER('Spending by Category'!D95),TEXT('Spending by Category'!D95,"0.00"), ""), "")</f>
        <v/>
      </c>
      <c r="D89" t="str">
        <f>IFERROR(IF(ISNUMBER('Spending by Category'!E95),TEXT('Spending by Category'!E95,"0.00"), ""), "")</f>
        <v/>
      </c>
      <c r="E89" t="str">
        <f>IFERROR(IF(ISNUMBER('Spending by Category'!F95),TEXT('Spending by Category'!F95,"0.00"), ""), "")</f>
        <v/>
      </c>
      <c r="F89" t="str">
        <f>IFERROR(IF(ISNUMBER('Spending by Category'!G95),TEXT('Spending by Category'!G95,"0.00"), ""), "")</f>
        <v/>
      </c>
      <c r="G89" t="str">
        <f>IFERROR(IF(ISNUMBER('Spending by Category'!H95),TEXT('Spending by Category'!H95,"0.00"), ""), "")</f>
        <v/>
      </c>
      <c r="H89" t="str">
        <f>IFERROR(IF(ISNUMBER('Spending by Category'!I95),TEXT('Spending by Category'!I95,"0.00"), ""), "")</f>
        <v/>
      </c>
      <c r="I89" t="str">
        <f>IFERROR(IF(ISNUMBER('Spending by Category'!J95),TEXT('Spending by Category'!J95,"0.00"), ""), "")</f>
        <v/>
      </c>
      <c r="J89" t="str">
        <f>IFERROR(IF(ISNUMBER('Spending by Category'!B95),'Spending by Category'!N95, ""), "")</f>
        <v/>
      </c>
    </row>
    <row r="90" spans="1:10">
      <c r="A90" t="str">
        <f>TEXT(IF('Spending by Category'!B96&lt;&gt;0,'Spending by Category'!B96, ""), "mm/dd/yyyy")</f>
        <v/>
      </c>
      <c r="B90" t="str">
        <f>IFERROR(IF(ISNUMBER('Spending by Category'!C96),TEXT('Spending by Category'!C96,"0.00"), ""), "")</f>
        <v/>
      </c>
      <c r="C90" t="str">
        <f>IFERROR(IF(ISNUMBER('Spending by Category'!D96),TEXT('Spending by Category'!D96,"0.00"), ""), "")</f>
        <v/>
      </c>
      <c r="D90" t="str">
        <f>IFERROR(IF(ISNUMBER('Spending by Category'!E96),TEXT('Spending by Category'!E96,"0.00"), ""), "")</f>
        <v/>
      </c>
      <c r="E90" t="str">
        <f>IFERROR(IF(ISNUMBER('Spending by Category'!F96),TEXT('Spending by Category'!F96,"0.00"), ""), "")</f>
        <v/>
      </c>
      <c r="F90" t="str">
        <f>IFERROR(IF(ISNUMBER('Spending by Category'!G96),TEXT('Spending by Category'!G96,"0.00"), ""), "")</f>
        <v/>
      </c>
      <c r="G90" t="str">
        <f>IFERROR(IF(ISNUMBER('Spending by Category'!H96),TEXT('Spending by Category'!H96,"0.00"), ""), "")</f>
        <v/>
      </c>
      <c r="H90" t="str">
        <f>IFERROR(IF(ISNUMBER('Spending by Category'!I96),TEXT('Spending by Category'!I96,"0.00"), ""), "")</f>
        <v/>
      </c>
      <c r="I90" t="str">
        <f>IFERROR(IF(ISNUMBER('Spending by Category'!J96),TEXT('Spending by Category'!J96,"0.00"), ""), "")</f>
        <v/>
      </c>
      <c r="J90" t="str">
        <f>IFERROR(IF(ISNUMBER('Spending by Category'!B96),'Spending by Category'!N96, ""), "")</f>
        <v/>
      </c>
    </row>
    <row r="91" spans="1:10">
      <c r="A91" t="str">
        <f>TEXT(IF('Spending by Category'!B97&lt;&gt;0,'Spending by Category'!B97, ""), "mm/dd/yyyy")</f>
        <v/>
      </c>
      <c r="B91" t="str">
        <f>IFERROR(IF(ISNUMBER('Spending by Category'!C97),TEXT('Spending by Category'!C97,"0.00"), ""), "")</f>
        <v/>
      </c>
      <c r="C91" t="str">
        <f>IFERROR(IF(ISNUMBER('Spending by Category'!D97),TEXT('Spending by Category'!D97,"0.00"), ""), "")</f>
        <v/>
      </c>
      <c r="D91" t="str">
        <f>IFERROR(IF(ISNUMBER('Spending by Category'!E97),TEXT('Spending by Category'!E97,"0.00"), ""), "")</f>
        <v/>
      </c>
      <c r="E91" t="str">
        <f>IFERROR(IF(ISNUMBER('Spending by Category'!F97),TEXT('Spending by Category'!F97,"0.00"), ""), "")</f>
        <v/>
      </c>
      <c r="F91" t="str">
        <f>IFERROR(IF(ISNUMBER('Spending by Category'!G97),TEXT('Spending by Category'!G97,"0.00"), ""), "")</f>
        <v/>
      </c>
      <c r="G91" t="str">
        <f>IFERROR(IF(ISNUMBER('Spending by Category'!H97),TEXT('Spending by Category'!H97,"0.00"), ""), "")</f>
        <v/>
      </c>
      <c r="H91" t="str">
        <f>IFERROR(IF(ISNUMBER('Spending by Category'!I97),TEXT('Spending by Category'!I97,"0.00"), ""), "")</f>
        <v/>
      </c>
      <c r="I91" t="str">
        <f>IFERROR(IF(ISNUMBER('Spending by Category'!J97),TEXT('Spending by Category'!J97,"0.00"), ""), "")</f>
        <v/>
      </c>
      <c r="J91" t="str">
        <f>IFERROR(IF(ISNUMBER('Spending by Category'!B97),'Spending by Category'!N97, ""), "")</f>
        <v/>
      </c>
    </row>
    <row r="92" spans="1:10">
      <c r="A92" t="str">
        <f>TEXT(IF('Spending by Category'!B98&lt;&gt;0,'Spending by Category'!B98, ""), "mm/dd/yyyy")</f>
        <v/>
      </c>
      <c r="B92" t="str">
        <f>IFERROR(IF(ISNUMBER('Spending by Category'!C98),TEXT('Spending by Category'!C98,"0.00"), ""), "")</f>
        <v/>
      </c>
      <c r="C92" t="str">
        <f>IFERROR(IF(ISNUMBER('Spending by Category'!D98),TEXT('Spending by Category'!D98,"0.00"), ""), "")</f>
        <v/>
      </c>
      <c r="D92" t="str">
        <f>IFERROR(IF(ISNUMBER('Spending by Category'!E98),TEXT('Spending by Category'!E98,"0.00"), ""), "")</f>
        <v/>
      </c>
      <c r="E92" t="str">
        <f>IFERROR(IF(ISNUMBER('Spending by Category'!F98),TEXT('Spending by Category'!F98,"0.00"), ""), "")</f>
        <v/>
      </c>
      <c r="F92" t="str">
        <f>IFERROR(IF(ISNUMBER('Spending by Category'!G98),TEXT('Spending by Category'!G98,"0.00"), ""), "")</f>
        <v/>
      </c>
      <c r="G92" t="str">
        <f>IFERROR(IF(ISNUMBER('Spending by Category'!H98),TEXT('Spending by Category'!H98,"0.00"), ""), "")</f>
        <v/>
      </c>
      <c r="H92" t="str">
        <f>IFERROR(IF(ISNUMBER('Spending by Category'!I98),TEXT('Spending by Category'!I98,"0.00"), ""), "")</f>
        <v/>
      </c>
      <c r="I92" t="str">
        <f>IFERROR(IF(ISNUMBER('Spending by Category'!J98),TEXT('Spending by Category'!J98,"0.00"), ""), "")</f>
        <v/>
      </c>
      <c r="J92" t="str">
        <f>IFERROR(IF(ISNUMBER('Spending by Category'!B98),'Spending by Category'!N98, ""), "")</f>
        <v/>
      </c>
    </row>
    <row r="93" spans="1:10">
      <c r="A93" t="str">
        <f>TEXT(IF('Spending by Category'!B99&lt;&gt;0,'Spending by Category'!B99, ""), "mm/dd/yyyy")</f>
        <v/>
      </c>
      <c r="B93" t="str">
        <f>IFERROR(IF(ISNUMBER('Spending by Category'!C99),TEXT('Spending by Category'!C99,"0.00"), ""), "")</f>
        <v/>
      </c>
      <c r="C93" t="str">
        <f>IFERROR(IF(ISNUMBER('Spending by Category'!D99),TEXT('Spending by Category'!D99,"0.00"), ""), "")</f>
        <v/>
      </c>
      <c r="D93" t="str">
        <f>IFERROR(IF(ISNUMBER('Spending by Category'!E99),TEXT('Spending by Category'!E99,"0.00"), ""), "")</f>
        <v/>
      </c>
      <c r="E93" t="str">
        <f>IFERROR(IF(ISNUMBER('Spending by Category'!F99),TEXT('Spending by Category'!F99,"0.00"), ""), "")</f>
        <v/>
      </c>
      <c r="F93" t="str">
        <f>IFERROR(IF(ISNUMBER('Spending by Category'!G99),TEXT('Spending by Category'!G99,"0.00"), ""), "")</f>
        <v/>
      </c>
      <c r="G93" t="str">
        <f>IFERROR(IF(ISNUMBER('Spending by Category'!H99),TEXT('Spending by Category'!H99,"0.00"), ""), "")</f>
        <v/>
      </c>
      <c r="H93" t="str">
        <f>IFERROR(IF(ISNUMBER('Spending by Category'!I99),TEXT('Spending by Category'!I99,"0.00"), ""), "")</f>
        <v/>
      </c>
      <c r="I93" t="str">
        <f>IFERROR(IF(ISNUMBER('Spending by Category'!J99),TEXT('Spending by Category'!J99,"0.00"), ""), "")</f>
        <v/>
      </c>
      <c r="J93" t="str">
        <f>IFERROR(IF(ISNUMBER('Spending by Category'!B99),'Spending by Category'!N99, ""), "")</f>
        <v/>
      </c>
    </row>
    <row r="94" spans="1:10">
      <c r="A94" t="str">
        <f>TEXT(IF('Spending by Category'!B100&lt;&gt;0,'Spending by Category'!B100, ""), "mm/dd/yyyy")</f>
        <v/>
      </c>
      <c r="B94" t="str">
        <f>IFERROR(IF(ISNUMBER('Spending by Category'!C100),TEXT('Spending by Category'!C100,"0.00"), ""), "")</f>
        <v/>
      </c>
      <c r="C94" t="str">
        <f>IFERROR(IF(ISNUMBER('Spending by Category'!D100),TEXT('Spending by Category'!D100,"0.00"), ""), "")</f>
        <v/>
      </c>
      <c r="D94" t="str">
        <f>IFERROR(IF(ISNUMBER('Spending by Category'!E100),TEXT('Spending by Category'!E100,"0.00"), ""), "")</f>
        <v/>
      </c>
      <c r="E94" t="str">
        <f>IFERROR(IF(ISNUMBER('Spending by Category'!F100),TEXT('Spending by Category'!F100,"0.00"), ""), "")</f>
        <v/>
      </c>
      <c r="F94" t="str">
        <f>IFERROR(IF(ISNUMBER('Spending by Category'!G100),TEXT('Spending by Category'!G100,"0.00"), ""), "")</f>
        <v/>
      </c>
      <c r="G94" t="str">
        <f>IFERROR(IF(ISNUMBER('Spending by Category'!H100),TEXT('Spending by Category'!H100,"0.00"), ""), "")</f>
        <v/>
      </c>
      <c r="H94" t="str">
        <f>IFERROR(IF(ISNUMBER('Spending by Category'!I100),TEXT('Spending by Category'!I100,"0.00"), ""), "")</f>
        <v/>
      </c>
      <c r="I94" t="str">
        <f>IFERROR(IF(ISNUMBER('Spending by Category'!J100),TEXT('Spending by Category'!J100,"0.00"), ""), "")</f>
        <v/>
      </c>
      <c r="J94" t="str">
        <f>IFERROR(IF(ISNUMBER('Spending by Category'!B100),'Spending by Category'!N100, ""), "")</f>
        <v/>
      </c>
    </row>
    <row r="95" spans="1:10">
      <c r="A95" t="str">
        <f>TEXT(IF('Spending by Category'!B101&lt;&gt;0,'Spending by Category'!B101, ""), "mm/dd/yyyy")</f>
        <v/>
      </c>
      <c r="B95" t="str">
        <f>IFERROR(IF(ISNUMBER('Spending by Category'!C101),TEXT('Spending by Category'!C101,"0.00"), ""), "")</f>
        <v/>
      </c>
      <c r="C95" t="str">
        <f>IFERROR(IF(ISNUMBER('Spending by Category'!D101),TEXT('Spending by Category'!D101,"0.00"), ""), "")</f>
        <v/>
      </c>
      <c r="D95" t="str">
        <f>IFERROR(IF(ISNUMBER('Spending by Category'!E101),TEXT('Spending by Category'!E101,"0.00"), ""), "")</f>
        <v/>
      </c>
      <c r="E95" t="str">
        <f>IFERROR(IF(ISNUMBER('Spending by Category'!F101),TEXT('Spending by Category'!F101,"0.00"), ""), "")</f>
        <v/>
      </c>
      <c r="F95" t="str">
        <f>IFERROR(IF(ISNUMBER('Spending by Category'!G101),TEXT('Spending by Category'!G101,"0.00"), ""), "")</f>
        <v/>
      </c>
      <c r="G95" t="str">
        <f>IFERROR(IF(ISNUMBER('Spending by Category'!H101),TEXT('Spending by Category'!H101,"0.00"), ""), "")</f>
        <v/>
      </c>
      <c r="H95" t="str">
        <f>IFERROR(IF(ISNUMBER('Spending by Category'!I101),TEXT('Spending by Category'!I101,"0.00"), ""), "")</f>
        <v/>
      </c>
      <c r="I95" t="str">
        <f>IFERROR(IF(ISNUMBER('Spending by Category'!J101),TEXT('Spending by Category'!J101,"0.00"), ""), "")</f>
        <v/>
      </c>
      <c r="J95" t="str">
        <f>IFERROR(IF(ISNUMBER('Spending by Category'!B101),'Spending by Category'!N101, ""), "")</f>
        <v/>
      </c>
    </row>
    <row r="96" spans="1:10">
      <c r="A96" t="str">
        <f>TEXT(IF('Spending by Category'!B102&lt;&gt;0,'Spending by Category'!B102, ""), "mm/dd/yyyy")</f>
        <v/>
      </c>
      <c r="B96" t="str">
        <f>IFERROR(IF(ISNUMBER('Spending by Category'!C102),TEXT('Spending by Category'!C102,"0.00"), ""), "")</f>
        <v/>
      </c>
      <c r="C96" t="str">
        <f>IFERROR(IF(ISNUMBER('Spending by Category'!D102),TEXT('Spending by Category'!D102,"0.00"), ""), "")</f>
        <v/>
      </c>
      <c r="D96" t="str">
        <f>IFERROR(IF(ISNUMBER('Spending by Category'!E102),TEXT('Spending by Category'!E102,"0.00"), ""), "")</f>
        <v/>
      </c>
      <c r="E96" t="str">
        <f>IFERROR(IF(ISNUMBER('Spending by Category'!F102),TEXT('Spending by Category'!F102,"0.00"), ""), "")</f>
        <v/>
      </c>
      <c r="F96" t="str">
        <f>IFERROR(IF(ISNUMBER('Spending by Category'!G102),TEXT('Spending by Category'!G102,"0.00"), ""), "")</f>
        <v/>
      </c>
      <c r="G96" t="str">
        <f>IFERROR(IF(ISNUMBER('Spending by Category'!H102),TEXT('Spending by Category'!H102,"0.00"), ""), "")</f>
        <v/>
      </c>
      <c r="H96" t="str">
        <f>IFERROR(IF(ISNUMBER('Spending by Category'!I102),TEXT('Spending by Category'!I102,"0.00"), ""), "")</f>
        <v/>
      </c>
      <c r="I96" t="str">
        <f>IFERROR(IF(ISNUMBER('Spending by Category'!J102),TEXT('Spending by Category'!J102,"0.00"), ""), "")</f>
        <v/>
      </c>
      <c r="J96" t="str">
        <f>IFERROR(IF(ISNUMBER('Spending by Category'!B102),'Spending by Category'!N102, ""), "")</f>
        <v/>
      </c>
    </row>
    <row r="97" spans="1:10">
      <c r="A97" t="str">
        <f>TEXT(IF('Spending by Category'!B103&lt;&gt;0,'Spending by Category'!B103, ""), "mm/dd/yyyy")</f>
        <v/>
      </c>
      <c r="B97" t="str">
        <f>IFERROR(IF(ISNUMBER('Spending by Category'!C103),TEXT('Spending by Category'!C103,"0.00"), ""), "")</f>
        <v/>
      </c>
      <c r="C97" t="str">
        <f>IFERROR(IF(ISNUMBER('Spending by Category'!D103),TEXT('Spending by Category'!D103,"0.00"), ""), "")</f>
        <v/>
      </c>
      <c r="D97" t="str">
        <f>IFERROR(IF(ISNUMBER('Spending by Category'!E103),TEXT('Spending by Category'!E103,"0.00"), ""), "")</f>
        <v/>
      </c>
      <c r="E97" t="str">
        <f>IFERROR(IF(ISNUMBER('Spending by Category'!F103),TEXT('Spending by Category'!F103,"0.00"), ""), "")</f>
        <v/>
      </c>
      <c r="F97" t="str">
        <f>IFERROR(IF(ISNUMBER('Spending by Category'!G103),TEXT('Spending by Category'!G103,"0.00"), ""), "")</f>
        <v/>
      </c>
      <c r="G97" t="str">
        <f>IFERROR(IF(ISNUMBER('Spending by Category'!H103),TEXT('Spending by Category'!H103,"0.00"), ""), "")</f>
        <v/>
      </c>
      <c r="H97" t="str">
        <f>IFERROR(IF(ISNUMBER('Spending by Category'!I103),TEXT('Spending by Category'!I103,"0.00"), ""), "")</f>
        <v/>
      </c>
      <c r="I97" t="str">
        <f>IFERROR(IF(ISNUMBER('Spending by Category'!J103),TEXT('Spending by Category'!J103,"0.00"), ""), "")</f>
        <v/>
      </c>
      <c r="J97" t="str">
        <f>IFERROR(IF(ISNUMBER('Spending by Category'!B103),'Spending by Category'!N103, ""), "")</f>
        <v/>
      </c>
    </row>
    <row r="98" spans="1:10">
      <c r="A98" t="str">
        <f>TEXT(IF('Spending by Category'!B104&lt;&gt;0,'Spending by Category'!B104, ""), "mm/dd/yyyy")</f>
        <v/>
      </c>
      <c r="B98" t="str">
        <f>IFERROR(IF(ISNUMBER('Spending by Category'!C104),TEXT('Spending by Category'!C104,"0.00"), ""), "")</f>
        <v/>
      </c>
      <c r="C98" t="str">
        <f>IFERROR(IF(ISNUMBER('Spending by Category'!D104),TEXT('Spending by Category'!D104,"0.00"), ""), "")</f>
        <v/>
      </c>
      <c r="D98" t="str">
        <f>IFERROR(IF(ISNUMBER('Spending by Category'!E104),TEXT('Spending by Category'!E104,"0.00"), ""), "")</f>
        <v/>
      </c>
      <c r="E98" t="str">
        <f>IFERROR(IF(ISNUMBER('Spending by Category'!F104),TEXT('Spending by Category'!F104,"0.00"), ""), "")</f>
        <v/>
      </c>
      <c r="F98" t="str">
        <f>IFERROR(IF(ISNUMBER('Spending by Category'!G104),TEXT('Spending by Category'!G104,"0.00"), ""), "")</f>
        <v/>
      </c>
      <c r="G98" t="str">
        <f>IFERROR(IF(ISNUMBER('Spending by Category'!H104),TEXT('Spending by Category'!H104,"0.00"), ""), "")</f>
        <v/>
      </c>
      <c r="H98" t="str">
        <f>IFERROR(IF(ISNUMBER('Spending by Category'!I104),TEXT('Spending by Category'!I104,"0.00"), ""), "")</f>
        <v/>
      </c>
      <c r="I98" t="str">
        <f>IFERROR(IF(ISNUMBER('Spending by Category'!J104),TEXT('Spending by Category'!J104,"0.00"), ""), "")</f>
        <v/>
      </c>
      <c r="J98" t="str">
        <f>IFERROR(IF(ISNUMBER('Spending by Category'!B104),'Spending by Category'!N104, ""), "")</f>
        <v/>
      </c>
    </row>
    <row r="99" spans="1:10">
      <c r="A99" t="str">
        <f>TEXT(IF('Spending by Category'!B105&lt;&gt;0,'Spending by Category'!B105, ""), "mm/dd/yyyy")</f>
        <v/>
      </c>
      <c r="B99" t="str">
        <f>IFERROR(IF(ISNUMBER('Spending by Category'!C105),TEXT('Spending by Category'!C105,"0.00"), ""), "")</f>
        <v/>
      </c>
      <c r="C99" t="str">
        <f>IFERROR(IF(ISNUMBER('Spending by Category'!D105),TEXT('Spending by Category'!D105,"0.00"), ""), "")</f>
        <v/>
      </c>
      <c r="D99" t="str">
        <f>IFERROR(IF(ISNUMBER('Spending by Category'!E105),TEXT('Spending by Category'!E105,"0.00"), ""), "")</f>
        <v/>
      </c>
      <c r="E99" t="str">
        <f>IFERROR(IF(ISNUMBER('Spending by Category'!F105),TEXT('Spending by Category'!F105,"0.00"), ""), "")</f>
        <v/>
      </c>
      <c r="F99" t="str">
        <f>IFERROR(IF(ISNUMBER('Spending by Category'!G105),TEXT('Spending by Category'!G105,"0.00"), ""), "")</f>
        <v/>
      </c>
      <c r="G99" t="str">
        <f>IFERROR(IF(ISNUMBER('Spending by Category'!H105),TEXT('Spending by Category'!H105,"0.00"), ""), "")</f>
        <v/>
      </c>
      <c r="H99" t="str">
        <f>IFERROR(IF(ISNUMBER('Spending by Category'!I105),TEXT('Spending by Category'!I105,"0.00"), ""), "")</f>
        <v/>
      </c>
      <c r="I99" t="str">
        <f>IFERROR(IF(ISNUMBER('Spending by Category'!J105),TEXT('Spending by Category'!J105,"0.00"), ""), "")</f>
        <v/>
      </c>
      <c r="J99" t="str">
        <f>IFERROR(IF(ISNUMBER('Spending by Category'!B105),'Spending by Category'!N105, ""), "")</f>
        <v/>
      </c>
    </row>
    <row r="100" spans="1:10">
      <c r="A100" t="str">
        <f>TEXT(IF('Spending by Category'!B106&lt;&gt;0,'Spending by Category'!B106, ""), "mm/dd/yyyy")</f>
        <v/>
      </c>
      <c r="B100" t="str">
        <f>IFERROR(IF(ISNUMBER('Spending by Category'!C106),TEXT('Spending by Category'!C106,"0.00"), ""), "")</f>
        <v/>
      </c>
      <c r="C100" t="str">
        <f>IFERROR(IF(ISNUMBER('Spending by Category'!D106),TEXT('Spending by Category'!D106,"0.00"), ""), "")</f>
        <v/>
      </c>
      <c r="D100" t="str">
        <f>IFERROR(IF(ISNUMBER('Spending by Category'!E106),TEXT('Spending by Category'!E106,"0.00"), ""), "")</f>
        <v/>
      </c>
      <c r="E100" t="str">
        <f>IFERROR(IF(ISNUMBER('Spending by Category'!F106),TEXT('Spending by Category'!F106,"0.00"), ""), "")</f>
        <v/>
      </c>
      <c r="F100" t="str">
        <f>IFERROR(IF(ISNUMBER('Spending by Category'!G106),TEXT('Spending by Category'!G106,"0.00"), ""), "")</f>
        <v/>
      </c>
      <c r="G100" t="str">
        <f>IFERROR(IF(ISNUMBER('Spending by Category'!H106),TEXT('Spending by Category'!H106,"0.00"), ""), "")</f>
        <v/>
      </c>
      <c r="H100" t="str">
        <f>IFERROR(IF(ISNUMBER('Spending by Category'!I106),TEXT('Spending by Category'!I106,"0.00"), ""), "")</f>
        <v/>
      </c>
      <c r="I100" t="str">
        <f>IFERROR(IF(ISNUMBER('Spending by Category'!J106),TEXT('Spending by Category'!J106,"0.00"), ""), "")</f>
        <v/>
      </c>
      <c r="J100" t="str">
        <f>IFERROR(IF(ISNUMBER('Spending by Category'!B106),'Spending by Category'!N106, ""), "")</f>
        <v/>
      </c>
    </row>
    <row r="101" spans="1:10">
      <c r="A101" t="str">
        <f>TEXT(IF('Spending by Category'!B107&lt;&gt;0,'Spending by Category'!B107, ""), "mm/dd/yyyy")</f>
        <v/>
      </c>
      <c r="B101" t="str">
        <f>IFERROR(IF(ISNUMBER('Spending by Category'!C107),TEXT('Spending by Category'!C107,"0.00"), ""), "")</f>
        <v/>
      </c>
      <c r="C101" t="str">
        <f>IFERROR(IF(ISNUMBER('Spending by Category'!D107),TEXT('Spending by Category'!D107,"0.00"), ""), "")</f>
        <v/>
      </c>
      <c r="D101" t="str">
        <f>IFERROR(IF(ISNUMBER('Spending by Category'!E107),TEXT('Spending by Category'!E107,"0.00"), ""), "")</f>
        <v/>
      </c>
      <c r="E101" t="str">
        <f>IFERROR(IF(ISNUMBER('Spending by Category'!F107),TEXT('Spending by Category'!F107,"0.00"), ""), "")</f>
        <v/>
      </c>
      <c r="F101" t="str">
        <f>IFERROR(IF(ISNUMBER('Spending by Category'!G107),TEXT('Spending by Category'!G107,"0.00"), ""), "")</f>
        <v/>
      </c>
      <c r="G101" t="str">
        <f>IFERROR(IF(ISNUMBER('Spending by Category'!H107),TEXT('Spending by Category'!H107,"0.00"), ""), "")</f>
        <v/>
      </c>
      <c r="H101" t="str">
        <f>IFERROR(IF(ISNUMBER('Spending by Category'!I107),TEXT('Spending by Category'!I107,"0.00"), ""), "")</f>
        <v/>
      </c>
      <c r="I101" t="str">
        <f>IFERROR(IF(ISNUMBER('Spending by Category'!J107),TEXT('Spending by Category'!J107,"0.00"), ""), "")</f>
        <v/>
      </c>
      <c r="J101" t="str">
        <f>IFERROR(IF(ISNUMBER('Spending by Category'!B107),'Spending by Category'!N107, ""), "")</f>
        <v/>
      </c>
    </row>
    <row r="102" spans="1:10">
      <c r="A102" t="str">
        <f>TEXT(IF('Spending by Category'!B108&lt;&gt;0,'Spending by Category'!B108, ""), "mm/dd/yyyy")</f>
        <v/>
      </c>
      <c r="B102" t="str">
        <f>IFERROR(IF(ISNUMBER('Spending by Category'!C108),TEXT('Spending by Category'!C108,"0.00"), ""), "")</f>
        <v/>
      </c>
      <c r="C102" t="str">
        <f>IFERROR(IF(ISNUMBER('Spending by Category'!D108),TEXT('Spending by Category'!D108,"0.00"), ""), "")</f>
        <v/>
      </c>
      <c r="D102" t="str">
        <f>IFERROR(IF(ISNUMBER('Spending by Category'!E108),TEXT('Spending by Category'!E108,"0.00"), ""), "")</f>
        <v/>
      </c>
      <c r="E102" t="str">
        <f>IFERROR(IF(ISNUMBER('Spending by Category'!F108),TEXT('Spending by Category'!F108,"0.00"), ""), "")</f>
        <v/>
      </c>
      <c r="F102" t="str">
        <f>IFERROR(IF(ISNUMBER('Spending by Category'!G108),TEXT('Spending by Category'!G108,"0.00"), ""), "")</f>
        <v/>
      </c>
      <c r="G102" t="str">
        <f>IFERROR(IF(ISNUMBER('Spending by Category'!H108),TEXT('Spending by Category'!H108,"0.00"), ""), "")</f>
        <v/>
      </c>
      <c r="H102" t="str">
        <f>IFERROR(IF(ISNUMBER('Spending by Category'!I108),TEXT('Spending by Category'!I108,"0.00"), ""), "")</f>
        <v/>
      </c>
      <c r="I102" t="str">
        <f>IFERROR(IF(ISNUMBER('Spending by Category'!J108),TEXT('Spending by Category'!J108,"0.00"), ""), "")</f>
        <v/>
      </c>
      <c r="J102" t="str">
        <f>IFERROR(IF(ISNUMBER('Spending by Category'!B108),'Spending by Category'!N108, ""), "")</f>
        <v/>
      </c>
    </row>
    <row r="103" spans="1:10">
      <c r="A103" t="str">
        <f>TEXT(IF('Spending by Category'!B109&lt;&gt;0,'Spending by Category'!B109, ""), "mm/dd/yyyy")</f>
        <v/>
      </c>
      <c r="B103" t="str">
        <f>IFERROR(IF(ISNUMBER('Spending by Category'!C109),TEXT('Spending by Category'!C109,"0.00"), ""), "")</f>
        <v/>
      </c>
      <c r="C103" t="str">
        <f>IFERROR(IF(ISNUMBER('Spending by Category'!D109),TEXT('Spending by Category'!D109,"0.00"), ""), "")</f>
        <v/>
      </c>
      <c r="D103" t="str">
        <f>IFERROR(IF(ISNUMBER('Spending by Category'!E109),TEXT('Spending by Category'!E109,"0.00"), ""), "")</f>
        <v/>
      </c>
      <c r="E103" t="str">
        <f>IFERROR(IF(ISNUMBER('Spending by Category'!F109),TEXT('Spending by Category'!F109,"0.00"), ""), "")</f>
        <v/>
      </c>
      <c r="F103" t="str">
        <f>IFERROR(IF(ISNUMBER('Spending by Category'!G109),TEXT('Spending by Category'!G109,"0.00"), ""), "")</f>
        <v/>
      </c>
      <c r="G103" t="str">
        <f>IFERROR(IF(ISNUMBER('Spending by Category'!H109),TEXT('Spending by Category'!H109,"0.00"), ""), "")</f>
        <v/>
      </c>
      <c r="H103" t="str">
        <f>IFERROR(IF(ISNUMBER('Spending by Category'!I109),TEXT('Spending by Category'!I109,"0.00"), ""), "")</f>
        <v/>
      </c>
      <c r="I103" t="str">
        <f>IFERROR(IF(ISNUMBER('Spending by Category'!J109),TEXT('Spending by Category'!J109,"0.00"), ""), "")</f>
        <v/>
      </c>
      <c r="J103" t="str">
        <f>IFERROR(IF(ISNUMBER('Spending by Category'!B109),'Spending by Category'!N109, ""), "")</f>
        <v/>
      </c>
    </row>
    <row r="104" spans="1:10">
      <c r="A104" t="str">
        <f>TEXT(IF('Spending by Category'!B110&lt;&gt;0,'Spending by Category'!B110, ""), "mm/dd/yyyy")</f>
        <v/>
      </c>
      <c r="B104" t="str">
        <f>IFERROR(IF(ISNUMBER('Spending by Category'!C110),TEXT('Spending by Category'!C110,"0.00"), ""), "")</f>
        <v/>
      </c>
      <c r="C104" t="str">
        <f>IFERROR(IF(ISNUMBER('Spending by Category'!D110),TEXT('Spending by Category'!D110,"0.00"), ""), "")</f>
        <v/>
      </c>
      <c r="D104" t="str">
        <f>IFERROR(IF(ISNUMBER('Spending by Category'!E110),TEXT('Spending by Category'!E110,"0.00"), ""), "")</f>
        <v/>
      </c>
      <c r="E104" t="str">
        <f>IFERROR(IF(ISNUMBER('Spending by Category'!F110),TEXT('Spending by Category'!F110,"0.00"), ""), "")</f>
        <v/>
      </c>
      <c r="F104" t="str">
        <f>IFERROR(IF(ISNUMBER('Spending by Category'!G110),TEXT('Spending by Category'!G110,"0.00"), ""), "")</f>
        <v/>
      </c>
      <c r="G104" t="str">
        <f>IFERROR(IF(ISNUMBER('Spending by Category'!H110),TEXT('Spending by Category'!H110,"0.00"), ""), "")</f>
        <v/>
      </c>
      <c r="H104" t="str">
        <f>IFERROR(IF(ISNUMBER('Spending by Category'!I110),TEXT('Spending by Category'!I110,"0.00"), ""), "")</f>
        <v/>
      </c>
      <c r="I104" t="str">
        <f>IFERROR(IF(ISNUMBER('Spending by Category'!J110),TEXT('Spending by Category'!J110,"0.00"), ""), "")</f>
        <v/>
      </c>
      <c r="J104" t="str">
        <f>IFERROR(IF(ISNUMBER('Spending by Category'!B110),'Spending by Category'!N110, ""), "")</f>
        <v/>
      </c>
    </row>
    <row r="105" spans="1:10">
      <c r="A105" t="str">
        <f>TEXT(IF('Spending by Category'!B111&lt;&gt;0,'Spending by Category'!B111, ""), "mm/dd/yyyy")</f>
        <v/>
      </c>
      <c r="B105" t="str">
        <f>IFERROR(IF(ISNUMBER('Spending by Category'!C111),TEXT('Spending by Category'!C111,"0.00"), ""), "")</f>
        <v/>
      </c>
      <c r="C105" t="str">
        <f>IFERROR(IF(ISNUMBER('Spending by Category'!D111),TEXT('Spending by Category'!D111,"0.00"), ""), "")</f>
        <v/>
      </c>
      <c r="D105" t="str">
        <f>IFERROR(IF(ISNUMBER('Spending by Category'!E111),TEXT('Spending by Category'!E111,"0.00"), ""), "")</f>
        <v/>
      </c>
      <c r="E105" t="str">
        <f>IFERROR(IF(ISNUMBER('Spending by Category'!F111),TEXT('Spending by Category'!F111,"0.00"), ""), "")</f>
        <v/>
      </c>
      <c r="F105" t="str">
        <f>IFERROR(IF(ISNUMBER('Spending by Category'!G111),TEXT('Spending by Category'!G111,"0.00"), ""), "")</f>
        <v/>
      </c>
      <c r="G105" t="str">
        <f>IFERROR(IF(ISNUMBER('Spending by Category'!H111),TEXT('Spending by Category'!H111,"0.00"), ""), "")</f>
        <v/>
      </c>
      <c r="H105" t="str">
        <f>IFERROR(IF(ISNUMBER('Spending by Category'!I111),TEXT('Spending by Category'!I111,"0.00"), ""), "")</f>
        <v/>
      </c>
      <c r="I105" t="str">
        <f>IFERROR(IF(ISNUMBER('Spending by Category'!J111),TEXT('Spending by Category'!J111,"0.00"), ""), "")</f>
        <v/>
      </c>
      <c r="J105" t="str">
        <f>IFERROR(IF(ISNUMBER('Spending by Category'!B111),'Spending by Category'!N111, ""), "")</f>
        <v/>
      </c>
    </row>
    <row r="106" spans="1:10">
      <c r="A106" t="str">
        <f>TEXT(IF('Spending by Category'!B112&lt;&gt;0,'Spending by Category'!B112, ""), "mm/dd/yyyy")</f>
        <v/>
      </c>
      <c r="B106" t="str">
        <f>IFERROR(IF(ISNUMBER('Spending by Category'!C112),TEXT('Spending by Category'!C112,"0.00"), ""), "")</f>
        <v/>
      </c>
      <c r="C106" t="str">
        <f>IFERROR(IF(ISNUMBER('Spending by Category'!D112),TEXT('Spending by Category'!D112,"0.00"), ""), "")</f>
        <v/>
      </c>
      <c r="D106" t="str">
        <f>IFERROR(IF(ISNUMBER('Spending by Category'!E112),TEXT('Spending by Category'!E112,"0.00"), ""), "")</f>
        <v/>
      </c>
      <c r="E106" t="str">
        <f>IFERROR(IF(ISNUMBER('Spending by Category'!F112),TEXT('Spending by Category'!F112,"0.00"), ""), "")</f>
        <v/>
      </c>
      <c r="F106" t="str">
        <f>IFERROR(IF(ISNUMBER('Spending by Category'!G112),TEXT('Spending by Category'!G112,"0.00"), ""), "")</f>
        <v/>
      </c>
      <c r="G106" t="str">
        <f>IFERROR(IF(ISNUMBER('Spending by Category'!H112),TEXT('Spending by Category'!H112,"0.00"), ""), "")</f>
        <v/>
      </c>
      <c r="H106" t="str">
        <f>IFERROR(IF(ISNUMBER('Spending by Category'!I112),TEXT('Spending by Category'!I112,"0.00"), ""), "")</f>
        <v/>
      </c>
      <c r="I106" t="str">
        <f>IFERROR(IF(ISNUMBER('Spending by Category'!J112),TEXT('Spending by Category'!J112,"0.00"), ""), "")</f>
        <v/>
      </c>
      <c r="J106" t="str">
        <f>IFERROR(IF(ISNUMBER('Spending by Category'!B112),'Spending by Category'!N112, ""), "")</f>
        <v/>
      </c>
    </row>
    <row r="107" spans="1:10">
      <c r="A107" t="str">
        <f>TEXT(IF('Spending by Category'!B113&lt;&gt;0,'Spending by Category'!B113, ""), "mm/dd/yyyy")</f>
        <v/>
      </c>
      <c r="B107" t="str">
        <f>IFERROR(IF(ISNUMBER('Spending by Category'!C113),TEXT('Spending by Category'!C113,"0.00"), ""), "")</f>
        <v/>
      </c>
      <c r="C107" t="str">
        <f>IFERROR(IF(ISNUMBER('Spending by Category'!D113),TEXT('Spending by Category'!D113,"0.00"), ""), "")</f>
        <v/>
      </c>
      <c r="D107" t="str">
        <f>IFERROR(IF(ISNUMBER('Spending by Category'!E113),TEXT('Spending by Category'!E113,"0.00"), ""), "")</f>
        <v/>
      </c>
      <c r="E107" t="str">
        <f>IFERROR(IF(ISNUMBER('Spending by Category'!F113),TEXT('Spending by Category'!F113,"0.00"), ""), "")</f>
        <v/>
      </c>
      <c r="F107" t="str">
        <f>IFERROR(IF(ISNUMBER('Spending by Category'!G113),TEXT('Spending by Category'!G113,"0.00"), ""), "")</f>
        <v/>
      </c>
      <c r="G107" t="str">
        <f>IFERROR(IF(ISNUMBER('Spending by Category'!H113),TEXT('Spending by Category'!H113,"0.00"), ""), "")</f>
        <v/>
      </c>
      <c r="H107" t="str">
        <f>IFERROR(IF(ISNUMBER('Spending by Category'!I113),TEXT('Spending by Category'!I113,"0.00"), ""), "")</f>
        <v/>
      </c>
      <c r="I107" t="str">
        <f>IFERROR(IF(ISNUMBER('Spending by Category'!J113),TEXT('Spending by Category'!J113,"0.00"), ""), "")</f>
        <v/>
      </c>
      <c r="J107" t="str">
        <f>IFERROR(IF(ISNUMBER('Spending by Category'!B113),'Spending by Category'!N113, ""), "")</f>
        <v/>
      </c>
    </row>
    <row r="108" spans="1:10">
      <c r="A108" t="str">
        <f>TEXT(IF('Spending by Category'!B114&lt;&gt;0,'Spending by Category'!B114, ""), "mm/dd/yyyy")</f>
        <v/>
      </c>
      <c r="B108" t="str">
        <f>IFERROR(IF(ISNUMBER('Spending by Category'!C114),TEXT('Spending by Category'!C114,"0.00"), ""), "")</f>
        <v/>
      </c>
      <c r="C108" t="str">
        <f>IFERROR(IF(ISNUMBER('Spending by Category'!D114),TEXT('Spending by Category'!D114,"0.00"), ""), "")</f>
        <v/>
      </c>
      <c r="D108" t="str">
        <f>IFERROR(IF(ISNUMBER('Spending by Category'!E114),TEXT('Spending by Category'!E114,"0.00"), ""), "")</f>
        <v/>
      </c>
      <c r="E108" t="str">
        <f>IFERROR(IF(ISNUMBER('Spending by Category'!F114),TEXT('Spending by Category'!F114,"0.00"), ""), "")</f>
        <v/>
      </c>
      <c r="F108" t="str">
        <f>IFERROR(IF(ISNUMBER('Spending by Category'!G114),TEXT('Spending by Category'!G114,"0.00"), ""), "")</f>
        <v/>
      </c>
      <c r="G108" t="str">
        <f>IFERROR(IF(ISNUMBER('Spending by Category'!H114),TEXT('Spending by Category'!H114,"0.00"), ""), "")</f>
        <v/>
      </c>
      <c r="H108" t="str">
        <f>IFERROR(IF(ISNUMBER('Spending by Category'!I114),TEXT('Spending by Category'!I114,"0.00"), ""), "")</f>
        <v/>
      </c>
      <c r="I108" t="str">
        <f>IFERROR(IF(ISNUMBER('Spending by Category'!J114),TEXT('Spending by Category'!J114,"0.00"), ""), "")</f>
        <v/>
      </c>
      <c r="J108" t="str">
        <f>IFERROR(IF(ISNUMBER('Spending by Category'!B114),'Spending by Category'!N114, ""), "")</f>
        <v/>
      </c>
    </row>
    <row r="109" spans="1:10">
      <c r="A109" t="str">
        <f>TEXT(IF('Spending by Category'!B115&lt;&gt;0,'Spending by Category'!B115, ""), "mm/dd/yyyy")</f>
        <v/>
      </c>
      <c r="B109" t="str">
        <f>IFERROR(IF(ISNUMBER('Spending by Category'!C115),TEXT('Spending by Category'!C115,"0.00"), ""), "")</f>
        <v/>
      </c>
      <c r="C109" t="str">
        <f>IFERROR(IF(ISNUMBER('Spending by Category'!D115),TEXT('Spending by Category'!D115,"0.00"), ""), "")</f>
        <v/>
      </c>
      <c r="D109" t="str">
        <f>IFERROR(IF(ISNUMBER('Spending by Category'!E115),TEXT('Spending by Category'!E115,"0.00"), ""), "")</f>
        <v/>
      </c>
      <c r="E109" t="str">
        <f>IFERROR(IF(ISNUMBER('Spending by Category'!F115),TEXT('Spending by Category'!F115,"0.00"), ""), "")</f>
        <v/>
      </c>
      <c r="F109" t="str">
        <f>IFERROR(IF(ISNUMBER('Spending by Category'!G115),TEXT('Spending by Category'!G115,"0.00"), ""), "")</f>
        <v/>
      </c>
      <c r="G109" t="str">
        <f>IFERROR(IF(ISNUMBER('Spending by Category'!H115),TEXT('Spending by Category'!H115,"0.00"), ""), "")</f>
        <v/>
      </c>
      <c r="H109" t="str">
        <f>IFERROR(IF(ISNUMBER('Spending by Category'!I115),TEXT('Spending by Category'!I115,"0.00"), ""), "")</f>
        <v/>
      </c>
      <c r="I109" t="str">
        <f>IFERROR(IF(ISNUMBER('Spending by Category'!J115),TEXT('Spending by Category'!J115,"0.00"), ""), "")</f>
        <v/>
      </c>
      <c r="J109" t="str">
        <f>IFERROR(IF(ISNUMBER('Spending by Category'!B115),'Spending by Category'!N115, ""), "")</f>
        <v/>
      </c>
    </row>
    <row r="110" spans="1:10">
      <c r="A110" t="str">
        <f>TEXT(IF('Spending by Category'!B116&lt;&gt;0,'Spending by Category'!B116, ""), "mm/dd/yyyy")</f>
        <v/>
      </c>
      <c r="B110" t="str">
        <f>IFERROR(IF(ISNUMBER('Spending by Category'!C116),TEXT('Spending by Category'!C116,"0.00"), ""), "")</f>
        <v/>
      </c>
      <c r="C110" t="str">
        <f>IFERROR(IF(ISNUMBER('Spending by Category'!D116),TEXT('Spending by Category'!D116,"0.00"), ""), "")</f>
        <v/>
      </c>
      <c r="D110" t="str">
        <f>IFERROR(IF(ISNUMBER('Spending by Category'!E116),TEXT('Spending by Category'!E116,"0.00"), ""), "")</f>
        <v/>
      </c>
      <c r="E110" t="str">
        <f>IFERROR(IF(ISNUMBER('Spending by Category'!F116),TEXT('Spending by Category'!F116,"0.00"), ""), "")</f>
        <v/>
      </c>
      <c r="F110" t="str">
        <f>IFERROR(IF(ISNUMBER('Spending by Category'!G116),TEXT('Spending by Category'!G116,"0.00"), ""), "")</f>
        <v/>
      </c>
      <c r="G110" t="str">
        <f>IFERROR(IF(ISNUMBER('Spending by Category'!H116),TEXT('Spending by Category'!H116,"0.00"), ""), "")</f>
        <v/>
      </c>
      <c r="H110" t="str">
        <f>IFERROR(IF(ISNUMBER('Spending by Category'!I116),TEXT('Spending by Category'!I116,"0.00"), ""), "")</f>
        <v/>
      </c>
      <c r="I110" t="str">
        <f>IFERROR(IF(ISNUMBER('Spending by Category'!J116),TEXT('Spending by Category'!J116,"0.00"), ""), "")</f>
        <v/>
      </c>
      <c r="J110" t="str">
        <f>IFERROR(IF(ISNUMBER('Spending by Category'!B116),'Spending by Category'!N116, ""), "")</f>
        <v/>
      </c>
    </row>
    <row r="111" spans="1:10">
      <c r="A111" t="str">
        <f>TEXT(IF('Spending by Category'!B117&lt;&gt;0,'Spending by Category'!B117, ""), "mm/dd/yyyy")</f>
        <v/>
      </c>
      <c r="B111" t="str">
        <f>IFERROR(IF(ISNUMBER('Spending by Category'!C117),TEXT('Spending by Category'!C117,"0.00"), ""), "")</f>
        <v/>
      </c>
      <c r="C111" t="str">
        <f>IFERROR(IF(ISNUMBER('Spending by Category'!D117),TEXT('Spending by Category'!D117,"0.00"), ""), "")</f>
        <v/>
      </c>
      <c r="D111" t="str">
        <f>IFERROR(IF(ISNUMBER('Spending by Category'!E117),TEXT('Spending by Category'!E117,"0.00"), ""), "")</f>
        <v/>
      </c>
      <c r="E111" t="str">
        <f>IFERROR(IF(ISNUMBER('Spending by Category'!F117),TEXT('Spending by Category'!F117,"0.00"), ""), "")</f>
        <v/>
      </c>
      <c r="F111" t="str">
        <f>IFERROR(IF(ISNUMBER('Spending by Category'!G117),TEXT('Spending by Category'!G117,"0.00"), ""), "")</f>
        <v/>
      </c>
      <c r="G111" t="str">
        <f>IFERROR(IF(ISNUMBER('Spending by Category'!H117),TEXT('Spending by Category'!H117,"0.00"), ""), "")</f>
        <v/>
      </c>
      <c r="H111" t="str">
        <f>IFERROR(IF(ISNUMBER('Spending by Category'!I117),TEXT('Spending by Category'!I117,"0.00"), ""), "")</f>
        <v/>
      </c>
      <c r="I111" t="str">
        <f>IFERROR(IF(ISNUMBER('Spending by Category'!J117),TEXT('Spending by Category'!J117,"0.00"), ""), "")</f>
        <v/>
      </c>
      <c r="J111" t="str">
        <f>IFERROR(IF(ISNUMBER('Spending by Category'!B117),'Spending by Category'!N117, ""), "")</f>
        <v/>
      </c>
    </row>
    <row r="112" spans="1:10">
      <c r="A112" t="str">
        <f>TEXT(IF('Spending by Category'!B118&lt;&gt;0,'Spending by Category'!B118, ""), "mm/dd/yyyy")</f>
        <v/>
      </c>
      <c r="B112" t="str">
        <f>IFERROR(IF(ISNUMBER('Spending by Category'!C118),TEXT('Spending by Category'!C118,"0.00"), ""), "")</f>
        <v/>
      </c>
      <c r="C112" t="str">
        <f>IFERROR(IF(ISNUMBER('Spending by Category'!D118),TEXT('Spending by Category'!D118,"0.00"), ""), "")</f>
        <v/>
      </c>
      <c r="D112" t="str">
        <f>IFERROR(IF(ISNUMBER('Spending by Category'!E118),TEXT('Spending by Category'!E118,"0.00"), ""), "")</f>
        <v/>
      </c>
      <c r="E112" t="str">
        <f>IFERROR(IF(ISNUMBER('Spending by Category'!F118),TEXT('Spending by Category'!F118,"0.00"), ""), "")</f>
        <v/>
      </c>
      <c r="F112" t="str">
        <f>IFERROR(IF(ISNUMBER('Spending by Category'!G118),TEXT('Spending by Category'!G118,"0.00"), ""), "")</f>
        <v/>
      </c>
      <c r="G112" t="str">
        <f>IFERROR(IF(ISNUMBER('Spending by Category'!H118),TEXT('Spending by Category'!H118,"0.00"), ""), "")</f>
        <v/>
      </c>
      <c r="H112" t="str">
        <f>IFERROR(IF(ISNUMBER('Spending by Category'!I118),TEXT('Spending by Category'!I118,"0.00"), ""), "")</f>
        <v/>
      </c>
      <c r="I112" t="str">
        <f>IFERROR(IF(ISNUMBER('Spending by Category'!J118),TEXT('Spending by Category'!J118,"0.00"), ""), "")</f>
        <v/>
      </c>
      <c r="J112" t="str">
        <f>IFERROR(IF(ISNUMBER('Spending by Category'!B118),'Spending by Category'!N118, ""), "")</f>
        <v/>
      </c>
    </row>
    <row r="113" spans="1:10">
      <c r="A113" t="str">
        <f>TEXT(IF('Spending by Category'!B119&lt;&gt;0,'Spending by Category'!B119, ""), "mm/dd/yyyy")</f>
        <v/>
      </c>
      <c r="B113" t="str">
        <f>IFERROR(IF(ISNUMBER('Spending by Category'!C119),TEXT('Spending by Category'!C119,"0.00"), ""), "")</f>
        <v/>
      </c>
      <c r="C113" t="str">
        <f>IFERROR(IF(ISNUMBER('Spending by Category'!D119),TEXT('Spending by Category'!D119,"0.00"), ""), "")</f>
        <v/>
      </c>
      <c r="D113" t="str">
        <f>IFERROR(IF(ISNUMBER('Spending by Category'!E119),TEXT('Spending by Category'!E119,"0.00"), ""), "")</f>
        <v/>
      </c>
      <c r="E113" t="str">
        <f>IFERROR(IF(ISNUMBER('Spending by Category'!F119),TEXT('Spending by Category'!F119,"0.00"), ""), "")</f>
        <v/>
      </c>
      <c r="F113" t="str">
        <f>IFERROR(IF(ISNUMBER('Spending by Category'!G119),TEXT('Spending by Category'!G119,"0.00"), ""), "")</f>
        <v/>
      </c>
      <c r="G113" t="str">
        <f>IFERROR(IF(ISNUMBER('Spending by Category'!H119),TEXT('Spending by Category'!H119,"0.00"), ""), "")</f>
        <v/>
      </c>
      <c r="H113" t="str">
        <f>IFERROR(IF(ISNUMBER('Spending by Category'!I119),TEXT('Spending by Category'!I119,"0.00"), ""), "")</f>
        <v/>
      </c>
      <c r="I113" t="str">
        <f>IFERROR(IF(ISNUMBER('Spending by Category'!J119),TEXT('Spending by Category'!J119,"0.00"), ""), "")</f>
        <v/>
      </c>
      <c r="J113" t="str">
        <f>IFERROR(IF(ISNUMBER('Spending by Category'!B119),'Spending by Category'!N119, ""), "")</f>
        <v/>
      </c>
    </row>
    <row r="114" spans="1:10">
      <c r="A114" t="str">
        <f>TEXT(IF('Spending by Category'!B120&lt;&gt;0,'Spending by Category'!B120, ""), "mm/dd/yyyy")</f>
        <v/>
      </c>
      <c r="B114" t="str">
        <f>IFERROR(IF(ISNUMBER('Spending by Category'!C120),TEXT('Spending by Category'!C120,"0.00"), ""), "")</f>
        <v/>
      </c>
      <c r="C114" t="str">
        <f>IFERROR(IF(ISNUMBER('Spending by Category'!D120),TEXT('Spending by Category'!D120,"0.00"), ""), "")</f>
        <v/>
      </c>
      <c r="D114" t="str">
        <f>IFERROR(IF(ISNUMBER('Spending by Category'!E120),TEXT('Spending by Category'!E120,"0.00"), ""), "")</f>
        <v/>
      </c>
      <c r="E114" t="str">
        <f>IFERROR(IF(ISNUMBER('Spending by Category'!F120),TEXT('Spending by Category'!F120,"0.00"), ""), "")</f>
        <v/>
      </c>
      <c r="F114" t="str">
        <f>IFERROR(IF(ISNUMBER('Spending by Category'!G120),TEXT('Spending by Category'!G120,"0.00"), ""), "")</f>
        <v/>
      </c>
      <c r="G114" t="str">
        <f>IFERROR(IF(ISNUMBER('Spending by Category'!H120),TEXT('Spending by Category'!H120,"0.00"), ""), "")</f>
        <v/>
      </c>
      <c r="H114" t="str">
        <f>IFERROR(IF(ISNUMBER('Spending by Category'!I120),TEXT('Spending by Category'!I120,"0.00"), ""), "")</f>
        <v/>
      </c>
      <c r="I114" t="str">
        <f>IFERROR(IF(ISNUMBER('Spending by Category'!J120),TEXT('Spending by Category'!J120,"0.00"), ""), "")</f>
        <v/>
      </c>
      <c r="J114" t="str">
        <f>IFERROR(IF(ISNUMBER('Spending by Category'!B120),'Spending by Category'!N120, ""), "")</f>
        <v/>
      </c>
    </row>
    <row r="115" spans="1:10">
      <c r="A115" t="str">
        <f>TEXT(IF('Spending by Category'!B121&lt;&gt;0,'Spending by Category'!B121, ""), "mm/dd/yyyy")</f>
        <v/>
      </c>
      <c r="B115" t="str">
        <f>IFERROR(IF(ISNUMBER('Spending by Category'!C121),TEXT('Spending by Category'!C121,"0.00"), ""), "")</f>
        <v/>
      </c>
      <c r="C115" t="str">
        <f>IFERROR(IF(ISNUMBER('Spending by Category'!D121),TEXT('Spending by Category'!D121,"0.00"), ""), "")</f>
        <v/>
      </c>
      <c r="D115" t="str">
        <f>IFERROR(IF(ISNUMBER('Spending by Category'!E121),TEXT('Spending by Category'!E121,"0.00"), ""), "")</f>
        <v/>
      </c>
      <c r="E115" t="str">
        <f>IFERROR(IF(ISNUMBER('Spending by Category'!F121),TEXT('Spending by Category'!F121,"0.00"), ""), "")</f>
        <v/>
      </c>
      <c r="F115" t="str">
        <f>IFERROR(IF(ISNUMBER('Spending by Category'!G121),TEXT('Spending by Category'!G121,"0.00"), ""), "")</f>
        <v/>
      </c>
      <c r="G115" t="str">
        <f>IFERROR(IF(ISNUMBER('Spending by Category'!H121),TEXT('Spending by Category'!H121,"0.00"), ""), "")</f>
        <v/>
      </c>
      <c r="H115" t="str">
        <f>IFERROR(IF(ISNUMBER('Spending by Category'!I121),TEXT('Spending by Category'!I121,"0.00"), ""), "")</f>
        <v/>
      </c>
      <c r="I115" t="str">
        <f>IFERROR(IF(ISNUMBER('Spending by Category'!J121),TEXT('Spending by Category'!J121,"0.00"), ""), "")</f>
        <v/>
      </c>
      <c r="J115" t="str">
        <f>IFERROR(IF(ISNUMBER('Spending by Category'!B121),'Spending by Category'!N121, ""), "")</f>
        <v/>
      </c>
    </row>
    <row r="116" spans="1:10">
      <c r="A116" t="str">
        <f>TEXT(IF('Spending by Category'!B122&lt;&gt;0,'Spending by Category'!B122, ""), "mm/dd/yyyy")</f>
        <v/>
      </c>
      <c r="B116" t="str">
        <f>IFERROR(IF(ISNUMBER('Spending by Category'!C122),TEXT('Spending by Category'!C122,"0.00"), ""), "")</f>
        <v/>
      </c>
      <c r="C116" t="str">
        <f>IFERROR(IF(ISNUMBER('Spending by Category'!D122),TEXT('Spending by Category'!D122,"0.00"), ""), "")</f>
        <v/>
      </c>
      <c r="D116" t="str">
        <f>IFERROR(IF(ISNUMBER('Spending by Category'!E122),TEXT('Spending by Category'!E122,"0.00"), ""), "")</f>
        <v/>
      </c>
      <c r="E116" t="str">
        <f>IFERROR(IF(ISNUMBER('Spending by Category'!F122),TEXT('Spending by Category'!F122,"0.00"), ""), "")</f>
        <v/>
      </c>
      <c r="F116" t="str">
        <f>IFERROR(IF(ISNUMBER('Spending by Category'!G122),TEXT('Spending by Category'!G122,"0.00"), ""), "")</f>
        <v/>
      </c>
      <c r="G116" t="str">
        <f>IFERROR(IF(ISNUMBER('Spending by Category'!H122),TEXT('Spending by Category'!H122,"0.00"), ""), "")</f>
        <v/>
      </c>
      <c r="H116" t="str">
        <f>IFERROR(IF(ISNUMBER('Spending by Category'!I122),TEXT('Spending by Category'!I122,"0.00"), ""), "")</f>
        <v/>
      </c>
      <c r="I116" t="str">
        <f>IFERROR(IF(ISNUMBER('Spending by Category'!J122),TEXT('Spending by Category'!J122,"0.00"), ""), "")</f>
        <v/>
      </c>
      <c r="J116" t="str">
        <f>IFERROR(IF(ISNUMBER('Spending by Category'!B122),'Spending by Category'!N122, ""), "")</f>
        <v/>
      </c>
    </row>
    <row r="117" spans="1:10">
      <c r="A117" t="str">
        <f>TEXT(IF('Spending by Category'!B123&lt;&gt;0,'Spending by Category'!B123, ""), "mm/dd/yyyy")</f>
        <v/>
      </c>
      <c r="B117" t="str">
        <f>IFERROR(IF(ISNUMBER('Spending by Category'!#REF!),TEXT('Spending by Category'!#REF!,"0.00"), ""), "")</f>
        <v/>
      </c>
      <c r="C117" t="str">
        <f>IFERROR(IF(ISNUMBER('Spending by Category'!#REF!),TEXT('Spending by Category'!#REF!,"0.00"), ""), "")</f>
        <v/>
      </c>
      <c r="D117" t="str">
        <f>IFERROR(IF(ISNUMBER('Spending by Category'!#REF!),TEXT('Spending by Category'!#REF!,"0.00"), ""), "")</f>
        <v/>
      </c>
      <c r="E117" t="str">
        <f>IFERROR(IF(ISNUMBER('Spending by Category'!#REF!),TEXT('Spending by Category'!#REF!,"0.00"), ""), "")</f>
        <v/>
      </c>
      <c r="F117" t="str">
        <f>IFERROR(IF(ISNUMBER('Spending by Category'!#REF!),TEXT('Spending by Category'!#REF!,"0.00"), ""), "")</f>
        <v/>
      </c>
      <c r="G117" t="str">
        <f>IFERROR(IF(ISNUMBER('Spending by Category'!#REF!),TEXT('Spending by Category'!#REF!,"0.00"), ""), "")</f>
        <v/>
      </c>
      <c r="H117" t="str">
        <f>IFERROR(IF(ISNUMBER('Spending by Category'!#REF!),TEXT('Spending by Category'!#REF!,"0.00"), ""), "")</f>
        <v/>
      </c>
      <c r="I117" t="str">
        <f>IFERROR(IF(ISNUMBER('Spending by Category'!#REF!),TEXT('Spending by Category'!#REF!,"0.00"), ""), "")</f>
        <v/>
      </c>
      <c r="J117" t="str">
        <f>IFERROR(IF(ISNUMBER('Spending by Category'!B123),'Spending by Category'!N123, ""), "")</f>
        <v/>
      </c>
    </row>
    <row r="118" spans="1:10">
      <c r="A118" t="str">
        <f>TEXT(IF('Spending by Category'!B124&lt;&gt;0,'Spending by Category'!B124, ""), "mm/dd/yyyy")</f>
        <v/>
      </c>
      <c r="B118" t="str">
        <f>IFERROR(IF(ISNUMBER('Spending by Category'!#REF!),TEXT('Spending by Category'!#REF!,"0.00"), ""), "")</f>
        <v/>
      </c>
      <c r="C118" t="str">
        <f>IFERROR(IF(ISNUMBER('Spending by Category'!#REF!),TEXT('Spending by Category'!#REF!,"0.00"), ""), "")</f>
        <v/>
      </c>
      <c r="D118" t="str">
        <f>IFERROR(IF(ISNUMBER('Spending by Category'!#REF!),TEXT('Spending by Category'!#REF!,"0.00"), ""), "")</f>
        <v/>
      </c>
      <c r="E118" t="str">
        <f>IFERROR(IF(ISNUMBER('Spending by Category'!#REF!),TEXT('Spending by Category'!#REF!,"0.00"), ""), "")</f>
        <v/>
      </c>
      <c r="F118" t="str">
        <f>IFERROR(IF(ISNUMBER('Spending by Category'!#REF!),TEXT('Spending by Category'!#REF!,"0.00"), ""), "")</f>
        <v/>
      </c>
      <c r="G118" t="str">
        <f>IFERROR(IF(ISNUMBER('Spending by Category'!#REF!),TEXT('Spending by Category'!#REF!,"0.00"), ""), "")</f>
        <v/>
      </c>
      <c r="H118" t="str">
        <f>IFERROR(IF(ISNUMBER('Spending by Category'!#REF!),TEXT('Spending by Category'!#REF!,"0.00"), ""), "")</f>
        <v/>
      </c>
      <c r="I118" t="str">
        <f>IFERROR(IF(ISNUMBER('Spending by Category'!#REF!),TEXT('Spending by Category'!#REF!,"0.00"), ""), "")</f>
        <v/>
      </c>
      <c r="J118" t="str">
        <f>IFERROR(IF(ISNUMBER('Spending by Category'!B124),'Spending by Category'!N124, ""), "")</f>
        <v/>
      </c>
    </row>
    <row r="119" spans="1:10">
      <c r="A119" t="str">
        <f>TEXT(IF('Spending by Category'!B125&lt;&gt;0,'Spending by Category'!B125, ""), "mm/dd/yyyy")</f>
        <v/>
      </c>
      <c r="B119" t="str">
        <f>IFERROR(IF(ISNUMBER('Spending by Category'!#REF!),TEXT('Spending by Category'!#REF!,"0.00"), ""), "")</f>
        <v/>
      </c>
      <c r="C119" t="str">
        <f>IFERROR(IF(ISNUMBER('Spending by Category'!#REF!),TEXT('Spending by Category'!#REF!,"0.00"), ""), "")</f>
        <v/>
      </c>
      <c r="D119" t="str">
        <f>IFERROR(IF(ISNUMBER('Spending by Category'!#REF!),TEXT('Spending by Category'!#REF!,"0.00"), ""), "")</f>
        <v/>
      </c>
      <c r="E119" t="str">
        <f>IFERROR(IF(ISNUMBER('Spending by Category'!#REF!),TEXT('Spending by Category'!#REF!,"0.00"), ""), "")</f>
        <v/>
      </c>
      <c r="F119" t="str">
        <f>IFERROR(IF(ISNUMBER('Spending by Category'!#REF!),TEXT('Spending by Category'!#REF!,"0.00"), ""), "")</f>
        <v/>
      </c>
      <c r="G119" t="str">
        <f>IFERROR(IF(ISNUMBER('Spending by Category'!#REF!),TEXT('Spending by Category'!#REF!,"0.00"), ""), "")</f>
        <v/>
      </c>
      <c r="H119" t="str">
        <f>IFERROR(IF(ISNUMBER('Spending by Category'!#REF!),TEXT('Spending by Category'!#REF!,"0.00"), ""), "")</f>
        <v/>
      </c>
      <c r="I119" t="str">
        <f>IFERROR(IF(ISNUMBER('Spending by Category'!#REF!),TEXT('Spending by Category'!#REF!,"0.00"), ""), "")</f>
        <v/>
      </c>
      <c r="J119" t="str">
        <f>IFERROR(IF(ISNUMBER('Spending by Category'!B125),'Spending by Category'!N125, ""), "")</f>
        <v/>
      </c>
    </row>
    <row r="120" spans="1:10">
      <c r="A120" t="str">
        <f>TEXT(IF('Spending by Category'!B126&lt;&gt;0,'Spending by Category'!B126, ""), "mm/dd/yyyy")</f>
        <v/>
      </c>
      <c r="B120" t="str">
        <f>IFERROR(IF(ISNUMBER('Spending by Category'!#REF!),TEXT('Spending by Category'!#REF!,"0.00"), ""), "")</f>
        <v/>
      </c>
      <c r="C120" t="str">
        <f>IFERROR(IF(ISNUMBER('Spending by Category'!#REF!),TEXT('Spending by Category'!#REF!,"0.00"), ""), "")</f>
        <v/>
      </c>
      <c r="D120" t="str">
        <f>IFERROR(IF(ISNUMBER('Spending by Category'!#REF!),TEXT('Spending by Category'!#REF!,"0.00"), ""), "")</f>
        <v/>
      </c>
      <c r="E120" t="str">
        <f>IFERROR(IF(ISNUMBER('Spending by Category'!#REF!),TEXT('Spending by Category'!#REF!,"0.00"), ""), "")</f>
        <v/>
      </c>
      <c r="F120" t="str">
        <f>IFERROR(IF(ISNUMBER('Spending by Category'!#REF!),TEXT('Spending by Category'!#REF!,"0.00"), ""), "")</f>
        <v/>
      </c>
      <c r="G120" t="str">
        <f>IFERROR(IF(ISNUMBER('Spending by Category'!#REF!),TEXT('Spending by Category'!#REF!,"0.00"), ""), "")</f>
        <v/>
      </c>
      <c r="H120" t="str">
        <f>IFERROR(IF(ISNUMBER('Spending by Category'!#REF!),TEXT('Spending by Category'!#REF!,"0.00"), ""), "")</f>
        <v/>
      </c>
      <c r="I120" t="str">
        <f>IFERROR(IF(ISNUMBER('Spending by Category'!#REF!),TEXT('Spending by Category'!#REF!,"0.00"), ""), "")</f>
        <v/>
      </c>
      <c r="J120" t="str">
        <f>IFERROR(IF(ISNUMBER('Spending by Category'!B126),'Spending by Category'!N126, ""), "")</f>
        <v/>
      </c>
    </row>
    <row r="121" spans="1:10">
      <c r="A121" t="str">
        <f>TEXT(IF('Spending by Category'!B127&lt;&gt;0,'Spending by Category'!B127, ""), "mm/dd/yyyy")</f>
        <v/>
      </c>
      <c r="B121" t="str">
        <f>IFERROR(IF(ISNUMBER('Spending by Category'!#REF!),TEXT('Spending by Category'!#REF!,"0.00"), ""), "")</f>
        <v/>
      </c>
      <c r="C121" t="str">
        <f>IFERROR(IF(ISNUMBER('Spending by Category'!#REF!),TEXT('Spending by Category'!#REF!,"0.00"), ""), "")</f>
        <v/>
      </c>
      <c r="D121" t="str">
        <f>IFERROR(IF(ISNUMBER('Spending by Category'!#REF!),TEXT('Spending by Category'!#REF!,"0.00"), ""), "")</f>
        <v/>
      </c>
      <c r="E121" t="str">
        <f>IFERROR(IF(ISNUMBER('Spending by Category'!#REF!),TEXT('Spending by Category'!#REF!,"0.00"), ""), "")</f>
        <v/>
      </c>
      <c r="F121" t="str">
        <f>IFERROR(IF(ISNUMBER('Spending by Category'!#REF!),TEXT('Spending by Category'!#REF!,"0.00"), ""), "")</f>
        <v/>
      </c>
      <c r="G121" t="str">
        <f>IFERROR(IF(ISNUMBER('Spending by Category'!#REF!),TEXT('Spending by Category'!#REF!,"0.00"), ""), "")</f>
        <v/>
      </c>
      <c r="H121" t="str">
        <f>IFERROR(IF(ISNUMBER('Spending by Category'!#REF!),TEXT('Spending by Category'!#REF!,"0.00"), ""), "")</f>
        <v/>
      </c>
      <c r="I121" t="str">
        <f>IFERROR(IF(ISNUMBER('Spending by Category'!#REF!),TEXT('Spending by Category'!#REF!,"0.00"), ""), "")</f>
        <v/>
      </c>
      <c r="J121" t="str">
        <f>IFERROR(IF(ISNUMBER('Spending by Category'!B127),'Spending by Category'!N127, ""), "")</f>
        <v/>
      </c>
    </row>
    <row r="122" spans="1:10">
      <c r="A122" t="str">
        <f>TEXT(IF('Spending by Category'!B128&lt;&gt;0,'Spending by Category'!B128, ""), "mm/dd/yyyy")</f>
        <v/>
      </c>
      <c r="B122" t="str">
        <f>IFERROR(IF(ISNUMBER('Spending by Category'!#REF!),TEXT('Spending by Category'!#REF!,"0.00"), ""), "")</f>
        <v/>
      </c>
      <c r="C122" t="str">
        <f>IFERROR(IF(ISNUMBER('Spending by Category'!#REF!),TEXT('Spending by Category'!#REF!,"0.00"), ""), "")</f>
        <v/>
      </c>
      <c r="D122" t="str">
        <f>IFERROR(IF(ISNUMBER('Spending by Category'!#REF!),TEXT('Spending by Category'!#REF!,"0.00"), ""), "")</f>
        <v/>
      </c>
      <c r="E122" t="str">
        <f>IFERROR(IF(ISNUMBER('Spending by Category'!#REF!),TEXT('Spending by Category'!#REF!,"0.00"), ""), "")</f>
        <v/>
      </c>
      <c r="F122" t="str">
        <f>IFERROR(IF(ISNUMBER('Spending by Category'!#REF!),TEXT('Spending by Category'!#REF!,"0.00"), ""), "")</f>
        <v/>
      </c>
      <c r="G122" t="str">
        <f>IFERROR(IF(ISNUMBER('Spending by Category'!#REF!),TEXT('Spending by Category'!#REF!,"0.00"), ""), "")</f>
        <v/>
      </c>
      <c r="H122" t="str">
        <f>IFERROR(IF(ISNUMBER('Spending by Category'!#REF!),TEXT('Spending by Category'!#REF!,"0.00"), ""), "")</f>
        <v/>
      </c>
      <c r="I122" t="str">
        <f>IFERROR(IF(ISNUMBER('Spending by Category'!#REF!),TEXT('Spending by Category'!#REF!,"0.00"), ""), "")</f>
        <v/>
      </c>
      <c r="J122" t="str">
        <f>IFERROR(IF(ISNUMBER('Spending by Category'!B128),'Spending by Category'!N128, ""), "")</f>
        <v/>
      </c>
    </row>
    <row r="123" spans="1:10">
      <c r="A123" t="str">
        <f>TEXT(IF('Spending by Category'!B129&lt;&gt;0,'Spending by Category'!B129, ""), "mm/dd/yyyy")</f>
        <v/>
      </c>
      <c r="B123" t="str">
        <f>IFERROR(IF(ISNUMBER('Spending by Category'!#REF!),TEXT('Spending by Category'!#REF!,"0.00"), ""), "")</f>
        <v/>
      </c>
      <c r="C123" t="str">
        <f>IFERROR(IF(ISNUMBER('Spending by Category'!#REF!),TEXT('Spending by Category'!#REF!,"0.00"), ""), "")</f>
        <v/>
      </c>
      <c r="D123" t="str">
        <f>IFERROR(IF(ISNUMBER('Spending by Category'!#REF!),TEXT('Spending by Category'!#REF!,"0.00"), ""), "")</f>
        <v/>
      </c>
      <c r="E123" t="str">
        <f>IFERROR(IF(ISNUMBER('Spending by Category'!#REF!),TEXT('Spending by Category'!#REF!,"0.00"), ""), "")</f>
        <v/>
      </c>
      <c r="F123" t="str">
        <f>IFERROR(IF(ISNUMBER('Spending by Category'!#REF!),TEXT('Spending by Category'!#REF!,"0.00"), ""), "")</f>
        <v/>
      </c>
      <c r="G123" t="str">
        <f>IFERROR(IF(ISNUMBER('Spending by Category'!#REF!),TEXT('Spending by Category'!#REF!,"0.00"), ""), "")</f>
        <v/>
      </c>
      <c r="H123" t="str">
        <f>IFERROR(IF(ISNUMBER('Spending by Category'!#REF!),TEXT('Spending by Category'!#REF!,"0.00"), ""), "")</f>
        <v/>
      </c>
      <c r="I123" t="str">
        <f>IFERROR(IF(ISNUMBER('Spending by Category'!#REF!),TEXT('Spending by Category'!#REF!,"0.00"), ""), "")</f>
        <v/>
      </c>
      <c r="J123" t="str">
        <f>IFERROR(IF(ISNUMBER('Spending by Category'!B129),'Spending by Category'!N129, ""), "")</f>
        <v/>
      </c>
    </row>
    <row r="124" spans="1:10">
      <c r="A124" t="str">
        <f>TEXT(IF('Spending by Category'!B130&lt;&gt;0,'Spending by Category'!B130, ""), "mm/dd/yyyy")</f>
        <v/>
      </c>
      <c r="B124" t="str">
        <f>IFERROR(IF(ISNUMBER('Spending by Category'!#REF!),TEXT('Spending by Category'!#REF!,"0.00"), ""), "")</f>
        <v/>
      </c>
      <c r="C124" t="str">
        <f>IFERROR(IF(ISNUMBER('Spending by Category'!#REF!),TEXT('Spending by Category'!#REF!,"0.00"), ""), "")</f>
        <v/>
      </c>
      <c r="D124" t="str">
        <f>IFERROR(IF(ISNUMBER('Spending by Category'!#REF!),TEXT('Spending by Category'!#REF!,"0.00"), ""), "")</f>
        <v/>
      </c>
      <c r="E124" t="str">
        <f>IFERROR(IF(ISNUMBER('Spending by Category'!#REF!),TEXT('Spending by Category'!#REF!,"0.00"), ""), "")</f>
        <v/>
      </c>
      <c r="F124" t="str">
        <f>IFERROR(IF(ISNUMBER('Spending by Category'!#REF!),TEXT('Spending by Category'!#REF!,"0.00"), ""), "")</f>
        <v/>
      </c>
      <c r="G124" t="str">
        <f>IFERROR(IF(ISNUMBER('Spending by Category'!#REF!),TEXT('Spending by Category'!#REF!,"0.00"), ""), "")</f>
        <v/>
      </c>
      <c r="H124" t="str">
        <f>IFERROR(IF(ISNUMBER('Spending by Category'!#REF!),TEXT('Spending by Category'!#REF!,"0.00"), ""), "")</f>
        <v/>
      </c>
      <c r="I124" t="str">
        <f>IFERROR(IF(ISNUMBER('Spending by Category'!#REF!),TEXT('Spending by Category'!#REF!,"0.00"), ""), "")</f>
        <v/>
      </c>
      <c r="J124" t="str">
        <f>IFERROR(IF(ISNUMBER('Spending by Category'!B130),'Spending by Category'!N130, ""), "")</f>
        <v/>
      </c>
    </row>
    <row r="125" spans="1:10">
      <c r="A125" t="str">
        <f>TEXT(IF('Spending by Category'!B131&lt;&gt;0,'Spending by Category'!B131, ""), "mm/dd/yyyy")</f>
        <v/>
      </c>
      <c r="B125" t="str">
        <f>IFERROR(IF(ISNUMBER('Spending by Category'!#REF!),TEXT('Spending by Category'!#REF!,"0.00"), ""), "")</f>
        <v/>
      </c>
      <c r="C125" t="str">
        <f>IFERROR(IF(ISNUMBER('Spending by Category'!#REF!),TEXT('Spending by Category'!#REF!,"0.00"), ""), "")</f>
        <v/>
      </c>
      <c r="D125" t="str">
        <f>IFERROR(IF(ISNUMBER('Spending by Category'!#REF!),TEXT('Spending by Category'!#REF!,"0.00"), ""), "")</f>
        <v/>
      </c>
      <c r="E125" t="str">
        <f>IFERROR(IF(ISNUMBER('Spending by Category'!#REF!),TEXT('Spending by Category'!#REF!,"0.00"), ""), "")</f>
        <v/>
      </c>
      <c r="F125" t="str">
        <f>IFERROR(IF(ISNUMBER('Spending by Category'!#REF!),TEXT('Spending by Category'!#REF!,"0.00"), ""), "")</f>
        <v/>
      </c>
      <c r="G125" t="str">
        <f>IFERROR(IF(ISNUMBER('Spending by Category'!#REF!),TEXT('Spending by Category'!#REF!,"0.00"), ""), "")</f>
        <v/>
      </c>
      <c r="H125" t="str">
        <f>IFERROR(IF(ISNUMBER('Spending by Category'!#REF!),TEXT('Spending by Category'!#REF!,"0.00"), ""), "")</f>
        <v/>
      </c>
      <c r="I125" t="str">
        <f>IFERROR(IF(ISNUMBER('Spending by Category'!#REF!),TEXT('Spending by Category'!#REF!,"0.00"), ""), "")</f>
        <v/>
      </c>
      <c r="J125" t="str">
        <f>IFERROR(IF(ISNUMBER('Spending by Category'!B131),'Spending by Category'!N131, ""), "")</f>
        <v/>
      </c>
    </row>
    <row r="126" spans="1:10">
      <c r="A126" t="str">
        <f>TEXT(IF('Spending by Category'!B132&lt;&gt;0,'Spending by Category'!B132, ""), "mm/dd/yyyy")</f>
        <v/>
      </c>
      <c r="B126" t="str">
        <f>IFERROR(IF(ISNUMBER('Spending by Category'!#REF!),TEXT('Spending by Category'!#REF!,"0.00"), ""), "")</f>
        <v/>
      </c>
      <c r="C126" t="str">
        <f>IFERROR(IF(ISNUMBER('Spending by Category'!#REF!),TEXT('Spending by Category'!#REF!,"0.00"), ""), "")</f>
        <v/>
      </c>
      <c r="D126" t="str">
        <f>IFERROR(IF(ISNUMBER('Spending by Category'!#REF!),TEXT('Spending by Category'!#REF!,"0.00"), ""), "")</f>
        <v/>
      </c>
      <c r="E126" t="str">
        <f>IFERROR(IF(ISNUMBER('Spending by Category'!#REF!),TEXT('Spending by Category'!#REF!,"0.00"), ""), "")</f>
        <v/>
      </c>
      <c r="F126" t="str">
        <f>IFERROR(IF(ISNUMBER('Spending by Category'!#REF!),TEXT('Spending by Category'!#REF!,"0.00"), ""), "")</f>
        <v/>
      </c>
      <c r="G126" t="str">
        <f>IFERROR(IF(ISNUMBER('Spending by Category'!#REF!),TEXT('Spending by Category'!#REF!,"0.00"), ""), "")</f>
        <v/>
      </c>
      <c r="H126" t="str">
        <f>IFERROR(IF(ISNUMBER('Spending by Category'!#REF!),TEXT('Spending by Category'!#REF!,"0.00"), ""), "")</f>
        <v/>
      </c>
      <c r="I126" t="str">
        <f>IFERROR(IF(ISNUMBER('Spending by Category'!#REF!),TEXT('Spending by Category'!#REF!,"0.00"), ""), "")</f>
        <v/>
      </c>
      <c r="J126" t="str">
        <f>IFERROR(IF(ISNUMBER('Spending by Category'!B132),'Spending by Category'!N132, ""), "")</f>
        <v/>
      </c>
    </row>
    <row r="127" spans="1:10">
      <c r="A127" t="str">
        <f>TEXT(IF('Spending by Category'!B133&lt;&gt;0,'Spending by Category'!B133, ""), "mm/dd/yyyy")</f>
        <v/>
      </c>
      <c r="B127" t="str">
        <f>IFERROR(IF(ISNUMBER('Spending by Category'!#REF!),TEXT('Spending by Category'!#REF!,"0.00"), ""), "")</f>
        <v/>
      </c>
      <c r="C127" t="str">
        <f>IFERROR(IF(ISNUMBER('Spending by Category'!#REF!),TEXT('Spending by Category'!#REF!,"0.00"), ""), "")</f>
        <v/>
      </c>
      <c r="D127" t="str">
        <f>IFERROR(IF(ISNUMBER('Spending by Category'!#REF!),TEXT('Spending by Category'!#REF!,"0.00"), ""), "")</f>
        <v/>
      </c>
      <c r="E127" t="str">
        <f>IFERROR(IF(ISNUMBER('Spending by Category'!#REF!),TEXT('Spending by Category'!#REF!,"0.00"), ""), "")</f>
        <v/>
      </c>
      <c r="F127" t="str">
        <f>IFERROR(IF(ISNUMBER('Spending by Category'!#REF!),TEXT('Spending by Category'!#REF!,"0.00"), ""), "")</f>
        <v/>
      </c>
      <c r="G127" t="str">
        <f>IFERROR(IF(ISNUMBER('Spending by Category'!#REF!),TEXT('Spending by Category'!#REF!,"0.00"), ""), "")</f>
        <v/>
      </c>
      <c r="H127" t="str">
        <f>IFERROR(IF(ISNUMBER('Spending by Category'!#REF!),TEXT('Spending by Category'!#REF!,"0.00"), ""), "")</f>
        <v/>
      </c>
      <c r="I127" t="str">
        <f>IFERROR(IF(ISNUMBER('Spending by Category'!#REF!),TEXT('Spending by Category'!#REF!,"0.00"), ""), "")</f>
        <v/>
      </c>
      <c r="J127" t="str">
        <f>IFERROR(IF(ISNUMBER('Spending by Category'!B133),'Spending by Category'!N133, ""), "")</f>
        <v/>
      </c>
    </row>
    <row r="128" spans="1:10">
      <c r="A128" t="str">
        <f>TEXT(IF('Spending by Category'!B134&lt;&gt;0,'Spending by Category'!B134, ""), "mm/dd/yyyy")</f>
        <v/>
      </c>
      <c r="B128" t="str">
        <f>IFERROR(IF(ISNUMBER('Spending by Category'!#REF!),TEXT('Spending by Category'!#REF!,"0.00"), ""), "")</f>
        <v/>
      </c>
      <c r="C128" t="str">
        <f>IFERROR(IF(ISNUMBER('Spending by Category'!#REF!),TEXT('Spending by Category'!#REF!,"0.00"), ""), "")</f>
        <v/>
      </c>
      <c r="D128" t="str">
        <f>IFERROR(IF(ISNUMBER('Spending by Category'!#REF!),TEXT('Spending by Category'!#REF!,"0.00"), ""), "")</f>
        <v/>
      </c>
      <c r="E128" t="str">
        <f>IFERROR(IF(ISNUMBER('Spending by Category'!#REF!),TEXT('Spending by Category'!#REF!,"0.00"), ""), "")</f>
        <v/>
      </c>
      <c r="F128" t="str">
        <f>IFERROR(IF(ISNUMBER('Spending by Category'!#REF!),TEXT('Spending by Category'!#REF!,"0.00"), ""), "")</f>
        <v/>
      </c>
      <c r="G128" t="str">
        <f>IFERROR(IF(ISNUMBER('Spending by Category'!#REF!),TEXT('Spending by Category'!#REF!,"0.00"), ""), "")</f>
        <v/>
      </c>
      <c r="H128" t="str">
        <f>IFERROR(IF(ISNUMBER('Spending by Category'!#REF!),TEXT('Spending by Category'!#REF!,"0.00"), ""), "")</f>
        <v/>
      </c>
      <c r="I128" t="str">
        <f>IFERROR(IF(ISNUMBER('Spending by Category'!#REF!),TEXT('Spending by Category'!#REF!,"0.00"), ""), "")</f>
        <v/>
      </c>
      <c r="J128" t="str">
        <f>IFERROR(IF(ISNUMBER('Spending by Category'!B134),'Spending by Category'!N134, ""), "")</f>
        <v/>
      </c>
    </row>
    <row r="129" spans="1:10">
      <c r="A129" t="str">
        <f>TEXT(IF('Spending by Category'!B135&lt;&gt;0,'Spending by Category'!B135, ""), "mm/dd/yyyy")</f>
        <v/>
      </c>
      <c r="B129" t="str">
        <f>IFERROR(IF(ISNUMBER('Spending by Category'!#REF!),TEXT('Spending by Category'!#REF!,"0.00"), ""), "")</f>
        <v/>
      </c>
      <c r="C129" t="str">
        <f>IFERROR(IF(ISNUMBER('Spending by Category'!#REF!),TEXT('Spending by Category'!#REF!,"0.00"), ""), "")</f>
        <v/>
      </c>
      <c r="D129" t="str">
        <f>IFERROR(IF(ISNUMBER('Spending by Category'!#REF!),TEXT('Spending by Category'!#REF!,"0.00"), ""), "")</f>
        <v/>
      </c>
      <c r="E129" t="str">
        <f>IFERROR(IF(ISNUMBER('Spending by Category'!#REF!),TEXT('Spending by Category'!#REF!,"0.00"), ""), "")</f>
        <v/>
      </c>
      <c r="F129" t="str">
        <f>IFERROR(IF(ISNUMBER('Spending by Category'!#REF!),TEXT('Spending by Category'!#REF!,"0.00"), ""), "")</f>
        <v/>
      </c>
      <c r="G129" t="str">
        <f>IFERROR(IF(ISNUMBER('Spending by Category'!#REF!),TEXT('Spending by Category'!#REF!,"0.00"), ""), "")</f>
        <v/>
      </c>
      <c r="H129" t="str">
        <f>IFERROR(IF(ISNUMBER('Spending by Category'!#REF!),TEXT('Spending by Category'!#REF!,"0.00"), ""), "")</f>
        <v/>
      </c>
      <c r="I129" t="str">
        <f>IFERROR(IF(ISNUMBER('Spending by Category'!#REF!),TEXT('Spending by Category'!#REF!,"0.00"), ""), "")</f>
        <v/>
      </c>
      <c r="J129" t="str">
        <f>IFERROR(IF(ISNUMBER('Spending by Category'!B135),'Spending by Category'!N135, ""), "")</f>
        <v/>
      </c>
    </row>
    <row r="130" spans="1:10">
      <c r="A130" t="str">
        <f>TEXT(IF('Spending by Category'!B136&lt;&gt;0,'Spending by Category'!B136, ""), "mm/dd/yyyy")</f>
        <v/>
      </c>
      <c r="B130" t="str">
        <f>IFERROR(IF(ISNUMBER('Spending by Category'!#REF!),TEXT('Spending by Category'!#REF!,"0.00"), ""), "")</f>
        <v/>
      </c>
      <c r="C130" t="str">
        <f>IFERROR(IF(ISNUMBER('Spending by Category'!#REF!),TEXT('Spending by Category'!#REF!,"0.00"), ""), "")</f>
        <v/>
      </c>
      <c r="D130" t="str">
        <f>IFERROR(IF(ISNUMBER('Spending by Category'!#REF!),TEXT('Spending by Category'!#REF!,"0.00"), ""), "")</f>
        <v/>
      </c>
      <c r="E130" t="str">
        <f>IFERROR(IF(ISNUMBER('Spending by Category'!#REF!),TEXT('Spending by Category'!#REF!,"0.00"), ""), "")</f>
        <v/>
      </c>
      <c r="F130" t="str">
        <f>IFERROR(IF(ISNUMBER('Spending by Category'!#REF!),TEXT('Spending by Category'!#REF!,"0.00"), ""), "")</f>
        <v/>
      </c>
      <c r="G130" t="str">
        <f>IFERROR(IF(ISNUMBER('Spending by Category'!#REF!),TEXT('Spending by Category'!#REF!,"0.00"), ""), "")</f>
        <v/>
      </c>
      <c r="H130" t="str">
        <f>IFERROR(IF(ISNUMBER('Spending by Category'!#REF!),TEXT('Spending by Category'!#REF!,"0.00"), ""), "")</f>
        <v/>
      </c>
      <c r="I130" t="str">
        <f>IFERROR(IF(ISNUMBER('Spending by Category'!#REF!),TEXT('Spending by Category'!#REF!,"0.00"), ""), "")</f>
        <v/>
      </c>
      <c r="J130" t="str">
        <f>IFERROR(IF(ISNUMBER('Spending by Category'!B136),'Spending by Category'!N136, ""), "")</f>
        <v/>
      </c>
    </row>
    <row r="131" spans="1:10">
      <c r="A131" t="str">
        <f>TEXT(IF('Spending by Category'!B137&lt;&gt;0,'Spending by Category'!B137, ""), "mm/dd/yyyy")</f>
        <v/>
      </c>
      <c r="B131" t="str">
        <f>IFERROR(IF(ISNUMBER('Spending by Category'!#REF!),TEXT('Spending by Category'!#REF!,"0.00"), ""), "")</f>
        <v/>
      </c>
      <c r="C131" t="str">
        <f>IFERROR(IF(ISNUMBER('Spending by Category'!#REF!),TEXT('Spending by Category'!#REF!,"0.00"), ""), "")</f>
        <v/>
      </c>
      <c r="D131" t="str">
        <f>IFERROR(IF(ISNUMBER('Spending by Category'!#REF!),TEXT('Spending by Category'!#REF!,"0.00"), ""), "")</f>
        <v/>
      </c>
      <c r="E131" t="str">
        <f>IFERROR(IF(ISNUMBER('Spending by Category'!#REF!),TEXT('Spending by Category'!#REF!,"0.00"), ""), "")</f>
        <v/>
      </c>
      <c r="F131" t="str">
        <f>IFERROR(IF(ISNUMBER('Spending by Category'!#REF!),TEXT('Spending by Category'!#REF!,"0.00"), ""), "")</f>
        <v/>
      </c>
      <c r="G131" t="str">
        <f>IFERROR(IF(ISNUMBER('Spending by Category'!#REF!),TEXT('Spending by Category'!#REF!,"0.00"), ""), "")</f>
        <v/>
      </c>
      <c r="H131" t="str">
        <f>IFERROR(IF(ISNUMBER('Spending by Category'!#REF!),TEXT('Spending by Category'!#REF!,"0.00"), ""), "")</f>
        <v/>
      </c>
      <c r="I131" t="str">
        <f>IFERROR(IF(ISNUMBER('Spending by Category'!#REF!),TEXT('Spending by Category'!#REF!,"0.00"), ""), "")</f>
        <v/>
      </c>
      <c r="J131" t="str">
        <f>IFERROR(IF(ISNUMBER('Spending by Category'!B137),'Spending by Category'!N137, ""), "")</f>
        <v/>
      </c>
    </row>
    <row r="132" spans="1:10">
      <c r="A132" t="str">
        <f>TEXT(IF('Spending by Category'!B138&lt;&gt;0,'Spending by Category'!B138, ""), "mm/dd/yyyy")</f>
        <v/>
      </c>
      <c r="B132" t="str">
        <f>IFERROR(IF(ISNUMBER('Spending by Category'!#REF!),TEXT('Spending by Category'!#REF!,"0.00"), ""), "")</f>
        <v/>
      </c>
      <c r="C132" t="str">
        <f>IFERROR(IF(ISNUMBER('Spending by Category'!#REF!),TEXT('Spending by Category'!#REF!,"0.00"), ""), "")</f>
        <v/>
      </c>
      <c r="D132" t="str">
        <f>IFERROR(IF(ISNUMBER('Spending by Category'!#REF!),TEXT('Spending by Category'!#REF!,"0.00"), ""), "")</f>
        <v/>
      </c>
      <c r="E132" t="str">
        <f>IFERROR(IF(ISNUMBER('Spending by Category'!#REF!),TEXT('Spending by Category'!#REF!,"0.00"), ""), "")</f>
        <v/>
      </c>
      <c r="F132" t="str">
        <f>IFERROR(IF(ISNUMBER('Spending by Category'!#REF!),TEXT('Spending by Category'!#REF!,"0.00"), ""), "")</f>
        <v/>
      </c>
      <c r="G132" t="str">
        <f>IFERROR(IF(ISNUMBER('Spending by Category'!#REF!),TEXT('Spending by Category'!#REF!,"0.00"), ""), "")</f>
        <v/>
      </c>
      <c r="H132" t="str">
        <f>IFERROR(IF(ISNUMBER('Spending by Category'!#REF!),TEXT('Spending by Category'!#REF!,"0.00"), ""), "")</f>
        <v/>
      </c>
      <c r="I132" t="str">
        <f>IFERROR(IF(ISNUMBER('Spending by Category'!#REF!),TEXT('Spending by Category'!#REF!,"0.00"), ""), "")</f>
        <v/>
      </c>
      <c r="J132" t="str">
        <f>IFERROR(IF(ISNUMBER('Spending by Category'!B138),'Spending by Category'!N138, ""), "")</f>
        <v/>
      </c>
    </row>
    <row r="133" spans="1:10">
      <c r="A133" t="str">
        <f>TEXT(IF('Spending by Category'!B139&lt;&gt;0,'Spending by Category'!B139, ""), "mm/dd/yyyy")</f>
        <v/>
      </c>
      <c r="B133" t="str">
        <f>IFERROR(IF(ISNUMBER('Spending by Category'!#REF!),TEXT('Spending by Category'!#REF!,"0.00"), ""), "")</f>
        <v/>
      </c>
      <c r="C133" t="str">
        <f>IFERROR(IF(ISNUMBER('Spending by Category'!#REF!),TEXT('Spending by Category'!#REF!,"0.00"), ""), "")</f>
        <v/>
      </c>
      <c r="D133" t="str">
        <f>IFERROR(IF(ISNUMBER('Spending by Category'!#REF!),TEXT('Spending by Category'!#REF!,"0.00"), ""), "")</f>
        <v/>
      </c>
      <c r="E133" t="str">
        <f>IFERROR(IF(ISNUMBER('Spending by Category'!#REF!),TEXT('Spending by Category'!#REF!,"0.00"), ""), "")</f>
        <v/>
      </c>
      <c r="F133" t="str">
        <f>IFERROR(IF(ISNUMBER('Spending by Category'!#REF!),TEXT('Spending by Category'!#REF!,"0.00"), ""), "")</f>
        <v/>
      </c>
      <c r="G133" t="str">
        <f>IFERROR(IF(ISNUMBER('Spending by Category'!#REF!),TEXT('Spending by Category'!#REF!,"0.00"), ""), "")</f>
        <v/>
      </c>
      <c r="H133" t="str">
        <f>IFERROR(IF(ISNUMBER('Spending by Category'!#REF!),TEXT('Spending by Category'!#REF!,"0.00"), ""), "")</f>
        <v/>
      </c>
      <c r="I133" t="str">
        <f>IFERROR(IF(ISNUMBER('Spending by Category'!#REF!),TEXT('Spending by Category'!#REF!,"0.00"), ""), "")</f>
        <v/>
      </c>
      <c r="J133" t="str">
        <f>IFERROR(IF(ISNUMBER('Spending by Category'!B139),'Spending by Category'!N139, ""), "")</f>
        <v/>
      </c>
    </row>
    <row r="134" spans="1:10">
      <c r="A134" t="str">
        <f>TEXT(IF('Spending by Category'!B140&lt;&gt;0,'Spending by Category'!B140, ""), "mm/dd/yyyy")</f>
        <v/>
      </c>
      <c r="B134" t="str">
        <f>IFERROR(IF(ISNUMBER('Spending by Category'!#REF!),TEXT('Spending by Category'!#REF!,"0.00"), ""), "")</f>
        <v/>
      </c>
      <c r="C134" t="str">
        <f>IFERROR(IF(ISNUMBER('Spending by Category'!#REF!),TEXT('Spending by Category'!#REF!,"0.00"), ""), "")</f>
        <v/>
      </c>
      <c r="D134" t="str">
        <f>IFERROR(IF(ISNUMBER('Spending by Category'!#REF!),TEXT('Spending by Category'!#REF!,"0.00"), ""), "")</f>
        <v/>
      </c>
      <c r="E134" t="str">
        <f>IFERROR(IF(ISNUMBER('Spending by Category'!#REF!),TEXT('Spending by Category'!#REF!,"0.00"), ""), "")</f>
        <v/>
      </c>
      <c r="F134" t="str">
        <f>IFERROR(IF(ISNUMBER('Spending by Category'!#REF!),TEXT('Spending by Category'!#REF!,"0.00"), ""), "")</f>
        <v/>
      </c>
      <c r="G134" t="str">
        <f>IFERROR(IF(ISNUMBER('Spending by Category'!#REF!),TEXT('Spending by Category'!#REF!,"0.00"), ""), "")</f>
        <v/>
      </c>
      <c r="H134" t="str">
        <f>IFERROR(IF(ISNUMBER('Spending by Category'!#REF!),TEXT('Spending by Category'!#REF!,"0.00"), ""), "")</f>
        <v/>
      </c>
      <c r="I134" t="str">
        <f>IFERROR(IF(ISNUMBER('Spending by Category'!#REF!),TEXT('Spending by Category'!#REF!,"0.00"), ""), "")</f>
        <v/>
      </c>
      <c r="J134" t="str">
        <f>IFERROR(IF(ISNUMBER('Spending by Category'!B140),'Spending by Category'!N140, ""), "")</f>
        <v/>
      </c>
    </row>
    <row r="135" spans="1:10">
      <c r="A135" t="str">
        <f>TEXT(IF('Spending by Category'!B141&lt;&gt;0,'Spending by Category'!B141, ""), "mm/dd/yyyy")</f>
        <v/>
      </c>
      <c r="B135" t="str">
        <f>IFERROR(IF(ISNUMBER('Spending by Category'!#REF!),TEXT('Spending by Category'!#REF!,"0.00"), ""), "")</f>
        <v/>
      </c>
      <c r="C135" t="str">
        <f>IFERROR(IF(ISNUMBER('Spending by Category'!#REF!),TEXT('Spending by Category'!#REF!,"0.00"), ""), "")</f>
        <v/>
      </c>
      <c r="D135" t="str">
        <f>IFERROR(IF(ISNUMBER('Spending by Category'!#REF!),TEXT('Spending by Category'!#REF!,"0.00"), ""), "")</f>
        <v/>
      </c>
      <c r="E135" t="str">
        <f>IFERROR(IF(ISNUMBER('Spending by Category'!#REF!),TEXT('Spending by Category'!#REF!,"0.00"), ""), "")</f>
        <v/>
      </c>
      <c r="F135" t="str">
        <f>IFERROR(IF(ISNUMBER('Spending by Category'!#REF!),TEXT('Spending by Category'!#REF!,"0.00"), ""), "")</f>
        <v/>
      </c>
      <c r="G135" t="str">
        <f>IFERROR(IF(ISNUMBER('Spending by Category'!#REF!),TEXT('Spending by Category'!#REF!,"0.00"), ""), "")</f>
        <v/>
      </c>
      <c r="H135" t="str">
        <f>IFERROR(IF(ISNUMBER('Spending by Category'!#REF!),TEXT('Spending by Category'!#REF!,"0.00"), ""), "")</f>
        <v/>
      </c>
      <c r="I135" t="str">
        <f>IFERROR(IF(ISNUMBER('Spending by Category'!#REF!),TEXT('Spending by Category'!#REF!,"0.00"), ""), "")</f>
        <v/>
      </c>
      <c r="J135" t="str">
        <f>IFERROR(IF(ISNUMBER('Spending by Category'!B141),'Spending by Category'!N141, ""), "")</f>
        <v/>
      </c>
    </row>
    <row r="136" spans="1:10">
      <c r="A136" t="str">
        <f>TEXT(IF('Spending by Category'!B142&lt;&gt;0,'Spending by Category'!B142, ""), "mm/dd/yyyy")</f>
        <v/>
      </c>
      <c r="B136" t="str">
        <f>IFERROR(IF(ISNUMBER('Spending by Category'!#REF!),TEXT('Spending by Category'!#REF!,"0.00"), ""), "")</f>
        <v/>
      </c>
      <c r="C136" t="str">
        <f>IFERROR(IF(ISNUMBER('Spending by Category'!#REF!),TEXT('Spending by Category'!#REF!,"0.00"), ""), "")</f>
        <v/>
      </c>
      <c r="D136" t="str">
        <f>IFERROR(IF(ISNUMBER('Spending by Category'!#REF!),TEXT('Spending by Category'!#REF!,"0.00"), ""), "")</f>
        <v/>
      </c>
      <c r="E136" t="str">
        <f>IFERROR(IF(ISNUMBER('Spending by Category'!#REF!),TEXT('Spending by Category'!#REF!,"0.00"), ""), "")</f>
        <v/>
      </c>
      <c r="F136" t="str">
        <f>IFERROR(IF(ISNUMBER('Spending by Category'!#REF!),TEXT('Spending by Category'!#REF!,"0.00"), ""), "")</f>
        <v/>
      </c>
      <c r="G136" t="str">
        <f>IFERROR(IF(ISNUMBER('Spending by Category'!#REF!),TEXT('Spending by Category'!#REF!,"0.00"), ""), "")</f>
        <v/>
      </c>
      <c r="H136" t="str">
        <f>IFERROR(IF(ISNUMBER('Spending by Category'!#REF!),TEXT('Spending by Category'!#REF!,"0.00"), ""), "")</f>
        <v/>
      </c>
      <c r="I136" t="str">
        <f>IFERROR(IF(ISNUMBER('Spending by Category'!#REF!),TEXT('Spending by Category'!#REF!,"0.00"), ""), "")</f>
        <v/>
      </c>
      <c r="J136" t="str">
        <f>IFERROR(IF(ISNUMBER('Spending by Category'!B142),'Spending by Category'!N142, ""), "")</f>
        <v/>
      </c>
    </row>
    <row r="137" spans="1:10">
      <c r="A137" t="str">
        <f>TEXT(IF('Spending by Category'!B143&lt;&gt;0,'Spending by Category'!B143, ""), "mm/dd/yyyy")</f>
        <v/>
      </c>
      <c r="B137" t="str">
        <f>IFERROR(IF(ISNUMBER('Spending by Category'!#REF!),TEXT('Spending by Category'!#REF!,"0.00"), ""), "")</f>
        <v/>
      </c>
      <c r="C137" t="str">
        <f>IFERROR(IF(ISNUMBER('Spending by Category'!#REF!),TEXT('Spending by Category'!#REF!,"0.00"), ""), "")</f>
        <v/>
      </c>
      <c r="D137" t="str">
        <f>IFERROR(IF(ISNUMBER('Spending by Category'!#REF!),TEXT('Spending by Category'!#REF!,"0.00"), ""), "")</f>
        <v/>
      </c>
      <c r="E137" t="str">
        <f>IFERROR(IF(ISNUMBER('Spending by Category'!#REF!),TEXT('Spending by Category'!#REF!,"0.00"), ""), "")</f>
        <v/>
      </c>
      <c r="F137" t="str">
        <f>IFERROR(IF(ISNUMBER('Spending by Category'!#REF!),TEXT('Spending by Category'!#REF!,"0.00"), ""), "")</f>
        <v/>
      </c>
      <c r="G137" t="str">
        <f>IFERROR(IF(ISNUMBER('Spending by Category'!#REF!),TEXT('Spending by Category'!#REF!,"0.00"), ""), "")</f>
        <v/>
      </c>
      <c r="H137" t="str">
        <f>IFERROR(IF(ISNUMBER('Spending by Category'!#REF!),TEXT('Spending by Category'!#REF!,"0.00"), ""), "")</f>
        <v/>
      </c>
      <c r="I137" t="str">
        <f>IFERROR(IF(ISNUMBER('Spending by Category'!#REF!),TEXT('Spending by Category'!#REF!,"0.00"), ""), "")</f>
        <v/>
      </c>
      <c r="J137" t="str">
        <f>IFERROR(IF(ISNUMBER('Spending by Category'!B143),'Spending by Category'!N143, ""), "")</f>
        <v/>
      </c>
    </row>
    <row r="138" spans="1:10">
      <c r="A138" t="str">
        <f>TEXT(IF('Spending by Category'!B144&lt;&gt;0,'Spending by Category'!B144, ""), "mm/dd/yyyy")</f>
        <v/>
      </c>
      <c r="B138" t="str">
        <f>IFERROR(IF(ISNUMBER('Spending by Category'!#REF!),TEXT('Spending by Category'!#REF!,"0.00"), ""), "")</f>
        <v/>
      </c>
      <c r="C138" t="str">
        <f>IFERROR(IF(ISNUMBER('Spending by Category'!#REF!),TEXT('Spending by Category'!#REF!,"0.00"), ""), "")</f>
        <v/>
      </c>
      <c r="D138" t="str">
        <f>IFERROR(IF(ISNUMBER('Spending by Category'!#REF!),TEXT('Spending by Category'!#REF!,"0.00"), ""), "")</f>
        <v/>
      </c>
      <c r="E138" t="str">
        <f>IFERROR(IF(ISNUMBER('Spending by Category'!#REF!),TEXT('Spending by Category'!#REF!,"0.00"), ""), "")</f>
        <v/>
      </c>
      <c r="F138" t="str">
        <f>IFERROR(IF(ISNUMBER('Spending by Category'!#REF!),TEXT('Spending by Category'!#REF!,"0.00"), ""), "")</f>
        <v/>
      </c>
      <c r="G138" t="str">
        <f>IFERROR(IF(ISNUMBER('Spending by Category'!#REF!),TEXT('Spending by Category'!#REF!,"0.00"), ""), "")</f>
        <v/>
      </c>
      <c r="H138" t="str">
        <f>IFERROR(IF(ISNUMBER('Spending by Category'!#REF!),TEXT('Spending by Category'!#REF!,"0.00"), ""), "")</f>
        <v/>
      </c>
      <c r="I138" t="str">
        <f>IFERROR(IF(ISNUMBER('Spending by Category'!#REF!),TEXT('Spending by Category'!#REF!,"0.00"), ""), "")</f>
        <v/>
      </c>
      <c r="J138" t="str">
        <f>IFERROR(IF(ISNUMBER('Spending by Category'!B144),'Spending by Category'!N144, ""), "")</f>
        <v/>
      </c>
    </row>
    <row r="139" spans="1:10">
      <c r="A139" t="str">
        <f>TEXT(IF('Spending by Category'!B145&lt;&gt;0,'Spending by Category'!B145, ""), "mm/dd/yyyy")</f>
        <v/>
      </c>
      <c r="B139" t="str">
        <f>IFERROR(IF(ISNUMBER('Spending by Category'!#REF!),TEXT('Spending by Category'!#REF!,"0.00"), ""), "")</f>
        <v/>
      </c>
      <c r="C139" t="str">
        <f>IFERROR(IF(ISNUMBER('Spending by Category'!#REF!),TEXT('Spending by Category'!#REF!,"0.00"), ""), "")</f>
        <v/>
      </c>
      <c r="D139" t="str">
        <f>IFERROR(IF(ISNUMBER('Spending by Category'!#REF!),TEXT('Spending by Category'!#REF!,"0.00"), ""), "")</f>
        <v/>
      </c>
      <c r="E139" t="str">
        <f>IFERROR(IF(ISNUMBER('Spending by Category'!#REF!),TEXT('Spending by Category'!#REF!,"0.00"), ""), "")</f>
        <v/>
      </c>
      <c r="F139" t="str">
        <f>IFERROR(IF(ISNUMBER('Spending by Category'!#REF!),TEXT('Spending by Category'!#REF!,"0.00"), ""), "")</f>
        <v/>
      </c>
      <c r="G139" t="str">
        <f>IFERROR(IF(ISNUMBER('Spending by Category'!#REF!),TEXT('Spending by Category'!#REF!,"0.00"), ""), "")</f>
        <v/>
      </c>
      <c r="H139" t="str">
        <f>IFERROR(IF(ISNUMBER('Spending by Category'!#REF!),TEXT('Spending by Category'!#REF!,"0.00"), ""), "")</f>
        <v/>
      </c>
      <c r="I139" t="str">
        <f>IFERROR(IF(ISNUMBER('Spending by Category'!#REF!),TEXT('Spending by Category'!#REF!,"0.00"), ""), "")</f>
        <v/>
      </c>
      <c r="J139" t="str">
        <f>IFERROR(IF(ISNUMBER('Spending by Category'!B145),'Spending by Category'!N145, ""), "")</f>
        <v/>
      </c>
    </row>
    <row r="140" spans="1:10">
      <c r="A140" t="str">
        <f>TEXT(IF('Spending by Category'!B146&lt;&gt;0,'Spending by Category'!B146, ""), "mm/dd/yyyy")</f>
        <v/>
      </c>
      <c r="B140" t="str">
        <f>IFERROR(IF(ISNUMBER('Spending by Category'!#REF!),TEXT('Spending by Category'!#REF!,"0.00"), ""), "")</f>
        <v/>
      </c>
      <c r="C140" t="str">
        <f>IFERROR(IF(ISNUMBER('Spending by Category'!#REF!),TEXT('Spending by Category'!#REF!,"0.00"), ""), "")</f>
        <v/>
      </c>
      <c r="D140" t="str">
        <f>IFERROR(IF(ISNUMBER('Spending by Category'!#REF!),TEXT('Spending by Category'!#REF!,"0.00"), ""), "")</f>
        <v/>
      </c>
      <c r="E140" t="str">
        <f>IFERROR(IF(ISNUMBER('Spending by Category'!#REF!),TEXT('Spending by Category'!#REF!,"0.00"), ""), "")</f>
        <v/>
      </c>
      <c r="F140" t="str">
        <f>IFERROR(IF(ISNUMBER('Spending by Category'!#REF!),TEXT('Spending by Category'!#REF!,"0.00"), ""), "")</f>
        <v/>
      </c>
      <c r="G140" t="str">
        <f>IFERROR(IF(ISNUMBER('Spending by Category'!#REF!),TEXT('Spending by Category'!#REF!,"0.00"), ""), "")</f>
        <v/>
      </c>
      <c r="H140" t="str">
        <f>IFERROR(IF(ISNUMBER('Spending by Category'!#REF!),TEXT('Spending by Category'!#REF!,"0.00"), ""), "")</f>
        <v/>
      </c>
      <c r="I140" t="str">
        <f>IFERROR(IF(ISNUMBER('Spending by Category'!#REF!),TEXT('Spending by Category'!#REF!,"0.00"), ""), "")</f>
        <v/>
      </c>
      <c r="J140" t="str">
        <f>IFERROR(IF(ISNUMBER('Spending by Category'!B146),'Spending by Category'!N146, ""), "")</f>
        <v/>
      </c>
    </row>
    <row r="141" spans="1:10">
      <c r="A141" t="str">
        <f>TEXT(IF('Spending by Category'!B147&lt;&gt;0,'Spending by Category'!B147, ""), "mm/dd/yyyy")</f>
        <v/>
      </c>
      <c r="B141" t="str">
        <f>IFERROR(IF(ISNUMBER('Spending by Category'!#REF!),TEXT('Spending by Category'!#REF!,"0.00"), ""), "")</f>
        <v/>
      </c>
      <c r="C141" t="str">
        <f>IFERROR(IF(ISNUMBER('Spending by Category'!#REF!),TEXT('Spending by Category'!#REF!,"0.00"), ""), "")</f>
        <v/>
      </c>
      <c r="D141" t="str">
        <f>IFERROR(IF(ISNUMBER('Spending by Category'!#REF!),TEXT('Spending by Category'!#REF!,"0.00"), ""), "")</f>
        <v/>
      </c>
      <c r="E141" t="str">
        <f>IFERROR(IF(ISNUMBER('Spending by Category'!#REF!),TEXT('Spending by Category'!#REF!,"0.00"), ""), "")</f>
        <v/>
      </c>
      <c r="F141" t="str">
        <f>IFERROR(IF(ISNUMBER('Spending by Category'!#REF!),TEXT('Spending by Category'!#REF!,"0.00"), ""), "")</f>
        <v/>
      </c>
      <c r="G141" t="str">
        <f>IFERROR(IF(ISNUMBER('Spending by Category'!#REF!),TEXT('Spending by Category'!#REF!,"0.00"), ""), "")</f>
        <v/>
      </c>
      <c r="H141" t="str">
        <f>IFERROR(IF(ISNUMBER('Spending by Category'!#REF!),TEXT('Spending by Category'!#REF!,"0.00"), ""), "")</f>
        <v/>
      </c>
      <c r="I141" t="str">
        <f>IFERROR(IF(ISNUMBER('Spending by Category'!#REF!),TEXT('Spending by Category'!#REF!,"0.00"), ""), "")</f>
        <v/>
      </c>
      <c r="J141" t="str">
        <f>IFERROR(IF(ISNUMBER('Spending by Category'!B147),'Spending by Category'!N147, ""), "")</f>
        <v/>
      </c>
    </row>
    <row r="142" spans="1:10">
      <c r="A142" t="str">
        <f>TEXT(IF('Spending by Category'!B148&lt;&gt;0,'Spending by Category'!B148, ""), "mm/dd/yyyy")</f>
        <v/>
      </c>
      <c r="B142" t="str">
        <f>IFERROR(IF(ISNUMBER('Spending by Category'!#REF!),TEXT('Spending by Category'!#REF!,"0.00"), ""), "")</f>
        <v/>
      </c>
      <c r="C142" t="str">
        <f>IFERROR(IF(ISNUMBER('Spending by Category'!#REF!),TEXT('Spending by Category'!#REF!,"0.00"), ""), "")</f>
        <v/>
      </c>
      <c r="D142" t="str">
        <f>IFERROR(IF(ISNUMBER('Spending by Category'!#REF!),TEXT('Spending by Category'!#REF!,"0.00"), ""), "")</f>
        <v/>
      </c>
      <c r="E142" t="str">
        <f>IFERROR(IF(ISNUMBER('Spending by Category'!#REF!),TEXT('Spending by Category'!#REF!,"0.00"), ""), "")</f>
        <v/>
      </c>
      <c r="F142" t="str">
        <f>IFERROR(IF(ISNUMBER('Spending by Category'!#REF!),TEXT('Spending by Category'!#REF!,"0.00"), ""), "")</f>
        <v/>
      </c>
      <c r="G142" t="str">
        <f>IFERROR(IF(ISNUMBER('Spending by Category'!#REF!),TEXT('Spending by Category'!#REF!,"0.00"), ""), "")</f>
        <v/>
      </c>
      <c r="H142" t="str">
        <f>IFERROR(IF(ISNUMBER('Spending by Category'!#REF!),TEXT('Spending by Category'!#REF!,"0.00"), ""), "")</f>
        <v/>
      </c>
      <c r="I142" t="str">
        <f>IFERROR(IF(ISNUMBER('Spending by Category'!#REF!),TEXT('Spending by Category'!#REF!,"0.00"), ""), "")</f>
        <v/>
      </c>
      <c r="J142" t="str">
        <f>IFERROR(IF(ISNUMBER('Spending by Category'!B148),'Spending by Category'!N148, ""), "")</f>
        <v/>
      </c>
    </row>
    <row r="143" spans="1:10">
      <c r="A143" t="str">
        <f>TEXT(IF('Spending by Category'!B149&lt;&gt;0,'Spending by Category'!B149, ""), "mm/dd/yyyy")</f>
        <v/>
      </c>
      <c r="B143" t="str">
        <f>IFERROR(IF(ISNUMBER('Spending by Category'!#REF!),TEXT('Spending by Category'!#REF!,"0.00"), ""), "")</f>
        <v/>
      </c>
      <c r="C143" t="str">
        <f>IFERROR(IF(ISNUMBER('Spending by Category'!#REF!),TEXT('Spending by Category'!#REF!,"0.00"), ""), "")</f>
        <v/>
      </c>
      <c r="D143" t="str">
        <f>IFERROR(IF(ISNUMBER('Spending by Category'!#REF!),TEXT('Spending by Category'!#REF!,"0.00"), ""), "")</f>
        <v/>
      </c>
      <c r="E143" t="str">
        <f>IFERROR(IF(ISNUMBER('Spending by Category'!#REF!),TEXT('Spending by Category'!#REF!,"0.00"), ""), "")</f>
        <v/>
      </c>
      <c r="F143" t="str">
        <f>IFERROR(IF(ISNUMBER('Spending by Category'!#REF!),TEXT('Spending by Category'!#REF!,"0.00"), ""), "")</f>
        <v/>
      </c>
      <c r="G143" t="str">
        <f>IFERROR(IF(ISNUMBER('Spending by Category'!#REF!),TEXT('Spending by Category'!#REF!,"0.00"), ""), "")</f>
        <v/>
      </c>
      <c r="H143" t="str">
        <f>IFERROR(IF(ISNUMBER('Spending by Category'!#REF!),TEXT('Spending by Category'!#REF!,"0.00"), ""), "")</f>
        <v/>
      </c>
      <c r="I143" t="str">
        <f>IFERROR(IF(ISNUMBER('Spending by Category'!#REF!),TEXT('Spending by Category'!#REF!,"0.00"), ""), "")</f>
        <v/>
      </c>
      <c r="J143" t="str">
        <f>IFERROR(IF(ISNUMBER('Spending by Category'!B149),'Spending by Category'!N149, ""), "")</f>
        <v/>
      </c>
    </row>
    <row r="144" spans="1:10">
      <c r="A144" t="str">
        <f>TEXT(IF('Spending by Category'!B150&lt;&gt;0,'Spending by Category'!B150, ""), "mm/dd/yyyy")</f>
        <v/>
      </c>
      <c r="B144" t="str">
        <f>IFERROR(IF(ISNUMBER('Spending by Category'!#REF!),TEXT('Spending by Category'!#REF!,"0.00"), ""), "")</f>
        <v/>
      </c>
      <c r="C144" t="str">
        <f>IFERROR(IF(ISNUMBER('Spending by Category'!#REF!),TEXT('Spending by Category'!#REF!,"0.00"), ""), "")</f>
        <v/>
      </c>
      <c r="D144" t="str">
        <f>IFERROR(IF(ISNUMBER('Spending by Category'!#REF!),TEXT('Spending by Category'!#REF!,"0.00"), ""), "")</f>
        <v/>
      </c>
      <c r="E144" t="str">
        <f>IFERROR(IF(ISNUMBER('Spending by Category'!#REF!),TEXT('Spending by Category'!#REF!,"0.00"), ""), "")</f>
        <v/>
      </c>
      <c r="F144" t="str">
        <f>IFERROR(IF(ISNUMBER('Spending by Category'!#REF!),TEXT('Spending by Category'!#REF!,"0.00"), ""), "")</f>
        <v/>
      </c>
      <c r="G144" t="str">
        <f>IFERROR(IF(ISNUMBER('Spending by Category'!#REF!),TEXT('Spending by Category'!#REF!,"0.00"), ""), "")</f>
        <v/>
      </c>
      <c r="H144" t="str">
        <f>IFERROR(IF(ISNUMBER('Spending by Category'!#REF!),TEXT('Spending by Category'!#REF!,"0.00"), ""), "")</f>
        <v/>
      </c>
      <c r="I144" t="str">
        <f>IFERROR(IF(ISNUMBER('Spending by Category'!#REF!),TEXT('Spending by Category'!#REF!,"0.00"), ""), "")</f>
        <v/>
      </c>
      <c r="J144" t="str">
        <f>IFERROR(IF(ISNUMBER('Spending by Category'!B150),'Spending by Category'!N150, ""), "")</f>
        <v/>
      </c>
    </row>
    <row r="145" spans="1:10">
      <c r="A145" t="str">
        <f>TEXT(IF('Spending by Category'!B151&lt;&gt;0,'Spending by Category'!B151, ""), "mm/dd/yyyy")</f>
        <v/>
      </c>
      <c r="B145" t="str">
        <f>IFERROR(IF(ISNUMBER('Spending by Category'!#REF!),TEXT('Spending by Category'!#REF!,"0.00"), ""), "")</f>
        <v/>
      </c>
      <c r="C145" t="str">
        <f>IFERROR(IF(ISNUMBER('Spending by Category'!#REF!),TEXT('Spending by Category'!#REF!,"0.00"), ""), "")</f>
        <v/>
      </c>
      <c r="D145" t="str">
        <f>IFERROR(IF(ISNUMBER('Spending by Category'!#REF!),TEXT('Spending by Category'!#REF!,"0.00"), ""), "")</f>
        <v/>
      </c>
      <c r="E145" t="str">
        <f>IFERROR(IF(ISNUMBER('Spending by Category'!#REF!),TEXT('Spending by Category'!#REF!,"0.00"), ""), "")</f>
        <v/>
      </c>
      <c r="F145" t="str">
        <f>IFERROR(IF(ISNUMBER('Spending by Category'!#REF!),TEXT('Spending by Category'!#REF!,"0.00"), ""), "")</f>
        <v/>
      </c>
      <c r="G145" t="str">
        <f>IFERROR(IF(ISNUMBER('Spending by Category'!#REF!),TEXT('Spending by Category'!#REF!,"0.00"), ""), "")</f>
        <v/>
      </c>
      <c r="H145" t="str">
        <f>IFERROR(IF(ISNUMBER('Spending by Category'!#REF!),TEXT('Spending by Category'!#REF!,"0.00"), ""), "")</f>
        <v/>
      </c>
      <c r="I145" t="str">
        <f>IFERROR(IF(ISNUMBER('Spending by Category'!#REF!),TEXT('Spending by Category'!#REF!,"0.00"), ""), "")</f>
        <v/>
      </c>
      <c r="J145" t="str">
        <f>IFERROR(IF(ISNUMBER('Spending by Category'!B151),'Spending by Category'!N151, ""), "")</f>
        <v/>
      </c>
    </row>
    <row r="146" spans="1:10">
      <c r="A146" t="str">
        <f>TEXT(IF('Spending by Category'!B152&lt;&gt;0,'Spending by Category'!B152, ""), "mm/dd/yyyy")</f>
        <v/>
      </c>
      <c r="B146" t="str">
        <f>IFERROR(IF(ISNUMBER('Spending by Category'!#REF!),TEXT('Spending by Category'!#REF!,"0.00"), ""), "")</f>
        <v/>
      </c>
      <c r="C146" t="str">
        <f>IFERROR(IF(ISNUMBER('Spending by Category'!#REF!),TEXT('Spending by Category'!#REF!,"0.00"), ""), "")</f>
        <v/>
      </c>
      <c r="D146" t="str">
        <f>IFERROR(IF(ISNUMBER('Spending by Category'!#REF!),TEXT('Spending by Category'!#REF!,"0.00"), ""), "")</f>
        <v/>
      </c>
      <c r="E146" t="str">
        <f>IFERROR(IF(ISNUMBER('Spending by Category'!#REF!),TEXT('Spending by Category'!#REF!,"0.00"), ""), "")</f>
        <v/>
      </c>
      <c r="F146" t="str">
        <f>IFERROR(IF(ISNUMBER('Spending by Category'!#REF!),TEXT('Spending by Category'!#REF!,"0.00"), ""), "")</f>
        <v/>
      </c>
      <c r="G146" t="str">
        <f>IFERROR(IF(ISNUMBER('Spending by Category'!#REF!),TEXT('Spending by Category'!#REF!,"0.00"), ""), "")</f>
        <v/>
      </c>
      <c r="H146" t="str">
        <f>IFERROR(IF(ISNUMBER('Spending by Category'!#REF!),TEXT('Spending by Category'!#REF!,"0.00"), ""), "")</f>
        <v/>
      </c>
      <c r="I146" t="str">
        <f>IFERROR(IF(ISNUMBER('Spending by Category'!#REF!),TEXT('Spending by Category'!#REF!,"0.00"), ""), "")</f>
        <v/>
      </c>
      <c r="J146" t="str">
        <f>IFERROR(IF(ISNUMBER('Spending by Category'!B152),'Spending by Category'!N152, ""), "")</f>
        <v/>
      </c>
    </row>
    <row r="147" spans="1:10">
      <c r="A147" t="str">
        <f>TEXT(IF('Spending by Category'!B153&lt;&gt;0,'Spending by Category'!B153, ""), "mm/dd/yyyy")</f>
        <v/>
      </c>
      <c r="B147" t="str">
        <f>IFERROR(IF(ISNUMBER('Spending by Category'!#REF!),TEXT('Spending by Category'!#REF!,"0.00"), ""), "")</f>
        <v/>
      </c>
      <c r="C147" t="str">
        <f>IFERROR(IF(ISNUMBER('Spending by Category'!#REF!),TEXT('Spending by Category'!#REF!,"0.00"), ""), "")</f>
        <v/>
      </c>
      <c r="D147" t="str">
        <f>IFERROR(IF(ISNUMBER('Spending by Category'!#REF!),TEXT('Spending by Category'!#REF!,"0.00"), ""), "")</f>
        <v/>
      </c>
      <c r="E147" t="str">
        <f>IFERROR(IF(ISNUMBER('Spending by Category'!#REF!),TEXT('Spending by Category'!#REF!,"0.00"), ""), "")</f>
        <v/>
      </c>
      <c r="F147" t="str">
        <f>IFERROR(IF(ISNUMBER('Spending by Category'!#REF!),TEXT('Spending by Category'!#REF!,"0.00"), ""), "")</f>
        <v/>
      </c>
      <c r="G147" t="str">
        <f>IFERROR(IF(ISNUMBER('Spending by Category'!#REF!),TEXT('Spending by Category'!#REF!,"0.00"), ""), "")</f>
        <v/>
      </c>
      <c r="H147" t="str">
        <f>IFERROR(IF(ISNUMBER('Spending by Category'!#REF!),TEXT('Spending by Category'!#REF!,"0.00"), ""), "")</f>
        <v/>
      </c>
      <c r="I147" t="str">
        <f>IFERROR(IF(ISNUMBER('Spending by Category'!#REF!),TEXT('Spending by Category'!#REF!,"0.00"), ""), "")</f>
        <v/>
      </c>
      <c r="J147" t="str">
        <f>IFERROR(IF(ISNUMBER('Spending by Category'!B153),'Spending by Category'!N153, ""), "")</f>
        <v/>
      </c>
    </row>
    <row r="148" spans="1:10">
      <c r="A148" t="str">
        <f>TEXT(IF('Spending by Category'!B154&lt;&gt;0,'Spending by Category'!B154, ""), "mm/dd/yyyy")</f>
        <v/>
      </c>
      <c r="B148" t="str">
        <f>IFERROR(IF(ISNUMBER('Spending by Category'!#REF!),TEXT('Spending by Category'!#REF!,"0.00"), ""), "")</f>
        <v/>
      </c>
      <c r="C148" t="str">
        <f>IFERROR(IF(ISNUMBER('Spending by Category'!#REF!),TEXT('Spending by Category'!#REF!,"0.00"), ""), "")</f>
        <v/>
      </c>
      <c r="D148" t="str">
        <f>IFERROR(IF(ISNUMBER('Spending by Category'!#REF!),TEXT('Spending by Category'!#REF!,"0.00"), ""), "")</f>
        <v/>
      </c>
      <c r="E148" t="str">
        <f>IFERROR(IF(ISNUMBER('Spending by Category'!#REF!),TEXT('Spending by Category'!#REF!,"0.00"), ""), "")</f>
        <v/>
      </c>
      <c r="F148" t="str">
        <f>IFERROR(IF(ISNUMBER('Spending by Category'!#REF!),TEXT('Spending by Category'!#REF!,"0.00"), ""), "")</f>
        <v/>
      </c>
      <c r="G148" t="str">
        <f>IFERROR(IF(ISNUMBER('Spending by Category'!#REF!),TEXT('Spending by Category'!#REF!,"0.00"), ""), "")</f>
        <v/>
      </c>
      <c r="H148" t="str">
        <f>IFERROR(IF(ISNUMBER('Spending by Category'!#REF!),TEXT('Spending by Category'!#REF!,"0.00"), ""), "")</f>
        <v/>
      </c>
      <c r="I148" t="str">
        <f>IFERROR(IF(ISNUMBER('Spending by Category'!#REF!),TEXT('Spending by Category'!#REF!,"0.00"), ""), "")</f>
        <v/>
      </c>
      <c r="J148" t="str">
        <f>IFERROR(IF(ISNUMBER('Spending by Category'!B154),'Spending by Category'!N154, ""), "")</f>
        <v/>
      </c>
    </row>
    <row r="149" spans="1:10">
      <c r="A149" t="str">
        <f>TEXT(IF('Spending by Category'!B155&lt;&gt;0,'Spending by Category'!B155, ""), "mm/dd/yyyy")</f>
        <v/>
      </c>
      <c r="B149" t="str">
        <f>IFERROR(IF(ISNUMBER('Spending by Category'!#REF!),TEXT('Spending by Category'!#REF!,"0.00"), ""), "")</f>
        <v/>
      </c>
      <c r="C149" t="str">
        <f>IFERROR(IF(ISNUMBER('Spending by Category'!#REF!),TEXT('Spending by Category'!#REF!,"0.00"), ""), "")</f>
        <v/>
      </c>
      <c r="D149" t="str">
        <f>IFERROR(IF(ISNUMBER('Spending by Category'!#REF!),TEXT('Spending by Category'!#REF!,"0.00"), ""), "")</f>
        <v/>
      </c>
      <c r="E149" t="str">
        <f>IFERROR(IF(ISNUMBER('Spending by Category'!#REF!),TEXT('Spending by Category'!#REF!,"0.00"), ""), "")</f>
        <v/>
      </c>
      <c r="F149" t="str">
        <f>IFERROR(IF(ISNUMBER('Spending by Category'!#REF!),TEXT('Spending by Category'!#REF!,"0.00"), ""), "")</f>
        <v/>
      </c>
      <c r="G149" t="str">
        <f>IFERROR(IF(ISNUMBER('Spending by Category'!#REF!),TEXT('Spending by Category'!#REF!,"0.00"), ""), "")</f>
        <v/>
      </c>
      <c r="H149" t="str">
        <f>IFERROR(IF(ISNUMBER('Spending by Category'!#REF!),TEXT('Spending by Category'!#REF!,"0.00"), ""), "")</f>
        <v/>
      </c>
      <c r="I149" t="str">
        <f>IFERROR(IF(ISNUMBER('Spending by Category'!#REF!),TEXT('Spending by Category'!#REF!,"0.00"), ""), "")</f>
        <v/>
      </c>
      <c r="J149" t="str">
        <f>IFERROR(IF(ISNUMBER('Spending by Category'!B155),'Spending by Category'!N155, ""), "")</f>
        <v/>
      </c>
    </row>
    <row r="150" spans="1:10">
      <c r="A150" t="str">
        <f>TEXT(IF('Spending by Category'!B156&lt;&gt;0,'Spending by Category'!B156, ""), "mm/dd/yyyy")</f>
        <v/>
      </c>
      <c r="B150" t="str">
        <f>IFERROR(IF(ISNUMBER('Spending by Category'!#REF!),TEXT('Spending by Category'!#REF!,"0.00"), ""), "")</f>
        <v/>
      </c>
      <c r="C150" t="str">
        <f>IFERROR(IF(ISNUMBER('Spending by Category'!#REF!),TEXT('Spending by Category'!#REF!,"0.00"), ""), "")</f>
        <v/>
      </c>
      <c r="D150" t="str">
        <f>IFERROR(IF(ISNUMBER('Spending by Category'!#REF!),TEXT('Spending by Category'!#REF!,"0.00"), ""), "")</f>
        <v/>
      </c>
      <c r="E150" t="str">
        <f>IFERROR(IF(ISNUMBER('Spending by Category'!#REF!),TEXT('Spending by Category'!#REF!,"0.00"), ""), "")</f>
        <v/>
      </c>
      <c r="F150" t="str">
        <f>IFERROR(IF(ISNUMBER('Spending by Category'!#REF!),TEXT('Spending by Category'!#REF!,"0.00"), ""), "")</f>
        <v/>
      </c>
      <c r="G150" t="str">
        <f>IFERROR(IF(ISNUMBER('Spending by Category'!#REF!),TEXT('Spending by Category'!#REF!,"0.00"), ""), "")</f>
        <v/>
      </c>
      <c r="H150" t="str">
        <f>IFERROR(IF(ISNUMBER('Spending by Category'!#REF!),TEXT('Spending by Category'!#REF!,"0.00"), ""), "")</f>
        <v/>
      </c>
      <c r="I150" t="str">
        <f>IFERROR(IF(ISNUMBER('Spending by Category'!#REF!),TEXT('Spending by Category'!#REF!,"0.00"), ""), "")</f>
        <v/>
      </c>
      <c r="J150" t="str">
        <f>IFERROR(IF(ISNUMBER('Spending by Category'!B156),'Spending by Category'!N156, ""), "")</f>
        <v/>
      </c>
    </row>
    <row r="151" spans="1:10">
      <c r="A151" t="str">
        <f>TEXT(IF('Spending by Category'!B157&lt;&gt;0,'Spending by Category'!B157, ""), "mm/dd/yyyy")</f>
        <v/>
      </c>
      <c r="B151" t="str">
        <f>IFERROR(IF(ISNUMBER('Spending by Category'!#REF!),TEXT('Spending by Category'!#REF!,"0.00"), ""), "")</f>
        <v/>
      </c>
      <c r="C151" t="str">
        <f>IFERROR(IF(ISNUMBER('Spending by Category'!#REF!),TEXT('Spending by Category'!#REF!,"0.00"), ""), "")</f>
        <v/>
      </c>
      <c r="D151" t="str">
        <f>IFERROR(IF(ISNUMBER('Spending by Category'!#REF!),TEXT('Spending by Category'!#REF!,"0.00"), ""), "")</f>
        <v/>
      </c>
      <c r="E151" t="str">
        <f>IFERROR(IF(ISNUMBER('Spending by Category'!#REF!),TEXT('Spending by Category'!#REF!,"0.00"), ""), "")</f>
        <v/>
      </c>
      <c r="F151" t="str">
        <f>IFERROR(IF(ISNUMBER('Spending by Category'!#REF!),TEXT('Spending by Category'!#REF!,"0.00"), ""), "")</f>
        <v/>
      </c>
      <c r="G151" t="str">
        <f>IFERROR(IF(ISNUMBER('Spending by Category'!#REF!),TEXT('Spending by Category'!#REF!,"0.00"), ""), "")</f>
        <v/>
      </c>
      <c r="H151" t="str">
        <f>IFERROR(IF(ISNUMBER('Spending by Category'!#REF!),TEXT('Spending by Category'!#REF!,"0.00"), ""), "")</f>
        <v/>
      </c>
      <c r="I151" t="str">
        <f>IFERROR(IF(ISNUMBER('Spending by Category'!#REF!),TEXT('Spending by Category'!#REF!,"0.00"), ""), "")</f>
        <v/>
      </c>
      <c r="J151" t="str">
        <f>IFERROR(IF(ISNUMBER('Spending by Category'!B157),'Spending by Category'!N157, ""), "")</f>
        <v/>
      </c>
    </row>
    <row r="152" spans="1:10">
      <c r="A152" t="str">
        <f>TEXT(IF('Spending by Category'!B158&lt;&gt;0,'Spending by Category'!B158, ""), "mm/dd/yyyy")</f>
        <v/>
      </c>
      <c r="B152" t="str">
        <f>IFERROR(IF(ISNUMBER('Spending by Category'!#REF!),TEXT('Spending by Category'!#REF!,"0.00"), ""), "")</f>
        <v/>
      </c>
      <c r="C152" t="str">
        <f>IFERROR(IF(ISNUMBER('Spending by Category'!#REF!),TEXT('Spending by Category'!#REF!,"0.00"), ""), "")</f>
        <v/>
      </c>
      <c r="D152" t="str">
        <f>IFERROR(IF(ISNUMBER('Spending by Category'!#REF!),TEXT('Spending by Category'!#REF!,"0.00"), ""), "")</f>
        <v/>
      </c>
      <c r="E152" t="str">
        <f>IFERROR(IF(ISNUMBER('Spending by Category'!#REF!),TEXT('Spending by Category'!#REF!,"0.00"), ""), "")</f>
        <v/>
      </c>
      <c r="F152" t="str">
        <f>IFERROR(IF(ISNUMBER('Spending by Category'!#REF!),TEXT('Spending by Category'!#REF!,"0.00"), ""), "")</f>
        <v/>
      </c>
      <c r="G152" t="str">
        <f>IFERROR(IF(ISNUMBER('Spending by Category'!#REF!),TEXT('Spending by Category'!#REF!,"0.00"), ""), "")</f>
        <v/>
      </c>
      <c r="H152" t="str">
        <f>IFERROR(IF(ISNUMBER('Spending by Category'!#REF!),TEXT('Spending by Category'!#REF!,"0.00"), ""), "")</f>
        <v/>
      </c>
      <c r="I152" t="str">
        <f>IFERROR(IF(ISNUMBER('Spending by Category'!#REF!),TEXT('Spending by Category'!#REF!,"0.00"), ""), "")</f>
        <v/>
      </c>
      <c r="J152" t="str">
        <f>IFERROR(IF(ISNUMBER('Spending by Category'!B158),'Spending by Category'!N158, ""), "")</f>
        <v/>
      </c>
    </row>
    <row r="153" spans="1:10">
      <c r="A153" t="str">
        <f>TEXT(IF('Spending by Category'!B159&lt;&gt;0,'Spending by Category'!B159, ""), "mm/dd/yyyy")</f>
        <v/>
      </c>
      <c r="B153" t="str">
        <f>IFERROR(IF(ISNUMBER('Spending by Category'!#REF!),TEXT('Spending by Category'!#REF!,"0.00"), ""), "")</f>
        <v/>
      </c>
      <c r="C153" t="str">
        <f>IFERROR(IF(ISNUMBER('Spending by Category'!#REF!),TEXT('Spending by Category'!#REF!,"0.00"), ""), "")</f>
        <v/>
      </c>
      <c r="D153" t="str">
        <f>IFERROR(IF(ISNUMBER('Spending by Category'!#REF!),TEXT('Spending by Category'!#REF!,"0.00"), ""), "")</f>
        <v/>
      </c>
      <c r="E153" t="str">
        <f>IFERROR(IF(ISNUMBER('Spending by Category'!#REF!),TEXT('Spending by Category'!#REF!,"0.00"), ""), "")</f>
        <v/>
      </c>
      <c r="F153" t="str">
        <f>IFERROR(IF(ISNUMBER('Spending by Category'!#REF!),TEXT('Spending by Category'!#REF!,"0.00"), ""), "")</f>
        <v/>
      </c>
      <c r="G153" t="str">
        <f>IFERROR(IF(ISNUMBER('Spending by Category'!#REF!),TEXT('Spending by Category'!#REF!,"0.00"), ""), "")</f>
        <v/>
      </c>
      <c r="H153" t="str">
        <f>IFERROR(IF(ISNUMBER('Spending by Category'!#REF!),TEXT('Spending by Category'!#REF!,"0.00"), ""), "")</f>
        <v/>
      </c>
      <c r="I153" t="str">
        <f>IFERROR(IF(ISNUMBER('Spending by Category'!#REF!),TEXT('Spending by Category'!#REF!,"0.00"), ""), "")</f>
        <v/>
      </c>
      <c r="J153" t="str">
        <f>IFERROR(IF(ISNUMBER('Spending by Category'!B159),'Spending by Category'!N159, ""), "")</f>
        <v/>
      </c>
    </row>
    <row r="154" spans="1:10">
      <c r="A154" t="str">
        <f>TEXT(IF('Spending by Category'!B160&lt;&gt;0,'Spending by Category'!B160, ""), "mm/dd/yyyy")</f>
        <v/>
      </c>
      <c r="B154" t="str">
        <f>IFERROR(IF(ISNUMBER('Spending by Category'!#REF!),TEXT('Spending by Category'!#REF!,"0.00"), ""), "")</f>
        <v/>
      </c>
      <c r="C154" t="str">
        <f>IFERROR(IF(ISNUMBER('Spending by Category'!#REF!),TEXT('Spending by Category'!#REF!,"0.00"), ""), "")</f>
        <v/>
      </c>
      <c r="D154" t="str">
        <f>IFERROR(IF(ISNUMBER('Spending by Category'!#REF!),TEXT('Spending by Category'!#REF!,"0.00"), ""), "")</f>
        <v/>
      </c>
      <c r="E154" t="str">
        <f>IFERROR(IF(ISNUMBER('Spending by Category'!#REF!),TEXT('Spending by Category'!#REF!,"0.00"), ""), "")</f>
        <v/>
      </c>
      <c r="F154" t="str">
        <f>IFERROR(IF(ISNUMBER('Spending by Category'!#REF!),TEXT('Spending by Category'!#REF!,"0.00"), ""), "")</f>
        <v/>
      </c>
      <c r="G154" t="str">
        <f>IFERROR(IF(ISNUMBER('Spending by Category'!#REF!),TEXT('Spending by Category'!#REF!,"0.00"), ""), "")</f>
        <v/>
      </c>
      <c r="H154" t="str">
        <f>IFERROR(IF(ISNUMBER('Spending by Category'!#REF!),TEXT('Spending by Category'!#REF!,"0.00"), ""), "")</f>
        <v/>
      </c>
      <c r="I154" t="str">
        <f>IFERROR(IF(ISNUMBER('Spending by Category'!#REF!),TEXT('Spending by Category'!#REF!,"0.00"), ""), "")</f>
        <v/>
      </c>
      <c r="J154" t="str">
        <f>IFERROR(IF(ISNUMBER('Spending by Category'!B160),'Spending by Category'!N160, ""), "")</f>
        <v/>
      </c>
    </row>
    <row r="155" spans="1:10">
      <c r="A155" t="str">
        <f>TEXT(IF('Spending by Category'!B161&lt;&gt;0,'Spending by Category'!B161, ""), "mm/dd/yyyy")</f>
        <v/>
      </c>
      <c r="B155" t="str">
        <f>IFERROR(IF(ISNUMBER('Spending by Category'!#REF!),TEXT('Spending by Category'!#REF!,"0.00"), ""), "")</f>
        <v/>
      </c>
      <c r="C155" t="str">
        <f>IFERROR(IF(ISNUMBER('Spending by Category'!#REF!),TEXT('Spending by Category'!#REF!,"0.00"), ""), "")</f>
        <v/>
      </c>
      <c r="D155" t="str">
        <f>IFERROR(IF(ISNUMBER('Spending by Category'!#REF!),TEXT('Spending by Category'!#REF!,"0.00"), ""), "")</f>
        <v/>
      </c>
      <c r="E155" t="str">
        <f>IFERROR(IF(ISNUMBER('Spending by Category'!#REF!),TEXT('Spending by Category'!#REF!,"0.00"), ""), "")</f>
        <v/>
      </c>
      <c r="F155" t="str">
        <f>IFERROR(IF(ISNUMBER('Spending by Category'!#REF!),TEXT('Spending by Category'!#REF!,"0.00"), ""), "")</f>
        <v/>
      </c>
      <c r="G155" t="str">
        <f>IFERROR(IF(ISNUMBER('Spending by Category'!#REF!),TEXT('Spending by Category'!#REF!,"0.00"), ""), "")</f>
        <v/>
      </c>
      <c r="H155" t="str">
        <f>IFERROR(IF(ISNUMBER('Spending by Category'!#REF!),TEXT('Spending by Category'!#REF!,"0.00"), ""), "")</f>
        <v/>
      </c>
      <c r="I155" t="str">
        <f>IFERROR(IF(ISNUMBER('Spending by Category'!#REF!),TEXT('Spending by Category'!#REF!,"0.00"), ""), "")</f>
        <v/>
      </c>
      <c r="J155" t="str">
        <f>IFERROR(IF(ISNUMBER('Spending by Category'!B161),'Spending by Category'!N161, ""), "")</f>
        <v/>
      </c>
    </row>
    <row r="156" spans="1:10">
      <c r="A156" t="str">
        <f>TEXT(IF('Spending by Category'!B162&lt;&gt;0,'Spending by Category'!B162, ""), "mm/dd/yyyy")</f>
        <v/>
      </c>
      <c r="B156" t="str">
        <f>IFERROR(IF(ISNUMBER('Spending by Category'!#REF!),TEXT('Spending by Category'!#REF!,"0.00"), ""), "")</f>
        <v/>
      </c>
      <c r="C156" t="str">
        <f>IFERROR(IF(ISNUMBER('Spending by Category'!#REF!),TEXT('Spending by Category'!#REF!,"0.00"), ""), "")</f>
        <v/>
      </c>
      <c r="D156" t="str">
        <f>IFERROR(IF(ISNUMBER('Spending by Category'!#REF!),TEXT('Spending by Category'!#REF!,"0.00"), ""), "")</f>
        <v/>
      </c>
      <c r="E156" t="str">
        <f>IFERROR(IF(ISNUMBER('Spending by Category'!#REF!),TEXT('Spending by Category'!#REF!,"0.00"), ""), "")</f>
        <v/>
      </c>
      <c r="F156" t="str">
        <f>IFERROR(IF(ISNUMBER('Spending by Category'!#REF!),TEXT('Spending by Category'!#REF!,"0.00"), ""), "")</f>
        <v/>
      </c>
      <c r="G156" t="str">
        <f>IFERROR(IF(ISNUMBER('Spending by Category'!#REF!),TEXT('Spending by Category'!#REF!,"0.00"), ""), "")</f>
        <v/>
      </c>
      <c r="H156" t="str">
        <f>IFERROR(IF(ISNUMBER('Spending by Category'!#REF!),TEXT('Spending by Category'!#REF!,"0.00"), ""), "")</f>
        <v/>
      </c>
      <c r="I156" t="str">
        <f>IFERROR(IF(ISNUMBER('Spending by Category'!#REF!),TEXT('Spending by Category'!#REF!,"0.00"), ""), "")</f>
        <v/>
      </c>
      <c r="J156" t="str">
        <f>IFERROR(IF(ISNUMBER('Spending by Category'!B162),'Spending by Category'!N162, ""), "")</f>
        <v/>
      </c>
    </row>
    <row r="157" spans="1:10">
      <c r="A157" t="str">
        <f>TEXT(IF('Spending by Category'!B163&lt;&gt;0,'Spending by Category'!B163, ""), "mm/dd/yyyy")</f>
        <v/>
      </c>
      <c r="B157" t="str">
        <f>IFERROR(IF(ISNUMBER('Spending by Category'!#REF!),TEXT('Spending by Category'!#REF!,"0.00"), ""), "")</f>
        <v/>
      </c>
      <c r="C157" t="str">
        <f>IFERROR(IF(ISNUMBER('Spending by Category'!#REF!),TEXT('Spending by Category'!#REF!,"0.00"), ""), "")</f>
        <v/>
      </c>
      <c r="D157" t="str">
        <f>IFERROR(IF(ISNUMBER('Spending by Category'!#REF!),TEXT('Spending by Category'!#REF!,"0.00"), ""), "")</f>
        <v/>
      </c>
      <c r="E157" t="str">
        <f>IFERROR(IF(ISNUMBER('Spending by Category'!#REF!),TEXT('Spending by Category'!#REF!,"0.00"), ""), "")</f>
        <v/>
      </c>
      <c r="F157" t="str">
        <f>IFERROR(IF(ISNUMBER('Spending by Category'!#REF!),TEXT('Spending by Category'!#REF!,"0.00"), ""), "")</f>
        <v/>
      </c>
      <c r="G157" t="str">
        <f>IFERROR(IF(ISNUMBER('Spending by Category'!#REF!),TEXT('Spending by Category'!#REF!,"0.00"), ""), "")</f>
        <v/>
      </c>
      <c r="H157" t="str">
        <f>IFERROR(IF(ISNUMBER('Spending by Category'!#REF!),TEXT('Spending by Category'!#REF!,"0.00"), ""), "")</f>
        <v/>
      </c>
      <c r="I157" t="str">
        <f>IFERROR(IF(ISNUMBER('Spending by Category'!#REF!),TEXT('Spending by Category'!#REF!,"0.00"), ""), "")</f>
        <v/>
      </c>
      <c r="J157" t="str">
        <f>IFERROR(IF(ISNUMBER('Spending by Category'!B163),'Spending by Category'!N163, ""), "")</f>
        <v/>
      </c>
    </row>
    <row r="158" spans="1:10">
      <c r="A158" t="str">
        <f>TEXT(IF('Spending by Category'!B164&lt;&gt;0,'Spending by Category'!B164, ""), "mm/dd/yyyy")</f>
        <v/>
      </c>
      <c r="B158" t="str">
        <f>IFERROR(IF(ISNUMBER('Spending by Category'!#REF!),TEXT('Spending by Category'!#REF!,"0.00"), ""), "")</f>
        <v/>
      </c>
      <c r="C158" t="str">
        <f>IFERROR(IF(ISNUMBER('Spending by Category'!#REF!),TEXT('Spending by Category'!#REF!,"0.00"), ""), "")</f>
        <v/>
      </c>
      <c r="D158" t="str">
        <f>IFERROR(IF(ISNUMBER('Spending by Category'!#REF!),TEXT('Spending by Category'!#REF!,"0.00"), ""), "")</f>
        <v/>
      </c>
      <c r="E158" t="str">
        <f>IFERROR(IF(ISNUMBER('Spending by Category'!#REF!),TEXT('Spending by Category'!#REF!,"0.00"), ""), "")</f>
        <v/>
      </c>
      <c r="F158" t="str">
        <f>IFERROR(IF(ISNUMBER('Spending by Category'!#REF!),TEXT('Spending by Category'!#REF!,"0.00"), ""), "")</f>
        <v/>
      </c>
      <c r="G158" t="str">
        <f>IFERROR(IF(ISNUMBER('Spending by Category'!#REF!),TEXT('Spending by Category'!#REF!,"0.00"), ""), "")</f>
        <v/>
      </c>
      <c r="H158" t="str">
        <f>IFERROR(IF(ISNUMBER('Spending by Category'!#REF!),TEXT('Spending by Category'!#REF!,"0.00"), ""), "")</f>
        <v/>
      </c>
      <c r="I158" t="str">
        <f>IFERROR(IF(ISNUMBER('Spending by Category'!#REF!),TEXT('Spending by Category'!#REF!,"0.00"), ""), "")</f>
        <v/>
      </c>
      <c r="J158" t="str">
        <f>IFERROR(IF(ISNUMBER('Spending by Category'!B164),'Spending by Category'!N164, ""), "")</f>
        <v/>
      </c>
    </row>
    <row r="159" spans="1:10">
      <c r="A159" t="str">
        <f>TEXT(IF('Spending by Category'!B165&lt;&gt;0,'Spending by Category'!B165, ""), "mm/dd/yyyy")</f>
        <v/>
      </c>
      <c r="B159" t="str">
        <f>IFERROR(IF(ISNUMBER('Spending by Category'!#REF!),TEXT('Spending by Category'!#REF!,"0.00"), ""), "")</f>
        <v/>
      </c>
      <c r="C159" t="str">
        <f>IFERROR(IF(ISNUMBER('Spending by Category'!#REF!),TEXT('Spending by Category'!#REF!,"0.00"), ""), "")</f>
        <v/>
      </c>
      <c r="D159" t="str">
        <f>IFERROR(IF(ISNUMBER('Spending by Category'!#REF!),TEXT('Spending by Category'!#REF!,"0.00"), ""), "")</f>
        <v/>
      </c>
      <c r="E159" t="str">
        <f>IFERROR(IF(ISNUMBER('Spending by Category'!#REF!),TEXT('Spending by Category'!#REF!,"0.00"), ""), "")</f>
        <v/>
      </c>
      <c r="F159" t="str">
        <f>IFERROR(IF(ISNUMBER('Spending by Category'!#REF!),TEXT('Spending by Category'!#REF!,"0.00"), ""), "")</f>
        <v/>
      </c>
      <c r="G159" t="str">
        <f>IFERROR(IF(ISNUMBER('Spending by Category'!#REF!),TEXT('Spending by Category'!#REF!,"0.00"), ""), "")</f>
        <v/>
      </c>
      <c r="H159" t="str">
        <f>IFERROR(IF(ISNUMBER('Spending by Category'!#REF!),TEXT('Spending by Category'!#REF!,"0.00"), ""), "")</f>
        <v/>
      </c>
      <c r="I159" t="str">
        <f>IFERROR(IF(ISNUMBER('Spending by Category'!#REF!),TEXT('Spending by Category'!#REF!,"0.00"), ""), "")</f>
        <v/>
      </c>
      <c r="J159" t="str">
        <f>IFERROR(IF(ISNUMBER('Spending by Category'!B165),'Spending by Category'!N165, ""), "")</f>
        <v/>
      </c>
    </row>
    <row r="160" spans="1:10">
      <c r="A160" t="str">
        <f>TEXT(IF('Spending by Category'!B166&lt;&gt;0,'Spending by Category'!B166, ""), "mm/dd/yyyy")</f>
        <v/>
      </c>
      <c r="B160" t="str">
        <f>IFERROR(IF(ISNUMBER('Spending by Category'!#REF!),TEXT('Spending by Category'!#REF!,"0.00"), ""), "")</f>
        <v/>
      </c>
      <c r="C160" t="str">
        <f>IFERROR(IF(ISNUMBER('Spending by Category'!#REF!),TEXT('Spending by Category'!#REF!,"0.00"), ""), "")</f>
        <v/>
      </c>
      <c r="D160" t="str">
        <f>IFERROR(IF(ISNUMBER('Spending by Category'!#REF!),TEXT('Spending by Category'!#REF!,"0.00"), ""), "")</f>
        <v/>
      </c>
      <c r="E160" t="str">
        <f>IFERROR(IF(ISNUMBER('Spending by Category'!#REF!),TEXT('Spending by Category'!#REF!,"0.00"), ""), "")</f>
        <v/>
      </c>
      <c r="F160" t="str">
        <f>IFERROR(IF(ISNUMBER('Spending by Category'!#REF!),TEXT('Spending by Category'!#REF!,"0.00"), ""), "")</f>
        <v/>
      </c>
      <c r="G160" t="str">
        <f>IFERROR(IF(ISNUMBER('Spending by Category'!#REF!),TEXT('Spending by Category'!#REF!,"0.00"), ""), "")</f>
        <v/>
      </c>
      <c r="H160" t="str">
        <f>IFERROR(IF(ISNUMBER('Spending by Category'!#REF!),TEXT('Spending by Category'!#REF!,"0.00"), ""), "")</f>
        <v/>
      </c>
      <c r="I160" t="str">
        <f>IFERROR(IF(ISNUMBER('Spending by Category'!#REF!),TEXT('Spending by Category'!#REF!,"0.00"), ""), "")</f>
        <v/>
      </c>
      <c r="J160" t="str">
        <f>IFERROR(IF(ISNUMBER('Spending by Category'!B166),'Spending by Category'!N166, ""), "")</f>
        <v/>
      </c>
    </row>
    <row r="161" spans="1:10">
      <c r="A161" t="str">
        <f>TEXT(IF('Spending by Category'!B167&lt;&gt;0,'Spending by Category'!B167, ""), "mm/dd/yyyy")</f>
        <v/>
      </c>
      <c r="B161" t="str">
        <f>IFERROR(IF(ISNUMBER('Spending by Category'!#REF!),TEXT('Spending by Category'!#REF!,"0.00"), ""), "")</f>
        <v/>
      </c>
      <c r="C161" t="str">
        <f>IFERROR(IF(ISNUMBER('Spending by Category'!#REF!),TEXT('Spending by Category'!#REF!,"0.00"), ""), "")</f>
        <v/>
      </c>
      <c r="D161" t="str">
        <f>IFERROR(IF(ISNUMBER('Spending by Category'!#REF!),TEXT('Spending by Category'!#REF!,"0.00"), ""), "")</f>
        <v/>
      </c>
      <c r="E161" t="str">
        <f>IFERROR(IF(ISNUMBER('Spending by Category'!#REF!),TEXT('Spending by Category'!#REF!,"0.00"), ""), "")</f>
        <v/>
      </c>
      <c r="F161" t="str">
        <f>IFERROR(IF(ISNUMBER('Spending by Category'!#REF!),TEXT('Spending by Category'!#REF!,"0.00"), ""), "")</f>
        <v/>
      </c>
      <c r="G161" t="str">
        <f>IFERROR(IF(ISNUMBER('Spending by Category'!#REF!),TEXT('Spending by Category'!#REF!,"0.00"), ""), "")</f>
        <v/>
      </c>
      <c r="H161" t="str">
        <f>IFERROR(IF(ISNUMBER('Spending by Category'!#REF!),TEXT('Spending by Category'!#REF!,"0.00"), ""), "")</f>
        <v/>
      </c>
      <c r="I161" t="str">
        <f>IFERROR(IF(ISNUMBER('Spending by Category'!#REF!),TEXT('Spending by Category'!#REF!,"0.00"), ""), "")</f>
        <v/>
      </c>
      <c r="J161" t="str">
        <f>IFERROR(IF(ISNUMBER('Spending by Category'!B167),'Spending by Category'!N167, ""), "")</f>
        <v/>
      </c>
    </row>
    <row r="162" spans="1:10">
      <c r="A162" t="str">
        <f>TEXT(IF('Spending by Category'!B168&lt;&gt;0,'Spending by Category'!B168, ""), "mm/dd/yyyy")</f>
        <v/>
      </c>
      <c r="B162" t="str">
        <f>IFERROR(IF(ISNUMBER('Spending by Category'!#REF!),TEXT('Spending by Category'!#REF!,"0.00"), ""), "")</f>
        <v/>
      </c>
      <c r="C162" t="str">
        <f>IFERROR(IF(ISNUMBER('Spending by Category'!#REF!),TEXT('Spending by Category'!#REF!,"0.00"), ""), "")</f>
        <v/>
      </c>
      <c r="D162" t="str">
        <f>IFERROR(IF(ISNUMBER('Spending by Category'!#REF!),TEXT('Spending by Category'!#REF!,"0.00"), ""), "")</f>
        <v/>
      </c>
      <c r="E162" t="str">
        <f>IFERROR(IF(ISNUMBER('Spending by Category'!#REF!),TEXT('Spending by Category'!#REF!,"0.00"), ""), "")</f>
        <v/>
      </c>
      <c r="F162" t="str">
        <f>IFERROR(IF(ISNUMBER('Spending by Category'!#REF!),TEXT('Spending by Category'!#REF!,"0.00"), ""), "")</f>
        <v/>
      </c>
      <c r="G162" t="str">
        <f>IFERROR(IF(ISNUMBER('Spending by Category'!#REF!),TEXT('Spending by Category'!#REF!,"0.00"), ""), "")</f>
        <v/>
      </c>
      <c r="H162" t="str">
        <f>IFERROR(IF(ISNUMBER('Spending by Category'!#REF!),TEXT('Spending by Category'!#REF!,"0.00"), ""), "")</f>
        <v/>
      </c>
      <c r="I162" t="str">
        <f>IFERROR(IF(ISNUMBER('Spending by Category'!#REF!),TEXT('Spending by Category'!#REF!,"0.00"), ""), "")</f>
        <v/>
      </c>
      <c r="J162" t="str">
        <f>IFERROR(IF(ISNUMBER('Spending by Category'!B168),'Spending by Category'!N168, ""), "")</f>
        <v/>
      </c>
    </row>
    <row r="163" spans="1:10">
      <c r="A163" t="str">
        <f>TEXT(IF('Spending by Category'!B169&lt;&gt;0,'Spending by Category'!B169, ""), "mm/dd/yyyy")</f>
        <v/>
      </c>
      <c r="B163" t="str">
        <f>IFERROR(IF(ISNUMBER('Spending by Category'!#REF!),TEXT('Spending by Category'!#REF!,"0.00"), ""), "")</f>
        <v/>
      </c>
      <c r="C163" t="str">
        <f>IFERROR(IF(ISNUMBER('Spending by Category'!#REF!),TEXT('Spending by Category'!#REF!,"0.00"), ""), "")</f>
        <v/>
      </c>
      <c r="D163" t="str">
        <f>IFERROR(IF(ISNUMBER('Spending by Category'!#REF!),TEXT('Spending by Category'!#REF!,"0.00"), ""), "")</f>
        <v/>
      </c>
      <c r="E163" t="str">
        <f>IFERROR(IF(ISNUMBER('Spending by Category'!#REF!),TEXT('Spending by Category'!#REF!,"0.00"), ""), "")</f>
        <v/>
      </c>
      <c r="F163" t="str">
        <f>IFERROR(IF(ISNUMBER('Spending by Category'!#REF!),TEXT('Spending by Category'!#REF!,"0.00"), ""), "")</f>
        <v/>
      </c>
      <c r="G163" t="str">
        <f>IFERROR(IF(ISNUMBER('Spending by Category'!#REF!),TEXT('Spending by Category'!#REF!,"0.00"), ""), "")</f>
        <v/>
      </c>
      <c r="H163" t="str">
        <f>IFERROR(IF(ISNUMBER('Spending by Category'!#REF!),TEXT('Spending by Category'!#REF!,"0.00"), ""), "")</f>
        <v/>
      </c>
      <c r="I163" t="str">
        <f>IFERROR(IF(ISNUMBER('Spending by Category'!#REF!),TEXT('Spending by Category'!#REF!,"0.00"), ""), "")</f>
        <v/>
      </c>
      <c r="J163" t="str">
        <f>IFERROR(IF(ISNUMBER('Spending by Category'!B169),'Spending by Category'!N169, ""), "")</f>
        <v/>
      </c>
    </row>
    <row r="164" spans="1:10">
      <c r="A164" t="str">
        <f>TEXT(IF('Spending by Category'!B170&lt;&gt;0,'Spending by Category'!B170, ""), "mm/dd/yyyy")</f>
        <v/>
      </c>
      <c r="B164" t="str">
        <f>IFERROR(IF(ISNUMBER('Spending by Category'!#REF!),TEXT('Spending by Category'!#REF!,"0.00"), ""), "")</f>
        <v/>
      </c>
      <c r="C164" t="str">
        <f>IFERROR(IF(ISNUMBER('Spending by Category'!#REF!),TEXT('Spending by Category'!#REF!,"0.00"), ""), "")</f>
        <v/>
      </c>
      <c r="D164" t="str">
        <f>IFERROR(IF(ISNUMBER('Spending by Category'!#REF!),TEXT('Spending by Category'!#REF!,"0.00"), ""), "")</f>
        <v/>
      </c>
      <c r="E164" t="str">
        <f>IFERROR(IF(ISNUMBER('Spending by Category'!#REF!),TEXT('Spending by Category'!#REF!,"0.00"), ""), "")</f>
        <v/>
      </c>
      <c r="F164" t="str">
        <f>IFERROR(IF(ISNUMBER('Spending by Category'!#REF!),TEXT('Spending by Category'!#REF!,"0.00"), ""), "")</f>
        <v/>
      </c>
      <c r="G164" t="str">
        <f>IFERROR(IF(ISNUMBER('Spending by Category'!#REF!),TEXT('Spending by Category'!#REF!,"0.00"), ""), "")</f>
        <v/>
      </c>
      <c r="H164" t="str">
        <f>IFERROR(IF(ISNUMBER('Spending by Category'!#REF!),TEXT('Spending by Category'!#REF!,"0.00"), ""), "")</f>
        <v/>
      </c>
      <c r="I164" t="str">
        <f>IFERROR(IF(ISNUMBER('Spending by Category'!#REF!),TEXT('Spending by Category'!#REF!,"0.00"), ""), "")</f>
        <v/>
      </c>
      <c r="J164" t="str">
        <f>IFERROR(IF(ISNUMBER('Spending by Category'!B170),'Spending by Category'!N170, ""), "")</f>
        <v/>
      </c>
    </row>
    <row r="165" spans="1:10">
      <c r="A165" t="str">
        <f>TEXT(IF('Spending by Category'!B171&lt;&gt;0,'Spending by Category'!B171, ""), "mm/dd/yyyy")</f>
        <v/>
      </c>
      <c r="B165" t="str">
        <f>IFERROR(IF(ISNUMBER('Spending by Category'!#REF!),TEXT('Spending by Category'!#REF!,"0.00"), ""), "")</f>
        <v/>
      </c>
      <c r="C165" t="str">
        <f>IFERROR(IF(ISNUMBER('Spending by Category'!#REF!),TEXT('Spending by Category'!#REF!,"0.00"), ""), "")</f>
        <v/>
      </c>
      <c r="D165" t="str">
        <f>IFERROR(IF(ISNUMBER('Spending by Category'!#REF!),TEXT('Spending by Category'!#REF!,"0.00"), ""), "")</f>
        <v/>
      </c>
      <c r="E165" t="str">
        <f>IFERROR(IF(ISNUMBER('Spending by Category'!#REF!),TEXT('Spending by Category'!#REF!,"0.00"), ""), "")</f>
        <v/>
      </c>
      <c r="F165" t="str">
        <f>IFERROR(IF(ISNUMBER('Spending by Category'!#REF!),TEXT('Spending by Category'!#REF!,"0.00"), ""), "")</f>
        <v/>
      </c>
      <c r="G165" t="str">
        <f>IFERROR(IF(ISNUMBER('Spending by Category'!#REF!),TEXT('Spending by Category'!#REF!,"0.00"), ""), "")</f>
        <v/>
      </c>
      <c r="H165" t="str">
        <f>IFERROR(IF(ISNUMBER('Spending by Category'!#REF!),TEXT('Spending by Category'!#REF!,"0.00"), ""), "")</f>
        <v/>
      </c>
      <c r="I165" t="str">
        <f>IFERROR(IF(ISNUMBER('Spending by Category'!#REF!),TEXT('Spending by Category'!#REF!,"0.00"), ""), "")</f>
        <v/>
      </c>
      <c r="J165" t="str">
        <f>IFERROR(IF(ISNUMBER('Spending by Category'!B171),'Spending by Category'!N171, ""), "")</f>
        <v/>
      </c>
    </row>
    <row r="166" spans="1:10">
      <c r="A166" t="str">
        <f>TEXT(IF('Spending by Category'!B172&lt;&gt;0,'Spending by Category'!B172, ""), "mm/dd/yyyy")</f>
        <v/>
      </c>
      <c r="B166" t="str">
        <f>IFERROR(IF(ISNUMBER('Spending by Category'!#REF!),TEXT('Spending by Category'!#REF!,"0.00"), ""), "")</f>
        <v/>
      </c>
      <c r="C166" t="str">
        <f>IFERROR(IF(ISNUMBER('Spending by Category'!#REF!),TEXT('Spending by Category'!#REF!,"0.00"), ""), "")</f>
        <v/>
      </c>
      <c r="D166" t="str">
        <f>IFERROR(IF(ISNUMBER('Spending by Category'!#REF!),TEXT('Spending by Category'!#REF!,"0.00"), ""), "")</f>
        <v/>
      </c>
      <c r="E166" t="str">
        <f>IFERROR(IF(ISNUMBER('Spending by Category'!#REF!),TEXT('Spending by Category'!#REF!,"0.00"), ""), "")</f>
        <v/>
      </c>
      <c r="F166" t="str">
        <f>IFERROR(IF(ISNUMBER('Spending by Category'!#REF!),TEXT('Spending by Category'!#REF!,"0.00"), ""), "")</f>
        <v/>
      </c>
      <c r="G166" t="str">
        <f>IFERROR(IF(ISNUMBER('Spending by Category'!#REF!),TEXT('Spending by Category'!#REF!,"0.00"), ""), "")</f>
        <v/>
      </c>
      <c r="H166" t="str">
        <f>IFERROR(IF(ISNUMBER('Spending by Category'!#REF!),TEXT('Spending by Category'!#REF!,"0.00"), ""), "")</f>
        <v/>
      </c>
      <c r="I166" t="str">
        <f>IFERROR(IF(ISNUMBER('Spending by Category'!#REF!),TEXT('Spending by Category'!#REF!,"0.00"), ""), "")</f>
        <v/>
      </c>
      <c r="J166" t="str">
        <f>IFERROR(IF(ISNUMBER('Spending by Category'!B172),'Spending by Category'!N172, ""), "")</f>
        <v/>
      </c>
    </row>
    <row r="167" spans="1:10">
      <c r="A167" t="str">
        <f>TEXT(IF('Spending by Category'!B173&lt;&gt;0,'Spending by Category'!B173, ""), "mm/dd/yyyy")</f>
        <v/>
      </c>
      <c r="B167" t="str">
        <f>IFERROR(IF(ISNUMBER('Spending by Category'!#REF!),TEXT('Spending by Category'!#REF!,"0.00"), ""), "")</f>
        <v/>
      </c>
      <c r="C167" t="str">
        <f>IFERROR(IF(ISNUMBER('Spending by Category'!#REF!),TEXT('Spending by Category'!#REF!,"0.00"), ""), "")</f>
        <v/>
      </c>
      <c r="D167" t="str">
        <f>IFERROR(IF(ISNUMBER('Spending by Category'!#REF!),TEXT('Spending by Category'!#REF!,"0.00"), ""), "")</f>
        <v/>
      </c>
      <c r="E167" t="str">
        <f>IFERROR(IF(ISNUMBER('Spending by Category'!#REF!),TEXT('Spending by Category'!#REF!,"0.00"), ""), "")</f>
        <v/>
      </c>
      <c r="F167" t="str">
        <f>IFERROR(IF(ISNUMBER('Spending by Category'!#REF!),TEXT('Spending by Category'!#REF!,"0.00"), ""), "")</f>
        <v/>
      </c>
      <c r="G167" t="str">
        <f>IFERROR(IF(ISNUMBER('Spending by Category'!#REF!),TEXT('Spending by Category'!#REF!,"0.00"), ""), "")</f>
        <v/>
      </c>
      <c r="H167" t="str">
        <f>IFERROR(IF(ISNUMBER('Spending by Category'!#REF!),TEXT('Spending by Category'!#REF!,"0.00"), ""), "")</f>
        <v/>
      </c>
      <c r="I167" t="str">
        <f>IFERROR(IF(ISNUMBER('Spending by Category'!#REF!),TEXT('Spending by Category'!#REF!,"0.00"), ""), "")</f>
        <v/>
      </c>
      <c r="J167" t="str">
        <f>IFERROR(IF(ISNUMBER('Spending by Category'!B173),'Spending by Category'!N173, ""), "")</f>
        <v/>
      </c>
    </row>
    <row r="168" spans="1:10">
      <c r="A168" t="str">
        <f>TEXT(IF('Spending by Category'!B174&lt;&gt;0,'Spending by Category'!B174, ""), "mm/dd/yyyy")</f>
        <v/>
      </c>
      <c r="B168" t="str">
        <f>IFERROR(IF(ISNUMBER('Spending by Category'!#REF!),TEXT('Spending by Category'!#REF!,"0.00"), ""), "")</f>
        <v/>
      </c>
      <c r="C168" t="str">
        <f>IFERROR(IF(ISNUMBER('Spending by Category'!#REF!),TEXT('Spending by Category'!#REF!,"0.00"), ""), "")</f>
        <v/>
      </c>
      <c r="D168" t="str">
        <f>IFERROR(IF(ISNUMBER('Spending by Category'!#REF!),TEXT('Spending by Category'!#REF!,"0.00"), ""), "")</f>
        <v/>
      </c>
      <c r="E168" t="str">
        <f>IFERROR(IF(ISNUMBER('Spending by Category'!#REF!),TEXT('Spending by Category'!#REF!,"0.00"), ""), "")</f>
        <v/>
      </c>
      <c r="F168" t="str">
        <f>IFERROR(IF(ISNUMBER('Spending by Category'!#REF!),TEXT('Spending by Category'!#REF!,"0.00"), ""), "")</f>
        <v/>
      </c>
      <c r="G168" t="str">
        <f>IFERROR(IF(ISNUMBER('Spending by Category'!#REF!),TEXT('Spending by Category'!#REF!,"0.00"), ""), "")</f>
        <v/>
      </c>
      <c r="H168" t="str">
        <f>IFERROR(IF(ISNUMBER('Spending by Category'!#REF!),TEXT('Spending by Category'!#REF!,"0.00"), ""), "")</f>
        <v/>
      </c>
      <c r="I168" t="str">
        <f>IFERROR(IF(ISNUMBER('Spending by Category'!#REF!),TEXT('Spending by Category'!#REF!,"0.00"), ""), "")</f>
        <v/>
      </c>
      <c r="J168" t="str">
        <f>IFERROR(IF(ISNUMBER('Spending by Category'!B174),'Spending by Category'!N174, ""), "")</f>
        <v/>
      </c>
    </row>
    <row r="169" spans="1:10">
      <c r="A169" t="str">
        <f>TEXT(IF('Spending by Category'!B175&lt;&gt;0,'Spending by Category'!B175, ""), "mm/dd/yyyy")</f>
        <v/>
      </c>
      <c r="B169" t="str">
        <f>IFERROR(IF(ISNUMBER('Spending by Category'!#REF!),TEXT('Spending by Category'!#REF!,"0.00"), ""), "")</f>
        <v/>
      </c>
      <c r="C169" t="str">
        <f>IFERROR(IF(ISNUMBER('Spending by Category'!#REF!),TEXT('Spending by Category'!#REF!,"0.00"), ""), "")</f>
        <v/>
      </c>
      <c r="D169" t="str">
        <f>IFERROR(IF(ISNUMBER('Spending by Category'!#REF!),TEXT('Spending by Category'!#REF!,"0.00"), ""), "")</f>
        <v/>
      </c>
      <c r="E169" t="str">
        <f>IFERROR(IF(ISNUMBER('Spending by Category'!#REF!),TEXT('Spending by Category'!#REF!,"0.00"), ""), "")</f>
        <v/>
      </c>
      <c r="F169" t="str">
        <f>IFERROR(IF(ISNUMBER('Spending by Category'!#REF!),TEXT('Spending by Category'!#REF!,"0.00"), ""), "")</f>
        <v/>
      </c>
      <c r="G169" t="str">
        <f>IFERROR(IF(ISNUMBER('Spending by Category'!#REF!),TEXT('Spending by Category'!#REF!,"0.00"), ""), "")</f>
        <v/>
      </c>
      <c r="H169" t="str">
        <f>IFERROR(IF(ISNUMBER('Spending by Category'!#REF!),TEXT('Spending by Category'!#REF!,"0.00"), ""), "")</f>
        <v/>
      </c>
      <c r="I169" t="str">
        <f>IFERROR(IF(ISNUMBER('Spending by Category'!#REF!),TEXT('Spending by Category'!#REF!,"0.00"), ""), "")</f>
        <v/>
      </c>
      <c r="J169" t="str">
        <f>IFERROR(IF(ISNUMBER('Spending by Category'!B175),'Spending by Category'!N175, ""), "")</f>
        <v/>
      </c>
    </row>
    <row r="170" spans="1:10">
      <c r="A170" t="str">
        <f>TEXT(IF('Spending by Category'!B176&lt;&gt;0,'Spending by Category'!B176, ""), "mm/dd/yyyy")</f>
        <v/>
      </c>
      <c r="B170" t="str">
        <f>IFERROR(IF(ISNUMBER('Spending by Category'!#REF!),TEXT('Spending by Category'!#REF!,"0.00"), ""), "")</f>
        <v/>
      </c>
      <c r="C170" t="str">
        <f>IFERROR(IF(ISNUMBER('Spending by Category'!#REF!),TEXT('Spending by Category'!#REF!,"0.00"), ""), "")</f>
        <v/>
      </c>
      <c r="D170" t="str">
        <f>IFERROR(IF(ISNUMBER('Spending by Category'!#REF!),TEXT('Spending by Category'!#REF!,"0.00"), ""), "")</f>
        <v/>
      </c>
      <c r="E170" t="str">
        <f>IFERROR(IF(ISNUMBER('Spending by Category'!#REF!),TEXT('Spending by Category'!#REF!,"0.00"), ""), "")</f>
        <v/>
      </c>
      <c r="F170" t="str">
        <f>IFERROR(IF(ISNUMBER('Spending by Category'!#REF!),TEXT('Spending by Category'!#REF!,"0.00"), ""), "")</f>
        <v/>
      </c>
      <c r="G170" t="str">
        <f>IFERROR(IF(ISNUMBER('Spending by Category'!#REF!),TEXT('Spending by Category'!#REF!,"0.00"), ""), "")</f>
        <v/>
      </c>
      <c r="H170" t="str">
        <f>IFERROR(IF(ISNUMBER('Spending by Category'!#REF!),TEXT('Spending by Category'!#REF!,"0.00"), ""), "")</f>
        <v/>
      </c>
      <c r="I170" t="str">
        <f>IFERROR(IF(ISNUMBER('Spending by Category'!#REF!),TEXT('Spending by Category'!#REF!,"0.00"), ""), "")</f>
        <v/>
      </c>
      <c r="J170" t="str">
        <f>IFERROR(IF(ISNUMBER('Spending by Category'!B176),'Spending by Category'!N176, ""), "")</f>
        <v/>
      </c>
    </row>
    <row r="171" spans="1:10">
      <c r="A171" t="str">
        <f>TEXT(IF('Spending by Category'!B177&lt;&gt;0,'Spending by Category'!B177, ""), "mm/dd/yyyy")</f>
        <v/>
      </c>
      <c r="B171" t="str">
        <f>IFERROR(IF(ISNUMBER('Spending by Category'!#REF!),TEXT('Spending by Category'!#REF!,"0.00"), ""), "")</f>
        <v/>
      </c>
      <c r="C171" t="str">
        <f>IFERROR(IF(ISNUMBER('Spending by Category'!#REF!),TEXT('Spending by Category'!#REF!,"0.00"), ""), "")</f>
        <v/>
      </c>
      <c r="D171" t="str">
        <f>IFERROR(IF(ISNUMBER('Spending by Category'!#REF!),TEXT('Spending by Category'!#REF!,"0.00"), ""), "")</f>
        <v/>
      </c>
      <c r="E171" t="str">
        <f>IFERROR(IF(ISNUMBER('Spending by Category'!#REF!),TEXT('Spending by Category'!#REF!,"0.00"), ""), "")</f>
        <v/>
      </c>
      <c r="F171" t="str">
        <f>IFERROR(IF(ISNUMBER('Spending by Category'!#REF!),TEXT('Spending by Category'!#REF!,"0.00"), ""), "")</f>
        <v/>
      </c>
      <c r="G171" t="str">
        <f>IFERROR(IF(ISNUMBER('Spending by Category'!#REF!),TEXT('Spending by Category'!#REF!,"0.00"), ""), "")</f>
        <v/>
      </c>
      <c r="H171" t="str">
        <f>IFERROR(IF(ISNUMBER('Spending by Category'!#REF!),TEXT('Spending by Category'!#REF!,"0.00"), ""), "")</f>
        <v/>
      </c>
      <c r="I171" t="str">
        <f>IFERROR(IF(ISNUMBER('Spending by Category'!#REF!),TEXT('Spending by Category'!#REF!,"0.00"), ""), "")</f>
        <v/>
      </c>
      <c r="J171" t="str">
        <f>IFERROR(IF(ISNUMBER('Spending by Category'!B177),'Spending by Category'!N177, ""), "")</f>
        <v/>
      </c>
    </row>
    <row r="172" spans="1:10">
      <c r="A172" t="str">
        <f>TEXT(IF('Spending by Category'!B178&lt;&gt;0,'Spending by Category'!B178, ""), "mm/dd/yyyy")</f>
        <v/>
      </c>
      <c r="B172" t="str">
        <f>IFERROR(IF(ISNUMBER('Spending by Category'!#REF!),TEXT('Spending by Category'!#REF!,"0.00"), ""), "")</f>
        <v/>
      </c>
      <c r="C172" t="str">
        <f>IFERROR(IF(ISNUMBER('Spending by Category'!#REF!),TEXT('Spending by Category'!#REF!,"0.00"), ""), "")</f>
        <v/>
      </c>
      <c r="D172" t="str">
        <f>IFERROR(IF(ISNUMBER('Spending by Category'!#REF!),TEXT('Spending by Category'!#REF!,"0.00"), ""), "")</f>
        <v/>
      </c>
      <c r="E172" t="str">
        <f>IFERROR(IF(ISNUMBER('Spending by Category'!#REF!),TEXT('Spending by Category'!#REF!,"0.00"), ""), "")</f>
        <v/>
      </c>
      <c r="F172" t="str">
        <f>IFERROR(IF(ISNUMBER('Spending by Category'!#REF!),TEXT('Spending by Category'!#REF!,"0.00"), ""), "")</f>
        <v/>
      </c>
      <c r="G172" t="str">
        <f>IFERROR(IF(ISNUMBER('Spending by Category'!#REF!),TEXT('Spending by Category'!#REF!,"0.00"), ""), "")</f>
        <v/>
      </c>
      <c r="H172" t="str">
        <f>IFERROR(IF(ISNUMBER('Spending by Category'!#REF!),TEXT('Spending by Category'!#REF!,"0.00"), ""), "")</f>
        <v/>
      </c>
      <c r="I172" t="str">
        <f>IFERROR(IF(ISNUMBER('Spending by Category'!#REF!),TEXT('Spending by Category'!#REF!,"0.00"), ""), "")</f>
        <v/>
      </c>
      <c r="J172" t="str">
        <f>IFERROR(IF(ISNUMBER('Spending by Category'!B178),'Spending by Category'!N178, ""), "")</f>
        <v/>
      </c>
    </row>
    <row r="173" spans="1:10">
      <c r="A173" t="str">
        <f>TEXT(IF('Spending by Category'!B179&lt;&gt;0,'Spending by Category'!B179, ""), "mm/dd/yyyy")</f>
        <v/>
      </c>
      <c r="B173" t="str">
        <f>IFERROR(IF(ISNUMBER('Spending by Category'!#REF!),TEXT('Spending by Category'!#REF!,"0.00"), ""), "")</f>
        <v/>
      </c>
      <c r="C173" t="str">
        <f>IFERROR(IF(ISNUMBER('Spending by Category'!#REF!),TEXT('Spending by Category'!#REF!,"0.00"), ""), "")</f>
        <v/>
      </c>
      <c r="D173" t="str">
        <f>IFERROR(IF(ISNUMBER('Spending by Category'!#REF!),TEXT('Spending by Category'!#REF!,"0.00"), ""), "")</f>
        <v/>
      </c>
      <c r="E173" t="str">
        <f>IFERROR(IF(ISNUMBER('Spending by Category'!#REF!),TEXT('Spending by Category'!#REF!,"0.00"), ""), "")</f>
        <v/>
      </c>
      <c r="F173" t="str">
        <f>IFERROR(IF(ISNUMBER('Spending by Category'!#REF!),TEXT('Spending by Category'!#REF!,"0.00"), ""), "")</f>
        <v/>
      </c>
      <c r="G173" t="str">
        <f>IFERROR(IF(ISNUMBER('Spending by Category'!#REF!),TEXT('Spending by Category'!#REF!,"0.00"), ""), "")</f>
        <v/>
      </c>
      <c r="H173" t="str">
        <f>IFERROR(IF(ISNUMBER('Spending by Category'!#REF!),TEXT('Spending by Category'!#REF!,"0.00"), ""), "")</f>
        <v/>
      </c>
      <c r="I173" t="str">
        <f>IFERROR(IF(ISNUMBER('Spending by Category'!#REF!),TEXT('Spending by Category'!#REF!,"0.00"), ""), "")</f>
        <v/>
      </c>
      <c r="J173" t="str">
        <f>IFERROR(IF(ISNUMBER('Spending by Category'!B179),'Spending by Category'!N179, ""), "")</f>
        <v/>
      </c>
    </row>
    <row r="174" spans="1:10">
      <c r="A174" t="str">
        <f>TEXT(IF('Spending by Category'!B180&lt;&gt;0,'Spending by Category'!B180, ""), "mm/dd/yyyy")</f>
        <v/>
      </c>
      <c r="B174" t="str">
        <f>IFERROR(IF(ISNUMBER('Spending by Category'!#REF!),TEXT('Spending by Category'!#REF!,"0.00"), ""), "")</f>
        <v/>
      </c>
      <c r="C174" t="str">
        <f>IFERROR(IF(ISNUMBER('Spending by Category'!#REF!),TEXT('Spending by Category'!#REF!,"0.00"), ""), "")</f>
        <v/>
      </c>
      <c r="D174" t="str">
        <f>IFERROR(IF(ISNUMBER('Spending by Category'!#REF!),TEXT('Spending by Category'!#REF!,"0.00"), ""), "")</f>
        <v/>
      </c>
      <c r="E174" t="str">
        <f>IFERROR(IF(ISNUMBER('Spending by Category'!#REF!),TEXT('Spending by Category'!#REF!,"0.00"), ""), "")</f>
        <v/>
      </c>
      <c r="F174" t="str">
        <f>IFERROR(IF(ISNUMBER('Spending by Category'!#REF!),TEXT('Spending by Category'!#REF!,"0.00"), ""), "")</f>
        <v/>
      </c>
      <c r="G174" t="str">
        <f>IFERROR(IF(ISNUMBER('Spending by Category'!#REF!),TEXT('Spending by Category'!#REF!,"0.00"), ""), "")</f>
        <v/>
      </c>
      <c r="H174" t="str">
        <f>IFERROR(IF(ISNUMBER('Spending by Category'!#REF!),TEXT('Spending by Category'!#REF!,"0.00"), ""), "")</f>
        <v/>
      </c>
      <c r="I174" t="str">
        <f>IFERROR(IF(ISNUMBER('Spending by Category'!#REF!),TEXT('Spending by Category'!#REF!,"0.00"), ""), "")</f>
        <v/>
      </c>
      <c r="J174" t="str">
        <f>IFERROR(IF(ISNUMBER('Spending by Category'!B180),'Spending by Category'!N180, ""), "")</f>
        <v/>
      </c>
    </row>
    <row r="175" spans="1:10">
      <c r="A175" t="str">
        <f>TEXT(IF('Spending by Category'!B181&lt;&gt;0,'Spending by Category'!B181, ""), "mm/dd/yyyy")</f>
        <v/>
      </c>
      <c r="B175" t="str">
        <f>IFERROR(IF(ISNUMBER('Spending by Category'!#REF!),TEXT('Spending by Category'!#REF!,"0.00"), ""), "")</f>
        <v/>
      </c>
      <c r="C175" t="str">
        <f>IFERROR(IF(ISNUMBER('Spending by Category'!#REF!),TEXT('Spending by Category'!#REF!,"0.00"), ""), "")</f>
        <v/>
      </c>
      <c r="D175" t="str">
        <f>IFERROR(IF(ISNUMBER('Spending by Category'!#REF!),TEXT('Spending by Category'!#REF!,"0.00"), ""), "")</f>
        <v/>
      </c>
      <c r="E175" t="str">
        <f>IFERROR(IF(ISNUMBER('Spending by Category'!#REF!),TEXT('Spending by Category'!#REF!,"0.00"), ""), "")</f>
        <v/>
      </c>
      <c r="F175" t="str">
        <f>IFERROR(IF(ISNUMBER('Spending by Category'!#REF!),TEXT('Spending by Category'!#REF!,"0.00"), ""), "")</f>
        <v/>
      </c>
      <c r="G175" t="str">
        <f>IFERROR(IF(ISNUMBER('Spending by Category'!#REF!),TEXT('Spending by Category'!#REF!,"0.00"), ""), "")</f>
        <v/>
      </c>
      <c r="H175" t="str">
        <f>IFERROR(IF(ISNUMBER('Spending by Category'!#REF!),TEXT('Spending by Category'!#REF!,"0.00"), ""), "")</f>
        <v/>
      </c>
      <c r="I175" t="str">
        <f>IFERROR(IF(ISNUMBER('Spending by Category'!#REF!),TEXT('Spending by Category'!#REF!,"0.00"), ""), "")</f>
        <v/>
      </c>
      <c r="J175" t="str">
        <f>IFERROR(IF(ISNUMBER('Spending by Category'!B181),'Spending by Category'!N181, ""), "")</f>
        <v/>
      </c>
    </row>
    <row r="176" spans="1:10">
      <c r="A176" t="str">
        <f>TEXT(IF('Spending by Category'!B182&lt;&gt;0,'Spending by Category'!B182, ""), "mm/dd/yyyy")</f>
        <v/>
      </c>
      <c r="B176" t="str">
        <f>IFERROR(IF(ISNUMBER('Spending by Category'!#REF!),TEXT('Spending by Category'!#REF!,"0.00"), ""), "")</f>
        <v/>
      </c>
      <c r="C176" t="str">
        <f>IFERROR(IF(ISNUMBER('Spending by Category'!#REF!),TEXT('Spending by Category'!#REF!,"0.00"), ""), "")</f>
        <v/>
      </c>
      <c r="D176" t="str">
        <f>IFERROR(IF(ISNUMBER('Spending by Category'!#REF!),TEXT('Spending by Category'!#REF!,"0.00"), ""), "")</f>
        <v/>
      </c>
      <c r="E176" t="str">
        <f>IFERROR(IF(ISNUMBER('Spending by Category'!#REF!),TEXT('Spending by Category'!#REF!,"0.00"), ""), "")</f>
        <v/>
      </c>
      <c r="F176" t="str">
        <f>IFERROR(IF(ISNUMBER('Spending by Category'!#REF!),TEXT('Spending by Category'!#REF!,"0.00"), ""), "")</f>
        <v/>
      </c>
      <c r="G176" t="str">
        <f>IFERROR(IF(ISNUMBER('Spending by Category'!#REF!),TEXT('Spending by Category'!#REF!,"0.00"), ""), "")</f>
        <v/>
      </c>
      <c r="H176" t="str">
        <f>IFERROR(IF(ISNUMBER('Spending by Category'!#REF!),TEXT('Spending by Category'!#REF!,"0.00"), ""), "")</f>
        <v/>
      </c>
      <c r="I176" t="str">
        <f>IFERROR(IF(ISNUMBER('Spending by Category'!#REF!),TEXT('Spending by Category'!#REF!,"0.00"), ""), "")</f>
        <v/>
      </c>
      <c r="J176" t="str">
        <f>IFERROR(IF(ISNUMBER('Spending by Category'!B182),'Spending by Category'!N182, ""), "")</f>
        <v/>
      </c>
    </row>
    <row r="177" spans="1:10">
      <c r="A177" t="str">
        <f>TEXT(IF('Spending by Category'!B183&lt;&gt;0,'Spending by Category'!B183, ""), "mm/dd/yyyy")</f>
        <v/>
      </c>
      <c r="B177" t="str">
        <f>IFERROR(IF(ISNUMBER('Spending by Category'!#REF!),TEXT('Spending by Category'!#REF!,"0.00"), ""), "")</f>
        <v/>
      </c>
      <c r="C177" t="str">
        <f>IFERROR(IF(ISNUMBER('Spending by Category'!#REF!),TEXT('Spending by Category'!#REF!,"0.00"), ""), "")</f>
        <v/>
      </c>
      <c r="D177" t="str">
        <f>IFERROR(IF(ISNUMBER('Spending by Category'!#REF!),TEXT('Spending by Category'!#REF!,"0.00"), ""), "")</f>
        <v/>
      </c>
      <c r="E177" t="str">
        <f>IFERROR(IF(ISNUMBER('Spending by Category'!#REF!),TEXT('Spending by Category'!#REF!,"0.00"), ""), "")</f>
        <v/>
      </c>
      <c r="F177" t="str">
        <f>IFERROR(IF(ISNUMBER('Spending by Category'!#REF!),TEXT('Spending by Category'!#REF!,"0.00"), ""), "")</f>
        <v/>
      </c>
      <c r="G177" t="str">
        <f>IFERROR(IF(ISNUMBER('Spending by Category'!#REF!),TEXT('Spending by Category'!#REF!,"0.00"), ""), "")</f>
        <v/>
      </c>
      <c r="H177" t="str">
        <f>IFERROR(IF(ISNUMBER('Spending by Category'!#REF!),TEXT('Spending by Category'!#REF!,"0.00"), ""), "")</f>
        <v/>
      </c>
      <c r="I177" t="str">
        <f>IFERROR(IF(ISNUMBER('Spending by Category'!#REF!),TEXT('Spending by Category'!#REF!,"0.00"), ""), "")</f>
        <v/>
      </c>
      <c r="J177" t="str">
        <f>IFERROR(IF(ISNUMBER('Spending by Category'!B183),'Spending by Category'!N183, ""), "")</f>
        <v/>
      </c>
    </row>
    <row r="178" spans="1:10">
      <c r="A178" t="str">
        <f>TEXT(IF('Spending by Category'!B184&lt;&gt;0,'Spending by Category'!B184, ""), "mm/dd/yyyy")</f>
        <v/>
      </c>
      <c r="B178" t="str">
        <f>IFERROR(IF(ISNUMBER('Spending by Category'!#REF!),TEXT('Spending by Category'!#REF!,"0.00"), ""), "")</f>
        <v/>
      </c>
      <c r="C178" t="str">
        <f>IFERROR(IF(ISNUMBER('Spending by Category'!#REF!),TEXT('Spending by Category'!#REF!,"0.00"), ""), "")</f>
        <v/>
      </c>
      <c r="D178" t="str">
        <f>IFERROR(IF(ISNUMBER('Spending by Category'!#REF!),TEXT('Spending by Category'!#REF!,"0.00"), ""), "")</f>
        <v/>
      </c>
      <c r="E178" t="str">
        <f>IFERROR(IF(ISNUMBER('Spending by Category'!#REF!),TEXT('Spending by Category'!#REF!,"0.00"), ""), "")</f>
        <v/>
      </c>
      <c r="F178" t="str">
        <f>IFERROR(IF(ISNUMBER('Spending by Category'!#REF!),TEXT('Spending by Category'!#REF!,"0.00"), ""), "")</f>
        <v/>
      </c>
      <c r="G178" t="str">
        <f>IFERROR(IF(ISNUMBER('Spending by Category'!#REF!),TEXT('Spending by Category'!#REF!,"0.00"), ""), "")</f>
        <v/>
      </c>
      <c r="H178" t="str">
        <f>IFERROR(IF(ISNUMBER('Spending by Category'!#REF!),TEXT('Spending by Category'!#REF!,"0.00"), ""), "")</f>
        <v/>
      </c>
      <c r="I178" t="str">
        <f>IFERROR(IF(ISNUMBER('Spending by Category'!#REF!),TEXT('Spending by Category'!#REF!,"0.00"), ""), "")</f>
        <v/>
      </c>
      <c r="J178" t="str">
        <f>IFERROR(IF(ISNUMBER('Spending by Category'!B184),'Spending by Category'!N184, ""), "")</f>
        <v/>
      </c>
    </row>
    <row r="179" spans="1:10">
      <c r="A179" t="str">
        <f>TEXT(IF('Spending by Category'!B185&lt;&gt;0,'Spending by Category'!B185, ""), "mm/dd/yyyy")</f>
        <v/>
      </c>
      <c r="B179" t="str">
        <f>IFERROR(IF(ISNUMBER('Spending by Category'!#REF!),TEXT('Spending by Category'!#REF!,"0.00"), ""), "")</f>
        <v/>
      </c>
      <c r="C179" t="str">
        <f>IFERROR(IF(ISNUMBER('Spending by Category'!#REF!),TEXT('Spending by Category'!#REF!,"0.00"), ""), "")</f>
        <v/>
      </c>
      <c r="D179" t="str">
        <f>IFERROR(IF(ISNUMBER('Spending by Category'!#REF!),TEXT('Spending by Category'!#REF!,"0.00"), ""), "")</f>
        <v/>
      </c>
      <c r="E179" t="str">
        <f>IFERROR(IF(ISNUMBER('Spending by Category'!#REF!),TEXT('Spending by Category'!#REF!,"0.00"), ""), "")</f>
        <v/>
      </c>
      <c r="F179" t="str">
        <f>IFERROR(IF(ISNUMBER('Spending by Category'!#REF!),TEXT('Spending by Category'!#REF!,"0.00"), ""), "")</f>
        <v/>
      </c>
      <c r="G179" t="str">
        <f>IFERROR(IF(ISNUMBER('Spending by Category'!#REF!),TEXT('Spending by Category'!#REF!,"0.00"), ""), "")</f>
        <v/>
      </c>
      <c r="H179" t="str">
        <f>IFERROR(IF(ISNUMBER('Spending by Category'!#REF!),TEXT('Spending by Category'!#REF!,"0.00"), ""), "")</f>
        <v/>
      </c>
      <c r="I179" t="str">
        <f>IFERROR(IF(ISNUMBER('Spending by Category'!#REF!),TEXT('Spending by Category'!#REF!,"0.00"), ""), "")</f>
        <v/>
      </c>
      <c r="J179" t="str">
        <f>IFERROR(IF(ISNUMBER('Spending by Category'!B185),'Spending by Category'!N185, ""), "")</f>
        <v/>
      </c>
    </row>
    <row r="180" spans="1:10">
      <c r="A180" t="str">
        <f>TEXT(IF('Spending by Category'!B186&lt;&gt;0,'Spending by Category'!B186, ""), "mm/dd/yyyy")</f>
        <v/>
      </c>
      <c r="B180" t="str">
        <f>IFERROR(IF(ISNUMBER('Spending by Category'!#REF!),TEXT('Spending by Category'!#REF!,"0.00"), ""), "")</f>
        <v/>
      </c>
      <c r="C180" t="str">
        <f>IFERROR(IF(ISNUMBER('Spending by Category'!#REF!),TEXT('Spending by Category'!#REF!,"0.00"), ""), "")</f>
        <v/>
      </c>
      <c r="D180" t="str">
        <f>IFERROR(IF(ISNUMBER('Spending by Category'!#REF!),TEXT('Spending by Category'!#REF!,"0.00"), ""), "")</f>
        <v/>
      </c>
      <c r="E180" t="str">
        <f>IFERROR(IF(ISNUMBER('Spending by Category'!#REF!),TEXT('Spending by Category'!#REF!,"0.00"), ""), "")</f>
        <v/>
      </c>
      <c r="F180" t="str">
        <f>IFERROR(IF(ISNUMBER('Spending by Category'!#REF!),TEXT('Spending by Category'!#REF!,"0.00"), ""), "")</f>
        <v/>
      </c>
      <c r="G180" t="str">
        <f>IFERROR(IF(ISNUMBER('Spending by Category'!#REF!),TEXT('Spending by Category'!#REF!,"0.00"), ""), "")</f>
        <v/>
      </c>
      <c r="H180" t="str">
        <f>IFERROR(IF(ISNUMBER('Spending by Category'!#REF!),TEXT('Spending by Category'!#REF!,"0.00"), ""), "")</f>
        <v/>
      </c>
      <c r="I180" t="str">
        <f>IFERROR(IF(ISNUMBER('Spending by Category'!#REF!),TEXT('Spending by Category'!#REF!,"0.00"), ""), "")</f>
        <v/>
      </c>
      <c r="J180" t="str">
        <f>IFERROR(IF(ISNUMBER('Spending by Category'!B186),'Spending by Category'!N186, ""), "")</f>
        <v/>
      </c>
    </row>
    <row r="181" spans="1:10">
      <c r="A181" t="str">
        <f>TEXT(IF('Spending by Category'!B187&lt;&gt;0,'Spending by Category'!B187, ""), "mm/dd/yyyy")</f>
        <v/>
      </c>
      <c r="B181" t="str">
        <f>IFERROR(IF(ISNUMBER('Spending by Category'!#REF!),TEXT('Spending by Category'!#REF!,"0.00"), ""), "")</f>
        <v/>
      </c>
      <c r="C181" t="str">
        <f>IFERROR(IF(ISNUMBER('Spending by Category'!#REF!),TEXT('Spending by Category'!#REF!,"0.00"), ""), "")</f>
        <v/>
      </c>
      <c r="D181" t="str">
        <f>IFERROR(IF(ISNUMBER('Spending by Category'!#REF!),TEXT('Spending by Category'!#REF!,"0.00"), ""), "")</f>
        <v/>
      </c>
      <c r="E181" t="str">
        <f>IFERROR(IF(ISNUMBER('Spending by Category'!#REF!),TEXT('Spending by Category'!#REF!,"0.00"), ""), "")</f>
        <v/>
      </c>
      <c r="F181" t="str">
        <f>IFERROR(IF(ISNUMBER('Spending by Category'!#REF!),TEXT('Spending by Category'!#REF!,"0.00"), ""), "")</f>
        <v/>
      </c>
      <c r="G181" t="str">
        <f>IFERROR(IF(ISNUMBER('Spending by Category'!#REF!),TEXT('Spending by Category'!#REF!,"0.00"), ""), "")</f>
        <v/>
      </c>
      <c r="H181" t="str">
        <f>IFERROR(IF(ISNUMBER('Spending by Category'!#REF!),TEXT('Spending by Category'!#REF!,"0.00"), ""), "")</f>
        <v/>
      </c>
      <c r="I181" t="str">
        <f>IFERROR(IF(ISNUMBER('Spending by Category'!#REF!),TEXT('Spending by Category'!#REF!,"0.00"), ""), "")</f>
        <v/>
      </c>
      <c r="J181" t="str">
        <f>IFERROR(IF(ISNUMBER('Spending by Category'!B187),'Spending by Category'!N187, ""), "")</f>
        <v/>
      </c>
    </row>
    <row r="182" spans="1:10">
      <c r="A182" t="str">
        <f>TEXT(IF('Spending by Category'!B188&lt;&gt;0,'Spending by Category'!B188, ""), "mm/dd/yyyy")</f>
        <v/>
      </c>
      <c r="B182" t="str">
        <f>IFERROR(IF(ISNUMBER('Spending by Category'!#REF!),TEXT('Spending by Category'!#REF!,"0.00"), ""), "")</f>
        <v/>
      </c>
      <c r="C182" t="str">
        <f>IFERROR(IF(ISNUMBER('Spending by Category'!#REF!),TEXT('Spending by Category'!#REF!,"0.00"), ""), "")</f>
        <v/>
      </c>
      <c r="D182" t="str">
        <f>IFERROR(IF(ISNUMBER('Spending by Category'!#REF!),TEXT('Spending by Category'!#REF!,"0.00"), ""), "")</f>
        <v/>
      </c>
      <c r="E182" t="str">
        <f>IFERROR(IF(ISNUMBER('Spending by Category'!#REF!),TEXT('Spending by Category'!#REF!,"0.00"), ""), "")</f>
        <v/>
      </c>
      <c r="F182" t="str">
        <f>IFERROR(IF(ISNUMBER('Spending by Category'!#REF!),TEXT('Spending by Category'!#REF!,"0.00"), ""), "")</f>
        <v/>
      </c>
      <c r="G182" t="str">
        <f>IFERROR(IF(ISNUMBER('Spending by Category'!#REF!),TEXT('Spending by Category'!#REF!,"0.00"), ""), "")</f>
        <v/>
      </c>
      <c r="H182" t="str">
        <f>IFERROR(IF(ISNUMBER('Spending by Category'!#REF!),TEXT('Spending by Category'!#REF!,"0.00"), ""), "")</f>
        <v/>
      </c>
      <c r="I182" t="str">
        <f>IFERROR(IF(ISNUMBER('Spending by Category'!#REF!),TEXT('Spending by Category'!#REF!,"0.00"), ""), "")</f>
        <v/>
      </c>
      <c r="J182" t="str">
        <f>IFERROR(IF(ISNUMBER('Spending by Category'!B188),'Spending by Category'!N188, ""), "")</f>
        <v/>
      </c>
    </row>
    <row r="183" spans="1:10">
      <c r="A183" t="str">
        <f>TEXT(IF('Spending by Category'!B189&lt;&gt;0,'Spending by Category'!B189, ""), "mm/dd/yyyy")</f>
        <v/>
      </c>
      <c r="B183" t="str">
        <f>IFERROR(IF(ISNUMBER('Spending by Category'!#REF!),TEXT('Spending by Category'!#REF!,"0.00"), ""), "")</f>
        <v/>
      </c>
      <c r="C183" t="str">
        <f>IFERROR(IF(ISNUMBER('Spending by Category'!#REF!),TEXT('Spending by Category'!#REF!,"0.00"), ""), "")</f>
        <v/>
      </c>
      <c r="D183" t="str">
        <f>IFERROR(IF(ISNUMBER('Spending by Category'!#REF!),TEXT('Spending by Category'!#REF!,"0.00"), ""), "")</f>
        <v/>
      </c>
      <c r="E183" t="str">
        <f>IFERROR(IF(ISNUMBER('Spending by Category'!#REF!),TEXT('Spending by Category'!#REF!,"0.00"), ""), "")</f>
        <v/>
      </c>
      <c r="F183" t="str">
        <f>IFERROR(IF(ISNUMBER('Spending by Category'!#REF!),TEXT('Spending by Category'!#REF!,"0.00"), ""), "")</f>
        <v/>
      </c>
      <c r="G183" t="str">
        <f>IFERROR(IF(ISNUMBER('Spending by Category'!#REF!),TEXT('Spending by Category'!#REF!,"0.00"), ""), "")</f>
        <v/>
      </c>
      <c r="H183" t="str">
        <f>IFERROR(IF(ISNUMBER('Spending by Category'!#REF!),TEXT('Spending by Category'!#REF!,"0.00"), ""), "")</f>
        <v/>
      </c>
      <c r="I183" t="str">
        <f>IFERROR(IF(ISNUMBER('Spending by Category'!#REF!),TEXT('Spending by Category'!#REF!,"0.00"), ""), "")</f>
        <v/>
      </c>
      <c r="J183" t="str">
        <f>IFERROR(IF(ISNUMBER('Spending by Category'!B189),'Spending by Category'!N189, ""), "")</f>
        <v/>
      </c>
    </row>
    <row r="184" spans="1:10">
      <c r="A184" t="str">
        <f>TEXT(IF('Spending by Category'!B190&lt;&gt;0,'Spending by Category'!B190, ""), "mm/dd/yyyy")</f>
        <v/>
      </c>
      <c r="B184" t="str">
        <f>IFERROR(IF(ISNUMBER('Spending by Category'!#REF!),TEXT('Spending by Category'!#REF!,"0.00"), ""), "")</f>
        <v/>
      </c>
      <c r="C184" t="str">
        <f>IFERROR(IF(ISNUMBER('Spending by Category'!#REF!),TEXT('Spending by Category'!#REF!,"0.00"), ""), "")</f>
        <v/>
      </c>
      <c r="D184" t="str">
        <f>IFERROR(IF(ISNUMBER('Spending by Category'!#REF!),TEXT('Spending by Category'!#REF!,"0.00"), ""), "")</f>
        <v/>
      </c>
      <c r="E184" t="str">
        <f>IFERROR(IF(ISNUMBER('Spending by Category'!#REF!),TEXT('Spending by Category'!#REF!,"0.00"), ""), "")</f>
        <v/>
      </c>
      <c r="F184" t="str">
        <f>IFERROR(IF(ISNUMBER('Spending by Category'!#REF!),TEXT('Spending by Category'!#REF!,"0.00"), ""), "")</f>
        <v/>
      </c>
      <c r="G184" t="str">
        <f>IFERROR(IF(ISNUMBER('Spending by Category'!#REF!),TEXT('Spending by Category'!#REF!,"0.00"), ""), "")</f>
        <v/>
      </c>
      <c r="H184" t="str">
        <f>IFERROR(IF(ISNUMBER('Spending by Category'!#REF!),TEXT('Spending by Category'!#REF!,"0.00"), ""), "")</f>
        <v/>
      </c>
      <c r="I184" t="str">
        <f>IFERROR(IF(ISNUMBER('Spending by Category'!#REF!),TEXT('Spending by Category'!#REF!,"0.00"), ""), "")</f>
        <v/>
      </c>
      <c r="J184" t="str">
        <f>IFERROR(IF(ISNUMBER('Spending by Category'!B190),'Spending by Category'!N190, ""), "")</f>
        <v/>
      </c>
    </row>
    <row r="185" spans="1:10">
      <c r="A185" t="str">
        <f>TEXT(IF('Spending by Category'!B191&lt;&gt;0,'Spending by Category'!B191, ""), "mm/dd/yyyy")</f>
        <v/>
      </c>
      <c r="B185" t="str">
        <f>IFERROR(IF(ISNUMBER('Spending by Category'!#REF!),TEXT('Spending by Category'!#REF!,"0.00"), ""), "")</f>
        <v/>
      </c>
      <c r="C185" t="str">
        <f>IFERROR(IF(ISNUMBER('Spending by Category'!#REF!),TEXT('Spending by Category'!#REF!,"0.00"), ""), "")</f>
        <v/>
      </c>
      <c r="D185" t="str">
        <f>IFERROR(IF(ISNUMBER('Spending by Category'!#REF!),TEXT('Spending by Category'!#REF!,"0.00"), ""), "")</f>
        <v/>
      </c>
      <c r="E185" t="str">
        <f>IFERROR(IF(ISNUMBER('Spending by Category'!#REF!),TEXT('Spending by Category'!#REF!,"0.00"), ""), "")</f>
        <v/>
      </c>
      <c r="F185" t="str">
        <f>IFERROR(IF(ISNUMBER('Spending by Category'!#REF!),TEXT('Spending by Category'!#REF!,"0.00"), ""), "")</f>
        <v/>
      </c>
      <c r="G185" t="str">
        <f>IFERROR(IF(ISNUMBER('Spending by Category'!#REF!),TEXT('Spending by Category'!#REF!,"0.00"), ""), "")</f>
        <v/>
      </c>
      <c r="H185" t="str">
        <f>IFERROR(IF(ISNUMBER('Spending by Category'!#REF!),TEXT('Spending by Category'!#REF!,"0.00"), ""), "")</f>
        <v/>
      </c>
      <c r="I185" t="str">
        <f>IFERROR(IF(ISNUMBER('Spending by Category'!#REF!),TEXT('Spending by Category'!#REF!,"0.00"), ""), "")</f>
        <v/>
      </c>
      <c r="J185" t="str">
        <f>IFERROR(IF(ISNUMBER('Spending by Category'!B191),'Spending by Category'!N191, ""), "")</f>
        <v/>
      </c>
    </row>
    <row r="186" spans="1:10">
      <c r="A186" t="str">
        <f>TEXT(IF('Spending by Category'!B192&lt;&gt;0,'Spending by Category'!B192, ""), "mm/dd/yyyy")</f>
        <v/>
      </c>
      <c r="B186" t="str">
        <f>IFERROR(IF(ISNUMBER('Spending by Category'!#REF!),TEXT('Spending by Category'!#REF!,"0.00"), ""), "")</f>
        <v/>
      </c>
      <c r="C186" t="str">
        <f>IFERROR(IF(ISNUMBER('Spending by Category'!#REF!),TEXT('Spending by Category'!#REF!,"0.00"), ""), "")</f>
        <v/>
      </c>
      <c r="D186" t="str">
        <f>IFERROR(IF(ISNUMBER('Spending by Category'!#REF!),TEXT('Spending by Category'!#REF!,"0.00"), ""), "")</f>
        <v/>
      </c>
      <c r="E186" t="str">
        <f>IFERROR(IF(ISNUMBER('Spending by Category'!#REF!),TEXT('Spending by Category'!#REF!,"0.00"), ""), "")</f>
        <v/>
      </c>
      <c r="F186" t="str">
        <f>IFERROR(IF(ISNUMBER('Spending by Category'!#REF!),TEXT('Spending by Category'!#REF!,"0.00"), ""), "")</f>
        <v/>
      </c>
      <c r="G186" t="str">
        <f>IFERROR(IF(ISNUMBER('Spending by Category'!#REF!),TEXT('Spending by Category'!#REF!,"0.00"), ""), "")</f>
        <v/>
      </c>
      <c r="H186" t="str">
        <f>IFERROR(IF(ISNUMBER('Spending by Category'!#REF!),TEXT('Spending by Category'!#REF!,"0.00"), ""), "")</f>
        <v/>
      </c>
      <c r="I186" t="str">
        <f>IFERROR(IF(ISNUMBER('Spending by Category'!#REF!),TEXT('Spending by Category'!#REF!,"0.00"), ""), "")</f>
        <v/>
      </c>
      <c r="J186" t="str">
        <f>IFERROR(IF(ISNUMBER('Spending by Category'!B192),'Spending by Category'!N192, ""), "")</f>
        <v/>
      </c>
    </row>
    <row r="187" spans="1:10">
      <c r="A187" t="str">
        <f>TEXT(IF('Spending by Category'!B193&lt;&gt;0,'Spending by Category'!B193, ""), "mm/dd/yyyy")</f>
        <v/>
      </c>
      <c r="B187" t="str">
        <f>IFERROR(IF(ISNUMBER('Spending by Category'!#REF!),TEXT('Spending by Category'!#REF!,"0.00"), ""), "")</f>
        <v/>
      </c>
      <c r="C187" t="str">
        <f>IFERROR(IF(ISNUMBER('Spending by Category'!#REF!),TEXT('Spending by Category'!#REF!,"0.00"), ""), "")</f>
        <v/>
      </c>
      <c r="D187" t="str">
        <f>IFERROR(IF(ISNUMBER('Spending by Category'!#REF!),TEXT('Spending by Category'!#REF!,"0.00"), ""), "")</f>
        <v/>
      </c>
      <c r="E187" t="str">
        <f>IFERROR(IF(ISNUMBER('Spending by Category'!#REF!),TEXT('Spending by Category'!#REF!,"0.00"), ""), "")</f>
        <v/>
      </c>
      <c r="F187" t="str">
        <f>IFERROR(IF(ISNUMBER('Spending by Category'!#REF!),TEXT('Spending by Category'!#REF!,"0.00"), ""), "")</f>
        <v/>
      </c>
      <c r="G187" t="str">
        <f>IFERROR(IF(ISNUMBER('Spending by Category'!#REF!),TEXT('Spending by Category'!#REF!,"0.00"), ""), "")</f>
        <v/>
      </c>
      <c r="H187" t="str">
        <f>IFERROR(IF(ISNUMBER('Spending by Category'!#REF!),TEXT('Spending by Category'!#REF!,"0.00"), ""), "")</f>
        <v/>
      </c>
      <c r="I187" t="str">
        <f>IFERROR(IF(ISNUMBER('Spending by Category'!#REF!),TEXT('Spending by Category'!#REF!,"0.00"), ""), "")</f>
        <v/>
      </c>
      <c r="J187" t="str">
        <f>IFERROR(IF(ISNUMBER('Spending by Category'!B193),'Spending by Category'!N193, ""), "")</f>
        <v/>
      </c>
    </row>
    <row r="188" spans="1:10">
      <c r="A188" t="str">
        <f>TEXT(IF('Spending by Category'!B194&lt;&gt;0,'Spending by Category'!B194, ""), "mm/dd/yyyy")</f>
        <v/>
      </c>
      <c r="B188" t="str">
        <f>IFERROR(IF(ISNUMBER('Spending by Category'!#REF!),TEXT('Spending by Category'!#REF!,"0.00"), ""), "")</f>
        <v/>
      </c>
      <c r="C188" t="str">
        <f>IFERROR(IF(ISNUMBER('Spending by Category'!#REF!),TEXT('Spending by Category'!#REF!,"0.00"), ""), "")</f>
        <v/>
      </c>
      <c r="D188" t="str">
        <f>IFERROR(IF(ISNUMBER('Spending by Category'!#REF!),TEXT('Spending by Category'!#REF!,"0.00"), ""), "")</f>
        <v/>
      </c>
      <c r="E188" t="str">
        <f>IFERROR(IF(ISNUMBER('Spending by Category'!#REF!),TEXT('Spending by Category'!#REF!,"0.00"), ""), "")</f>
        <v/>
      </c>
      <c r="F188" t="str">
        <f>IFERROR(IF(ISNUMBER('Spending by Category'!#REF!),TEXT('Spending by Category'!#REF!,"0.00"), ""), "")</f>
        <v/>
      </c>
      <c r="G188" t="str">
        <f>IFERROR(IF(ISNUMBER('Spending by Category'!#REF!),TEXT('Spending by Category'!#REF!,"0.00"), ""), "")</f>
        <v/>
      </c>
      <c r="H188" t="str">
        <f>IFERROR(IF(ISNUMBER('Spending by Category'!#REF!),TEXT('Spending by Category'!#REF!,"0.00"), ""), "")</f>
        <v/>
      </c>
      <c r="I188" t="str">
        <f>IFERROR(IF(ISNUMBER('Spending by Category'!#REF!),TEXT('Spending by Category'!#REF!,"0.00"), ""), "")</f>
        <v/>
      </c>
      <c r="J188" t="str">
        <f>IFERROR(IF(ISNUMBER('Spending by Category'!B194),'Spending by Category'!N194, ""), "")</f>
        <v/>
      </c>
    </row>
    <row r="189" spans="1:10">
      <c r="A189" t="str">
        <f>TEXT(IF('Spending by Category'!B195&lt;&gt;0,'Spending by Category'!B195, ""), "mm/dd/yyyy")</f>
        <v/>
      </c>
      <c r="B189" t="str">
        <f>IFERROR(IF(ISNUMBER('Spending by Category'!#REF!),TEXT('Spending by Category'!#REF!,"0.00"), ""), "")</f>
        <v/>
      </c>
      <c r="C189" t="str">
        <f>IFERROR(IF(ISNUMBER('Spending by Category'!#REF!),TEXT('Spending by Category'!#REF!,"0.00"), ""), "")</f>
        <v/>
      </c>
      <c r="D189" t="str">
        <f>IFERROR(IF(ISNUMBER('Spending by Category'!#REF!),TEXT('Spending by Category'!#REF!,"0.00"), ""), "")</f>
        <v/>
      </c>
      <c r="E189" t="str">
        <f>IFERROR(IF(ISNUMBER('Spending by Category'!#REF!),TEXT('Spending by Category'!#REF!,"0.00"), ""), "")</f>
        <v/>
      </c>
      <c r="F189" t="str">
        <f>IFERROR(IF(ISNUMBER('Spending by Category'!#REF!),TEXT('Spending by Category'!#REF!,"0.00"), ""), "")</f>
        <v/>
      </c>
      <c r="G189" t="str">
        <f>IFERROR(IF(ISNUMBER('Spending by Category'!#REF!),TEXT('Spending by Category'!#REF!,"0.00"), ""), "")</f>
        <v/>
      </c>
      <c r="H189" t="str">
        <f>IFERROR(IF(ISNUMBER('Spending by Category'!#REF!),TEXT('Spending by Category'!#REF!,"0.00"), ""), "")</f>
        <v/>
      </c>
      <c r="I189" t="str">
        <f>IFERROR(IF(ISNUMBER('Spending by Category'!#REF!),TEXT('Spending by Category'!#REF!,"0.00"), ""), "")</f>
        <v/>
      </c>
      <c r="J189" t="str">
        <f>IFERROR(IF(ISNUMBER('Spending by Category'!B195),'Spending by Category'!N195, ""), "")</f>
        <v/>
      </c>
    </row>
    <row r="190" spans="1:10">
      <c r="A190" t="str">
        <f>TEXT(IF('Spending by Category'!B196&lt;&gt;0,'Spending by Category'!B196, ""), "mm/dd/yyyy")</f>
        <v/>
      </c>
      <c r="B190" t="str">
        <f>IFERROR(IF(ISNUMBER('Spending by Category'!#REF!),TEXT('Spending by Category'!#REF!,"0.00"), ""), "")</f>
        <v/>
      </c>
      <c r="C190" t="str">
        <f>IFERROR(IF(ISNUMBER('Spending by Category'!#REF!),TEXT('Spending by Category'!#REF!,"0.00"), ""), "")</f>
        <v/>
      </c>
      <c r="D190" t="str">
        <f>IFERROR(IF(ISNUMBER('Spending by Category'!#REF!),TEXT('Spending by Category'!#REF!,"0.00"), ""), "")</f>
        <v/>
      </c>
      <c r="E190" t="str">
        <f>IFERROR(IF(ISNUMBER('Spending by Category'!#REF!),TEXT('Spending by Category'!#REF!,"0.00"), ""), "")</f>
        <v/>
      </c>
      <c r="F190" t="str">
        <f>IFERROR(IF(ISNUMBER('Spending by Category'!#REF!),TEXT('Spending by Category'!#REF!,"0.00"), ""), "")</f>
        <v/>
      </c>
      <c r="G190" t="str">
        <f>IFERROR(IF(ISNUMBER('Spending by Category'!#REF!),TEXT('Spending by Category'!#REF!,"0.00"), ""), "")</f>
        <v/>
      </c>
      <c r="H190" t="str">
        <f>IFERROR(IF(ISNUMBER('Spending by Category'!#REF!),TEXT('Spending by Category'!#REF!,"0.00"), ""), "")</f>
        <v/>
      </c>
      <c r="I190" t="str">
        <f>IFERROR(IF(ISNUMBER('Spending by Category'!#REF!),TEXT('Spending by Category'!#REF!,"0.00"), ""), "")</f>
        <v/>
      </c>
      <c r="J190" t="str">
        <f>IFERROR(IF(ISNUMBER('Spending by Category'!B196),'Spending by Category'!N196, ""), "")</f>
        <v/>
      </c>
    </row>
    <row r="191" spans="1:10">
      <c r="A191" t="str">
        <f>TEXT(IF('Spending by Category'!B197&lt;&gt;0,'Spending by Category'!B197, ""), "mm/dd/yyyy")</f>
        <v/>
      </c>
      <c r="B191" t="str">
        <f>IFERROR(IF(ISNUMBER('Spending by Category'!#REF!),TEXT('Spending by Category'!#REF!,"0.00"), ""), "")</f>
        <v/>
      </c>
      <c r="C191" t="str">
        <f>IFERROR(IF(ISNUMBER('Spending by Category'!#REF!),TEXT('Spending by Category'!#REF!,"0.00"), ""), "")</f>
        <v/>
      </c>
      <c r="D191" t="str">
        <f>IFERROR(IF(ISNUMBER('Spending by Category'!#REF!),TEXT('Spending by Category'!#REF!,"0.00"), ""), "")</f>
        <v/>
      </c>
      <c r="E191" t="str">
        <f>IFERROR(IF(ISNUMBER('Spending by Category'!#REF!),TEXT('Spending by Category'!#REF!,"0.00"), ""), "")</f>
        <v/>
      </c>
      <c r="F191" t="str">
        <f>IFERROR(IF(ISNUMBER('Spending by Category'!#REF!),TEXT('Spending by Category'!#REF!,"0.00"), ""), "")</f>
        <v/>
      </c>
      <c r="G191" t="str">
        <f>IFERROR(IF(ISNUMBER('Spending by Category'!#REF!),TEXT('Spending by Category'!#REF!,"0.00"), ""), "")</f>
        <v/>
      </c>
      <c r="H191" t="str">
        <f>IFERROR(IF(ISNUMBER('Spending by Category'!#REF!),TEXT('Spending by Category'!#REF!,"0.00"), ""), "")</f>
        <v/>
      </c>
      <c r="I191" t="str">
        <f>IFERROR(IF(ISNUMBER('Spending by Category'!#REF!),TEXT('Spending by Category'!#REF!,"0.00"), ""), "")</f>
        <v/>
      </c>
      <c r="J191" t="str">
        <f>IFERROR(IF(ISNUMBER('Spending by Category'!B197),'Spending by Category'!N197, ""), "")</f>
        <v/>
      </c>
    </row>
    <row r="192" spans="1:10">
      <c r="A192" t="str">
        <f>TEXT(IF('Spending by Category'!B198&lt;&gt;0,'Spending by Category'!B198, ""), "mm/dd/yyyy")</f>
        <v/>
      </c>
      <c r="B192" t="str">
        <f>IFERROR(IF(ISNUMBER('Spending by Category'!#REF!),TEXT('Spending by Category'!#REF!,"0.00"), ""), "")</f>
        <v/>
      </c>
      <c r="C192" t="str">
        <f>IFERROR(IF(ISNUMBER('Spending by Category'!#REF!),TEXT('Spending by Category'!#REF!,"0.00"), ""), "")</f>
        <v/>
      </c>
      <c r="D192" t="str">
        <f>IFERROR(IF(ISNUMBER('Spending by Category'!#REF!),TEXT('Spending by Category'!#REF!,"0.00"), ""), "")</f>
        <v/>
      </c>
      <c r="E192" t="str">
        <f>IFERROR(IF(ISNUMBER('Spending by Category'!#REF!),TEXT('Spending by Category'!#REF!,"0.00"), ""), "")</f>
        <v/>
      </c>
      <c r="F192" t="str">
        <f>IFERROR(IF(ISNUMBER('Spending by Category'!#REF!),TEXT('Spending by Category'!#REF!,"0.00"), ""), "")</f>
        <v/>
      </c>
      <c r="G192" t="str">
        <f>IFERROR(IF(ISNUMBER('Spending by Category'!#REF!),TEXT('Spending by Category'!#REF!,"0.00"), ""), "")</f>
        <v/>
      </c>
      <c r="H192" t="str">
        <f>IFERROR(IF(ISNUMBER('Spending by Category'!#REF!),TEXT('Spending by Category'!#REF!,"0.00"), ""), "")</f>
        <v/>
      </c>
      <c r="I192" t="str">
        <f>IFERROR(IF(ISNUMBER('Spending by Category'!#REF!),TEXT('Spending by Category'!#REF!,"0.00"), ""), "")</f>
        <v/>
      </c>
      <c r="J192" t="str">
        <f>IFERROR(IF(ISNUMBER('Spending by Category'!B198),'Spending by Category'!N198, ""), "")</f>
        <v/>
      </c>
    </row>
    <row r="193" spans="1:10">
      <c r="A193" t="str">
        <f>TEXT(IF('Spending by Category'!B199&lt;&gt;0,'Spending by Category'!B199, ""), "mm/dd/yyyy")</f>
        <v/>
      </c>
      <c r="B193" t="str">
        <f>IFERROR(IF(ISNUMBER('Spending by Category'!#REF!),TEXT('Spending by Category'!#REF!,"0.00"), ""), "")</f>
        <v/>
      </c>
      <c r="C193" t="str">
        <f>IFERROR(IF(ISNUMBER('Spending by Category'!#REF!),TEXT('Spending by Category'!#REF!,"0.00"), ""), "")</f>
        <v/>
      </c>
      <c r="D193" t="str">
        <f>IFERROR(IF(ISNUMBER('Spending by Category'!#REF!),TEXT('Spending by Category'!#REF!,"0.00"), ""), "")</f>
        <v/>
      </c>
      <c r="E193" t="str">
        <f>IFERROR(IF(ISNUMBER('Spending by Category'!#REF!),TEXT('Spending by Category'!#REF!,"0.00"), ""), "")</f>
        <v/>
      </c>
      <c r="F193" t="str">
        <f>IFERROR(IF(ISNUMBER('Spending by Category'!#REF!),TEXT('Spending by Category'!#REF!,"0.00"), ""), "")</f>
        <v/>
      </c>
      <c r="G193" t="str">
        <f>IFERROR(IF(ISNUMBER('Spending by Category'!#REF!),TEXT('Spending by Category'!#REF!,"0.00"), ""), "")</f>
        <v/>
      </c>
      <c r="H193" t="str">
        <f>IFERROR(IF(ISNUMBER('Spending by Category'!#REF!),TEXT('Spending by Category'!#REF!,"0.00"), ""), "")</f>
        <v/>
      </c>
      <c r="I193" t="str">
        <f>IFERROR(IF(ISNUMBER('Spending by Category'!#REF!),TEXT('Spending by Category'!#REF!,"0.00"), ""), "")</f>
        <v/>
      </c>
      <c r="J193" t="str">
        <f>IFERROR(IF(ISNUMBER('Spending by Category'!B199),'Spending by Category'!N199, ""), "")</f>
        <v/>
      </c>
    </row>
    <row r="194" spans="1:10">
      <c r="A194" t="str">
        <f>TEXT(IF('Spending by Category'!B200&lt;&gt;0,'Spending by Category'!B200, ""), "mm/dd/yyyy")</f>
        <v/>
      </c>
      <c r="B194" t="str">
        <f>IFERROR(IF(ISNUMBER('Spending by Category'!#REF!),TEXT('Spending by Category'!#REF!,"0.00"), ""), "")</f>
        <v/>
      </c>
      <c r="C194" t="str">
        <f>IFERROR(IF(ISNUMBER('Spending by Category'!#REF!),TEXT('Spending by Category'!#REF!,"0.00"), ""), "")</f>
        <v/>
      </c>
      <c r="D194" t="str">
        <f>IFERROR(IF(ISNUMBER('Spending by Category'!#REF!),TEXT('Spending by Category'!#REF!,"0.00"), ""), "")</f>
        <v/>
      </c>
      <c r="E194" t="str">
        <f>IFERROR(IF(ISNUMBER('Spending by Category'!#REF!),TEXT('Spending by Category'!#REF!,"0.00"), ""), "")</f>
        <v/>
      </c>
      <c r="F194" t="str">
        <f>IFERROR(IF(ISNUMBER('Spending by Category'!#REF!),TEXT('Spending by Category'!#REF!,"0.00"), ""), "")</f>
        <v/>
      </c>
      <c r="G194" t="str">
        <f>IFERROR(IF(ISNUMBER('Spending by Category'!#REF!),TEXT('Spending by Category'!#REF!,"0.00"), ""), "")</f>
        <v/>
      </c>
      <c r="H194" t="str">
        <f>IFERROR(IF(ISNUMBER('Spending by Category'!#REF!),TEXT('Spending by Category'!#REF!,"0.00"), ""), "")</f>
        <v/>
      </c>
      <c r="I194" t="str">
        <f>IFERROR(IF(ISNUMBER('Spending by Category'!#REF!),TEXT('Spending by Category'!#REF!,"0.00"), ""), "")</f>
        <v/>
      </c>
      <c r="J194" t="str">
        <f>IFERROR(IF(ISNUMBER('Spending by Category'!B200),'Spending by Category'!N200, ""), "")</f>
        <v/>
      </c>
    </row>
    <row r="195" spans="1:10">
      <c r="A195" t="str">
        <f>TEXT(IF('Spending by Category'!B201&lt;&gt;0,'Spending by Category'!B201, ""), "mm/dd/yyyy")</f>
        <v/>
      </c>
      <c r="B195" t="str">
        <f>IFERROR(IF(ISNUMBER('Spending by Category'!#REF!),TEXT('Spending by Category'!#REF!,"0.00"), ""), "")</f>
        <v/>
      </c>
      <c r="C195" t="str">
        <f>IFERROR(IF(ISNUMBER('Spending by Category'!#REF!),TEXT('Spending by Category'!#REF!,"0.00"), ""), "")</f>
        <v/>
      </c>
      <c r="D195" t="str">
        <f>IFERROR(IF(ISNUMBER('Spending by Category'!#REF!),TEXT('Spending by Category'!#REF!,"0.00"), ""), "")</f>
        <v/>
      </c>
      <c r="E195" t="str">
        <f>IFERROR(IF(ISNUMBER('Spending by Category'!#REF!),TEXT('Spending by Category'!#REF!,"0.00"), ""), "")</f>
        <v/>
      </c>
      <c r="F195" t="str">
        <f>IFERROR(IF(ISNUMBER('Spending by Category'!#REF!),TEXT('Spending by Category'!#REF!,"0.00"), ""), "")</f>
        <v/>
      </c>
      <c r="G195" t="str">
        <f>IFERROR(IF(ISNUMBER('Spending by Category'!#REF!),TEXT('Spending by Category'!#REF!,"0.00"), ""), "")</f>
        <v/>
      </c>
      <c r="H195" t="str">
        <f>IFERROR(IF(ISNUMBER('Spending by Category'!#REF!),TEXT('Spending by Category'!#REF!,"0.00"), ""), "")</f>
        <v/>
      </c>
      <c r="I195" t="str">
        <f>IFERROR(IF(ISNUMBER('Spending by Category'!#REF!),TEXT('Spending by Category'!#REF!,"0.00"), ""), "")</f>
        <v/>
      </c>
      <c r="J195" t="str">
        <f>IFERROR(IF(ISNUMBER('Spending by Category'!B201),'Spending by Category'!N201, ""), "")</f>
        <v/>
      </c>
    </row>
    <row r="196" spans="1:10">
      <c r="A196" t="str">
        <f>TEXT(IF('Spending by Category'!B202&lt;&gt;0,'Spending by Category'!B202, ""), "mm/dd/yyyy")</f>
        <v/>
      </c>
      <c r="B196" t="str">
        <f>IFERROR(IF(ISNUMBER('Spending by Category'!#REF!),TEXT('Spending by Category'!#REF!,"0.00"), ""), "")</f>
        <v/>
      </c>
      <c r="C196" t="str">
        <f>IFERROR(IF(ISNUMBER('Spending by Category'!#REF!),TEXT('Spending by Category'!#REF!,"0.00"), ""), "")</f>
        <v/>
      </c>
      <c r="D196" t="str">
        <f>IFERROR(IF(ISNUMBER('Spending by Category'!#REF!),TEXT('Spending by Category'!#REF!,"0.00"), ""), "")</f>
        <v/>
      </c>
      <c r="E196" t="str">
        <f>IFERROR(IF(ISNUMBER('Spending by Category'!#REF!),TEXT('Spending by Category'!#REF!,"0.00"), ""), "")</f>
        <v/>
      </c>
      <c r="F196" t="str">
        <f>IFERROR(IF(ISNUMBER('Spending by Category'!#REF!),TEXT('Spending by Category'!#REF!,"0.00"), ""), "")</f>
        <v/>
      </c>
      <c r="G196" t="str">
        <f>IFERROR(IF(ISNUMBER('Spending by Category'!#REF!),TEXT('Spending by Category'!#REF!,"0.00"), ""), "")</f>
        <v/>
      </c>
      <c r="H196" t="str">
        <f>IFERROR(IF(ISNUMBER('Spending by Category'!#REF!),TEXT('Spending by Category'!#REF!,"0.00"), ""), "")</f>
        <v/>
      </c>
      <c r="I196" t="str">
        <f>IFERROR(IF(ISNUMBER('Spending by Category'!#REF!),TEXT('Spending by Category'!#REF!,"0.00"), ""), "")</f>
        <v/>
      </c>
      <c r="J196" t="str">
        <f>IFERROR(IF(ISNUMBER('Spending by Category'!B202),'Spending by Category'!N202, ""), "")</f>
        <v/>
      </c>
    </row>
    <row r="197" spans="1:10">
      <c r="A197" t="str">
        <f>TEXT(IF('Spending by Category'!B203&lt;&gt;0,'Spending by Category'!B203, ""), "mm/dd/yyyy")</f>
        <v/>
      </c>
      <c r="B197" t="str">
        <f>IFERROR(IF(ISNUMBER('Spending by Category'!#REF!),TEXT('Spending by Category'!#REF!,"0.00"), ""), "")</f>
        <v/>
      </c>
      <c r="C197" t="str">
        <f>IFERROR(IF(ISNUMBER('Spending by Category'!#REF!),TEXT('Spending by Category'!#REF!,"0.00"), ""), "")</f>
        <v/>
      </c>
      <c r="D197" t="str">
        <f>IFERROR(IF(ISNUMBER('Spending by Category'!#REF!),TEXT('Spending by Category'!#REF!,"0.00"), ""), "")</f>
        <v/>
      </c>
      <c r="E197" t="str">
        <f>IFERROR(IF(ISNUMBER('Spending by Category'!#REF!),TEXT('Spending by Category'!#REF!,"0.00"), ""), "")</f>
        <v/>
      </c>
      <c r="F197" t="str">
        <f>IFERROR(IF(ISNUMBER('Spending by Category'!#REF!),TEXT('Spending by Category'!#REF!,"0.00"), ""), "")</f>
        <v/>
      </c>
      <c r="G197" t="str">
        <f>IFERROR(IF(ISNUMBER('Spending by Category'!#REF!),TEXT('Spending by Category'!#REF!,"0.00"), ""), "")</f>
        <v/>
      </c>
      <c r="H197" t="str">
        <f>IFERROR(IF(ISNUMBER('Spending by Category'!#REF!),TEXT('Spending by Category'!#REF!,"0.00"), ""), "")</f>
        <v/>
      </c>
      <c r="I197" t="str">
        <f>IFERROR(IF(ISNUMBER('Spending by Category'!#REF!),TEXT('Spending by Category'!#REF!,"0.00"), ""), "")</f>
        <v/>
      </c>
      <c r="J197" t="str">
        <f>IFERROR(IF(ISNUMBER('Spending by Category'!B203),'Spending by Category'!N203,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0" ma:contentTypeDescription="Create a new document." ma:contentTypeScope="" ma:versionID="b9a86b7d7182490317a7b9595e2b9e81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4ba40e74bc0e04119c01fa58fd232575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99701D-C23F-43C1-8363-128A6EED4179}">
  <ds:schemaRefs>
    <ds:schemaRef ds:uri="http://purl.org/dc/elements/1.1/"/>
    <ds:schemaRef ds:uri="http://schemas.microsoft.com/office/2006/metadata/properties"/>
    <ds:schemaRef ds:uri="cac5d118-ba7b-4807-b700-df6f95cfff50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66951ee6-cd93-49c7-9437-e871b2a117d6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A61D48C-E8E9-44EB-9978-2049B235EA1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A45F35-B1A1-4D7C-962E-B6F42CC04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c5d118-ba7b-4807-b700-df6f95cfff50"/>
    <ds:schemaRef ds:uri="66951ee6-cd93-49c7-9437-e871b2a117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_DLX4.USE</vt:lpstr>
      <vt:lpstr>_DLX5.USE</vt:lpstr>
      <vt:lpstr>_DLX6.USE</vt:lpstr>
      <vt:lpstr>_DLX7.USE</vt:lpstr>
      <vt:lpstr>_DLX9.USE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Sage Belz</cp:lastModifiedBy>
  <cp:lastPrinted>2017-01-30T16:08:07Z</cp:lastPrinted>
  <dcterms:created xsi:type="dcterms:W3CDTF">2014-07-22T13:55:17Z</dcterms:created>
  <dcterms:modified xsi:type="dcterms:W3CDTF">2019-04-26T14:42:22Z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