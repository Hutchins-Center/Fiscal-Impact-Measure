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styles.xml" ContentType="application/vnd.openxmlformats-officedocument.spreadsheetml.styles+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3.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xl/charts/colors1.xml" ContentType="application/vnd.ms-office.chartcolorstyle+xml"/>
  <Override PartName="/xl/charts/chart4.xml" ContentType="application/vnd.openxmlformats-officedocument.drawingml.chart+xml"/>
  <Override PartName="/docProps/app.xml" ContentType="application/vnd.openxmlformats-officedocument.extended-properties+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11-29-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E72" i="20" l="1"/>
  <c r="F72" i="20"/>
  <c r="A72" i="20"/>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S83" i="21"/>
  <c r="S84" i="21"/>
  <c r="S85" i="21"/>
  <c r="S86" i="21"/>
  <c r="S87" i="21"/>
  <c r="T89" i="21" s="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T124" i="21" s="1"/>
  <c r="S123" i="21"/>
  <c r="T125" i="21" s="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Q124" i="21"/>
  <c r="Q125" i="21"/>
  <c r="R125" i="21" s="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C72" i="20" s="1"/>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G62" i="5" s="1"/>
  <c r="EH26" i="5"/>
  <c r="EI26" i="5"/>
  <c r="EJ26" i="5"/>
  <c r="EK26" i="5"/>
  <c r="EL26" i="5"/>
  <c r="EM26" i="5"/>
  <c r="EN26" i="5"/>
  <c r="EO26" i="5"/>
  <c r="EP26" i="5"/>
  <c r="EQ26" i="5"/>
  <c r="ER26" i="5"/>
  <c r="ES26" i="5"/>
  <c r="ET26" i="5"/>
  <c r="EU26" i="5"/>
  <c r="EV26" i="5"/>
  <c r="EW26" i="5"/>
  <c r="EX26" i="5"/>
  <c r="EY26" i="5"/>
  <c r="EZ26" i="5"/>
  <c r="FA26" i="5"/>
  <c r="FB26" i="5"/>
  <c r="FC26" i="5"/>
  <c r="FD26" i="5"/>
  <c r="FE26" i="5"/>
  <c r="FE62" i="5" s="1"/>
  <c r="FF26" i="5"/>
  <c r="FG26" i="5"/>
  <c r="FH26" i="5"/>
  <c r="FI26" i="5"/>
  <c r="FJ26" i="5"/>
  <c r="FK26" i="5"/>
  <c r="FL26" i="5"/>
  <c r="FM26" i="5"/>
  <c r="FN26" i="5"/>
  <c r="FO26" i="5"/>
  <c r="FP26" i="5"/>
  <c r="FQ26" i="5"/>
  <c r="FR26" i="5"/>
  <c r="FS26" i="5"/>
  <c r="FT26" i="5"/>
  <c r="FU26" i="5"/>
  <c r="FV26" i="5"/>
  <c r="FW26" i="5"/>
  <c r="FX26" i="5"/>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Z54" i="5" s="1"/>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CO28" i="5"/>
  <c r="T28" i="5"/>
  <c r="E28" i="5"/>
  <c r="F41" i="5"/>
  <c r="I41" i="5"/>
  <c r="E39" i="5"/>
  <c r="GV40" i="5"/>
  <c r="G40" i="5"/>
  <c r="GT40" i="5"/>
  <c r="GT38" i="5"/>
  <c r="F40" i="5"/>
  <c r="GV38" i="5"/>
  <c r="GO38" i="5"/>
  <c r="D38" i="5"/>
  <c r="E41" i="5"/>
  <c r="D39" i="5"/>
  <c r="L41" i="5"/>
  <c r="C38" i="5"/>
  <c r="C40" i="5"/>
  <c r="D40" i="5"/>
  <c r="C41" i="5"/>
  <c r="GS40" i="5"/>
  <c r="K41" i="5"/>
  <c r="J41" i="5"/>
  <c r="GU38" i="5"/>
  <c r="GU40" i="5"/>
  <c r="G41" i="5"/>
  <c r="H40" i="5"/>
  <c r="E38" i="5"/>
  <c r="H41" i="5"/>
  <c r="C39" i="5"/>
  <c r="E40" i="5"/>
  <c r="I40" i="5"/>
  <c r="D41" i="5"/>
  <c r="M41" i="5"/>
  <c r="AU62" i="5" l="1"/>
  <c r="DO62" i="5"/>
  <c r="R123" i="21"/>
  <c r="T122" i="21"/>
  <c r="T96" i="21"/>
  <c r="T82" i="21"/>
  <c r="BX29" i="5"/>
  <c r="U54" i="5"/>
  <c r="DF54" i="5"/>
  <c r="CR62" i="5"/>
  <c r="T123" i="21"/>
  <c r="T36" i="21"/>
  <c r="ER54" i="5"/>
  <c r="BQ28" i="5"/>
  <c r="U29" i="5"/>
  <c r="DB29" i="5"/>
  <c r="DE29" i="5"/>
  <c r="M28" i="5"/>
  <c r="Y54" i="5"/>
  <c r="BE54" i="5"/>
  <c r="CK54" i="5"/>
  <c r="CS54" i="5"/>
  <c r="CS64" i="5" s="1"/>
  <c r="DI54" i="5"/>
  <c r="FM54" i="5"/>
  <c r="R124" i="21"/>
  <c r="BU29" i="5"/>
  <c r="FW62" i="5"/>
  <c r="FO62" i="5"/>
  <c r="FG62" i="5"/>
  <c r="EY62" i="5"/>
  <c r="EQ62" i="5"/>
  <c r="EA62" i="5"/>
  <c r="DS62" i="5"/>
  <c r="GG62" i="5"/>
  <c r="T90" i="21"/>
  <c r="FJ28" i="5"/>
  <c r="GK34" i="5"/>
  <c r="I54" i="5"/>
  <c r="DU28" i="5"/>
  <c r="EP53" i="5"/>
  <c r="GK32" i="5"/>
  <c r="EK28" i="5"/>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FM64" i="5" s="1"/>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EJ54" i="5"/>
  <c r="EQ54" i="5"/>
  <c r="EZ54" i="5"/>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I64" i="5" s="1"/>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Z62" i="5"/>
  <c r="D53" i="5"/>
  <c r="D63" i="5" s="1"/>
  <c r="L53" i="5"/>
  <c r="T53" i="5"/>
  <c r="AB53" i="5"/>
  <c r="AJ53" i="5"/>
  <c r="AR53" i="5"/>
  <c r="AZ53" i="5"/>
  <c r="BH53" i="5"/>
  <c r="BP53" i="5"/>
  <c r="BX53" i="5"/>
  <c r="CF53" i="5"/>
  <c r="CN53" i="5"/>
  <c r="CV53" i="5"/>
  <c r="DD53" i="5"/>
  <c r="DL53" i="5"/>
  <c r="DT53" i="5"/>
  <c r="EJ53" i="5"/>
  <c r="ER53" i="5"/>
  <c r="EZ53" i="5"/>
  <c r="FH53" i="5"/>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A62" i="5"/>
  <c r="EH28" i="5"/>
  <c r="AT28" i="5"/>
  <c r="G54" i="5"/>
  <c r="O54" i="5"/>
  <c r="O64" i="5" s="1"/>
  <c r="W54" i="5"/>
  <c r="AE54" i="5"/>
  <c r="AE64" i="5" s="1"/>
  <c r="AM54" i="5"/>
  <c r="AU54" i="5"/>
  <c r="BC54" i="5"/>
  <c r="BK54" i="5"/>
  <c r="BS54" i="5"/>
  <c r="CA54" i="5"/>
  <c r="CI54" i="5"/>
  <c r="CQ54" i="5"/>
  <c r="CY54" i="5"/>
  <c r="DG54" i="5"/>
  <c r="DO54" i="5"/>
  <c r="DW54" i="5"/>
  <c r="DW64" i="5" s="1"/>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O53" i="5"/>
  <c r="O63" i="5" s="1"/>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C39" i="20"/>
  <c r="CC34" i="5"/>
  <c r="AK62" i="5"/>
  <c r="BQ62" i="5"/>
  <c r="BR64" i="5" s="1"/>
  <c r="BE28" i="5"/>
  <c r="CS28" i="5"/>
  <c r="F54" i="5"/>
  <c r="N54" i="5"/>
  <c r="V54" i="5"/>
  <c r="AL54" i="5"/>
  <c r="BB54" i="5"/>
  <c r="CP54" i="5"/>
  <c r="CX54" i="5"/>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U62" i="5"/>
  <c r="CK62" i="5"/>
  <c r="DA62" i="5"/>
  <c r="DI62" i="5"/>
  <c r="DQ62" i="5"/>
  <c r="EZ62" i="5"/>
  <c r="FA64" i="5" s="1"/>
  <c r="ER62" i="5"/>
  <c r="EB62" i="5"/>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S54" i="5"/>
  <c r="FH54" i="5"/>
  <c r="FP54" i="5"/>
  <c r="FX54" i="5"/>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CH62" i="5"/>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T53" i="5"/>
  <c r="CB53" i="5"/>
  <c r="CK53" i="5"/>
  <c r="CS53" i="5"/>
  <c r="CS63" i="5" s="1"/>
  <c r="DH53" i="5"/>
  <c r="DQ53" i="5"/>
  <c r="DX53" i="5"/>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O53" i="5"/>
  <c r="BE53" i="5"/>
  <c r="BD53" i="5"/>
  <c r="CZ53" i="5"/>
  <c r="DA53" i="5"/>
  <c r="C49" i="20"/>
  <c r="FN29" i="5"/>
  <c r="DD32" i="5"/>
  <c r="D33" i="5"/>
  <c r="AE32" i="5"/>
  <c r="AB33" i="5"/>
  <c r="BR33" i="5"/>
  <c r="BK32" i="5"/>
  <c r="AT33" i="5"/>
  <c r="P53" i="5"/>
  <c r="BM54" i="5"/>
  <c r="BD54" i="5"/>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CW53" i="5"/>
  <c r="CX53" i="5"/>
  <c r="AW54" i="5"/>
  <c r="BE50"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Y53" i="5"/>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T45" i="5"/>
  <c r="GT46" i="5" s="1"/>
  <c r="GT47" i="5" s="1"/>
  <c r="GU45" i="5"/>
  <c r="GU46" i="5" s="1"/>
  <c r="GU47" i="5" s="1"/>
  <c r="EG38" i="5"/>
  <c r="BJ39" i="5"/>
  <c r="FJ40" i="5"/>
  <c r="O38" i="5"/>
  <c r="FE39" i="5"/>
  <c r="AG39" i="5"/>
  <c r="EQ39" i="5"/>
  <c r="FM38" i="5"/>
  <c r="CL39" i="5"/>
  <c r="FD38" i="5"/>
  <c r="FR41" i="5"/>
  <c r="BW41" i="5"/>
  <c r="DG38" i="5"/>
  <c r="EE39" i="5"/>
  <c r="FS39" i="5"/>
  <c r="CW40" i="5"/>
  <c r="EN40" i="5"/>
  <c r="BQ40" i="5"/>
  <c r="CC39" i="5"/>
  <c r="FP41" i="5"/>
  <c r="EY41" i="5"/>
  <c r="AL39" i="5"/>
  <c r="AQ41" i="5"/>
  <c r="CK41" i="5"/>
  <c r="CM38" i="5"/>
  <c r="ER40" i="5"/>
  <c r="ET40" i="5"/>
  <c r="EA39" i="5"/>
  <c r="I39" i="5"/>
  <c r="AP41" i="5"/>
  <c r="GQ41" i="5"/>
  <c r="FI38" i="5"/>
  <c r="ES38" i="5"/>
  <c r="DX38" i="5"/>
  <c r="GL38" i="5"/>
  <c r="FV39" i="5"/>
  <c r="DO40" i="5"/>
  <c r="CQ39" i="5"/>
  <c r="CA40" i="5"/>
  <c r="P40" i="5"/>
  <c r="DZ41" i="5"/>
  <c r="U40" i="5"/>
  <c r="U41" i="5"/>
  <c r="DW41" i="5"/>
  <c r="GO39" i="5"/>
  <c r="AU41" i="5"/>
  <c r="GN41" i="5"/>
  <c r="CG41" i="5"/>
  <c r="FH41" i="5"/>
  <c r="DA41" i="5"/>
  <c r="AA39" i="5"/>
  <c r="EJ40" i="5"/>
  <c r="GK40" i="5"/>
  <c r="EV41" i="5"/>
  <c r="FZ40" i="5"/>
  <c r="AZ39" i="5"/>
  <c r="CP38" i="5"/>
  <c r="FB41" i="5"/>
  <c r="FF41" i="5"/>
  <c r="M40" i="5"/>
  <c r="Y41" i="5"/>
  <c r="DQ39" i="5"/>
  <c r="EQ41" i="5"/>
  <c r="EX41" i="5"/>
  <c r="AV40" i="5"/>
  <c r="DQ38" i="5"/>
  <c r="BF41" i="5"/>
  <c r="AZ40" i="5"/>
  <c r="CV40" i="5"/>
  <c r="EE38" i="5"/>
  <c r="ER38" i="5"/>
  <c r="BM40" i="5"/>
  <c r="AG40" i="5"/>
  <c r="GO41" i="5"/>
  <c r="F39" i="5"/>
  <c r="GQ39" i="5"/>
  <c r="GU41" i="5"/>
  <c r="CM40" i="5"/>
  <c r="BY40" i="5"/>
  <c r="DI38" i="5"/>
  <c r="CA38" i="5"/>
  <c r="AN40" i="5"/>
  <c r="EG41" i="5"/>
  <c r="AM38" i="5"/>
  <c r="FF38" i="5"/>
  <c r="BA40" i="5"/>
  <c r="CR38" i="5"/>
  <c r="FC41" i="5"/>
  <c r="FY40" i="5"/>
  <c r="FL39" i="5"/>
  <c r="DW38" i="5"/>
  <c r="GP41" i="5"/>
  <c r="CU39" i="5"/>
  <c r="CL38" i="5"/>
  <c r="F38" i="5"/>
  <c r="CU40" i="5"/>
  <c r="CT39" i="5"/>
  <c r="ED41" i="5"/>
  <c r="EN38" i="5"/>
  <c r="CF39" i="5"/>
  <c r="EZ38" i="5"/>
  <c r="BF40" i="5"/>
  <c r="DH41" i="5"/>
  <c r="FU40" i="5"/>
  <c r="FH39" i="5"/>
  <c r="DM40" i="5"/>
  <c r="DB41" i="5"/>
  <c r="AA38" i="5"/>
  <c r="GK41" i="5"/>
  <c r="EX38" i="5"/>
  <c r="AH39" i="5"/>
  <c r="BJ40" i="5"/>
  <c r="DX40" i="5"/>
  <c r="GA41" i="5"/>
  <c r="AR39" i="5"/>
  <c r="CR39" i="5"/>
  <c r="DI41" i="5"/>
  <c r="DA38" i="5"/>
  <c r="K39" i="5"/>
  <c r="DD39" i="5"/>
  <c r="ES40" i="5"/>
  <c r="DU40" i="5"/>
  <c r="AX39" i="5"/>
  <c r="BO38" i="5"/>
  <c r="AM41" i="5"/>
  <c r="CK40" i="5"/>
  <c r="BL38" i="5"/>
  <c r="EY38" i="5"/>
  <c r="EZ41" i="5"/>
  <c r="BE41" i="5"/>
  <c r="BI41" i="5"/>
  <c r="BF38" i="5"/>
  <c r="AS41" i="5"/>
  <c r="GJ39" i="5"/>
  <c r="DI39" i="5"/>
  <c r="GB39" i="5"/>
  <c r="FX38" i="5"/>
  <c r="AF39" i="5"/>
  <c r="EO39" i="5"/>
  <c r="BS39" i="5"/>
  <c r="GP39" i="5"/>
  <c r="BG41" i="5"/>
  <c r="AB41" i="5"/>
  <c r="FC40" i="5"/>
  <c r="CU38" i="5"/>
  <c r="AQ39" i="5"/>
  <c r="GA39" i="5"/>
  <c r="BN40" i="5"/>
  <c r="AH41" i="5"/>
  <c r="BP40" i="5"/>
  <c r="AY39" i="5"/>
  <c r="BU41" i="5"/>
  <c r="GE41" i="5"/>
  <c r="DE39" i="5"/>
  <c r="BM39" i="5"/>
  <c r="BE39" i="5"/>
  <c r="M39" i="5"/>
  <c r="FT40" i="5"/>
  <c r="AZ38" i="5"/>
  <c r="BV40" i="5"/>
  <c r="ER39" i="5"/>
  <c r="CT40" i="5"/>
  <c r="R39" i="5"/>
  <c r="AC38" i="5"/>
  <c r="EX40" i="5"/>
  <c r="EC40" i="5"/>
  <c r="CB39" i="5"/>
  <c r="CN39" i="5"/>
  <c r="BB39" i="5"/>
  <c r="FP38" i="5"/>
  <c r="DV39" i="5"/>
  <c r="BK39" i="5"/>
  <c r="BV38" i="5"/>
  <c r="BD41" i="5"/>
  <c r="FT39" i="5"/>
  <c r="M38" i="5"/>
  <c r="FZ38" i="5"/>
  <c r="EL40" i="5"/>
  <c r="FR40" i="5"/>
  <c r="GV41" i="5"/>
  <c r="GD38" i="5"/>
  <c r="AH40" i="5"/>
  <c r="AT39" i="5"/>
  <c r="AX40" i="5"/>
  <c r="BZ38" i="5"/>
  <c r="FK39" i="5"/>
  <c r="GM40" i="5"/>
  <c r="AD39" i="5"/>
  <c r="CG39" i="5"/>
  <c r="BC40" i="5"/>
  <c r="BL39" i="5"/>
  <c r="BI38" i="5"/>
  <c r="CD38" i="5"/>
  <c r="CY38" i="5"/>
  <c r="T41" i="5"/>
  <c r="AH38" i="5"/>
  <c r="CJ38" i="5"/>
  <c r="GO40" i="5"/>
  <c r="BR39" i="5"/>
  <c r="DV38" i="5"/>
  <c r="AN41" i="5"/>
  <c r="Y39" i="5"/>
  <c r="ED38" i="5"/>
  <c r="EH39" i="5"/>
  <c r="FA38" i="5"/>
  <c r="FN41" i="5"/>
  <c r="GU39" i="5"/>
  <c r="BB40" i="5"/>
  <c r="CN38" i="5"/>
  <c r="DD40" i="5"/>
  <c r="DO39" i="5"/>
  <c r="P39" i="5"/>
  <c r="CY39" i="5"/>
  <c r="EY39" i="5"/>
  <c r="FX40" i="5"/>
  <c r="AW41" i="5"/>
  <c r="EN39" i="5"/>
  <c r="GC38" i="5"/>
  <c r="DS39" i="5"/>
  <c r="BE40" i="5"/>
  <c r="EF39" i="5"/>
  <c r="EK40" i="5"/>
  <c r="EH41" i="5"/>
  <c r="BG40" i="5"/>
  <c r="CH40" i="5"/>
  <c r="U38" i="5"/>
  <c r="GC41" i="5"/>
  <c r="CV39" i="5"/>
  <c r="BW38" i="5"/>
  <c r="EI40" i="5"/>
  <c r="J40" i="5"/>
  <c r="GH41" i="5"/>
  <c r="EA40" i="5"/>
  <c r="DV40" i="5"/>
  <c r="FC39" i="5"/>
  <c r="FO40" i="5"/>
  <c r="EF38" i="5"/>
  <c r="FL41" i="5"/>
  <c r="AE41" i="5"/>
  <c r="DS38" i="5"/>
  <c r="FE41" i="5"/>
  <c r="FJ39" i="5"/>
  <c r="EV38" i="5"/>
  <c r="FW39" i="5"/>
  <c r="EK41" i="5"/>
  <c r="GJ40" i="5"/>
  <c r="P41" i="5"/>
  <c r="GF40" i="5"/>
  <c r="DN40" i="5"/>
  <c r="N39" i="5"/>
  <c r="FP40" i="5"/>
  <c r="CM39" i="5"/>
  <c r="BZ40" i="5"/>
  <c r="FL40" i="5"/>
  <c r="EP39" i="5"/>
  <c r="ET41" i="5"/>
  <c r="FU41" i="5"/>
  <c r="FB40" i="5"/>
  <c r="AT40" i="5"/>
  <c r="FX39" i="5"/>
  <c r="GH40" i="5"/>
  <c r="X38" i="5"/>
  <c r="AV41" i="5"/>
  <c r="DC40" i="5"/>
  <c r="BK38" i="5"/>
  <c r="EG40" i="5"/>
  <c r="FU38" i="5"/>
  <c r="AY40" i="5"/>
  <c r="Z38" i="5"/>
  <c r="FT38" i="5"/>
  <c r="CJ39" i="5"/>
  <c r="DJ38" i="5"/>
  <c r="GB38" i="5"/>
  <c r="CD41" i="5"/>
  <c r="DB40" i="5"/>
  <c r="DJ41" i="5"/>
  <c r="EJ41" i="5"/>
  <c r="ET39" i="5"/>
  <c r="EM41" i="5"/>
  <c r="BH40" i="5"/>
  <c r="DX41" i="5"/>
  <c r="FN39" i="5"/>
  <c r="BG39" i="5"/>
  <c r="FV40" i="5"/>
  <c r="FD39" i="5"/>
  <c r="AJ39" i="5"/>
  <c r="AA41" i="5"/>
  <c r="CT38" i="5"/>
  <c r="AT38" i="5"/>
  <c r="GS41" i="5"/>
  <c r="DG41" i="5"/>
  <c r="CL40" i="5"/>
  <c r="R38" i="5"/>
  <c r="BK40" i="5"/>
  <c r="GT39" i="5"/>
  <c r="EZ39" i="5"/>
  <c r="GH39" i="5"/>
  <c r="BL40" i="5"/>
  <c r="DR38" i="5"/>
  <c r="V40" i="5"/>
  <c r="DA40" i="5"/>
  <c r="CE41" i="5"/>
  <c r="S41" i="5"/>
  <c r="BY38" i="5"/>
  <c r="FA40" i="5"/>
  <c r="DE38" i="5"/>
  <c r="DT38" i="5"/>
  <c r="BD40" i="5"/>
  <c r="DC39" i="5"/>
  <c r="W41" i="5"/>
  <c r="GF39" i="5"/>
  <c r="EB39" i="5"/>
  <c r="EN41" i="5"/>
  <c r="AA40" i="5"/>
  <c r="FM40" i="5"/>
  <c r="AU38" i="5"/>
  <c r="DK38" i="5"/>
  <c r="GN38" i="5"/>
  <c r="CE39" i="5"/>
  <c r="DK40" i="5"/>
  <c r="EM40" i="5"/>
  <c r="EB38" i="5"/>
  <c r="L38" i="5"/>
  <c r="EZ40" i="5"/>
  <c r="S39" i="5"/>
  <c r="Q40" i="5"/>
  <c r="DC38" i="5"/>
  <c r="CQ40" i="5"/>
  <c r="FV38" i="5"/>
  <c r="FB38" i="5"/>
  <c r="BR38" i="5"/>
  <c r="AJ41" i="5"/>
  <c r="BT41" i="5"/>
  <c r="EE41" i="5"/>
  <c r="FS38" i="5"/>
  <c r="CH39" i="5"/>
  <c r="CA41" i="5"/>
  <c r="CF41" i="5"/>
  <c r="BM38" i="5"/>
  <c r="Y40" i="5"/>
  <c r="GI40" i="5"/>
  <c r="CK38" i="5"/>
  <c r="CV41" i="5"/>
  <c r="CO38" i="5"/>
  <c r="FW38" i="5"/>
  <c r="FL38" i="5"/>
  <c r="DM41" i="5"/>
  <c r="ER41" i="5"/>
  <c r="CR41" i="5"/>
  <c r="DL41" i="5"/>
  <c r="FD41" i="5"/>
  <c r="BV39" i="5"/>
  <c r="EU39" i="5"/>
  <c r="DP38" i="5"/>
  <c r="ED40" i="5"/>
  <c r="GI41" i="5"/>
  <c r="CX38" i="5"/>
  <c r="L40" i="5"/>
  <c r="R40" i="5"/>
  <c r="ES41" i="5"/>
  <c r="EG39" i="5"/>
  <c r="GR38" i="5"/>
  <c r="FG40" i="5"/>
  <c r="FF40" i="5"/>
  <c r="AW39" i="5"/>
  <c r="N38" i="5"/>
  <c r="GE39" i="5"/>
  <c r="CT41" i="5"/>
  <c r="GJ38" i="5"/>
  <c r="AS40" i="5"/>
  <c r="CY40" i="5"/>
  <c r="AD38" i="5"/>
  <c r="BC38" i="5"/>
  <c r="CS39" i="5"/>
  <c r="EP40" i="5"/>
  <c r="CC41" i="5"/>
  <c r="FO41" i="5"/>
  <c r="H39" i="5"/>
  <c r="GK38" i="5"/>
  <c r="AK38" i="5"/>
  <c r="O41" i="5"/>
  <c r="DN41" i="5"/>
  <c r="BG38" i="5"/>
  <c r="EL39" i="5"/>
  <c r="DP39" i="5"/>
  <c r="FN40" i="5"/>
  <c r="GI38" i="5"/>
  <c r="CH41" i="5"/>
  <c r="DJ39" i="5"/>
  <c r="GI39" i="5"/>
  <c r="BX41" i="5"/>
  <c r="DS40" i="5"/>
  <c r="GG39" i="5"/>
  <c r="AJ40" i="5"/>
  <c r="DP40" i="5"/>
  <c r="BS41" i="5"/>
  <c r="BL41" i="5"/>
  <c r="FK38" i="5"/>
  <c r="AJ38" i="5"/>
  <c r="Z39" i="5"/>
  <c r="BP38" i="5"/>
  <c r="DO41" i="5"/>
  <c r="S40" i="5"/>
  <c r="BS40" i="5"/>
  <c r="DY39" i="5"/>
  <c r="FK40" i="5"/>
  <c r="BI40" i="5"/>
  <c r="DQ40" i="5"/>
  <c r="FM41" i="5"/>
  <c r="AG38" i="5"/>
  <c r="BU40" i="5"/>
  <c r="GM38" i="5"/>
  <c r="BA38" i="5"/>
  <c r="BS38" i="5"/>
  <c r="ET38" i="5"/>
  <c r="S38" i="5"/>
  <c r="GS39" i="5"/>
  <c r="CH38" i="5"/>
  <c r="AE40" i="5"/>
  <c r="FW41" i="5"/>
  <c r="FO39" i="5"/>
  <c r="AI40" i="5"/>
  <c r="EK39" i="5"/>
  <c r="DP41" i="5"/>
  <c r="EJ38" i="5"/>
  <c r="W38" i="5"/>
  <c r="EP38" i="5"/>
  <c r="GC40" i="5"/>
  <c r="EX39" i="5"/>
  <c r="EM38" i="5"/>
  <c r="FZ41" i="5"/>
  <c r="AF40" i="5"/>
  <c r="BR41" i="5"/>
  <c r="GV39" i="5"/>
  <c r="CP39" i="5"/>
  <c r="FK41" i="5"/>
  <c r="BT40" i="5"/>
  <c r="FZ39" i="5"/>
  <c r="DL38" i="5"/>
  <c r="GM39" i="5"/>
  <c r="DF39" i="5"/>
  <c r="EC39" i="5"/>
  <c r="FA41" i="5"/>
  <c r="FQ38" i="5"/>
  <c r="CO41" i="5"/>
  <c r="EI41" i="5"/>
  <c r="FM39" i="5"/>
  <c r="FB39" i="5"/>
  <c r="V39" i="5"/>
  <c r="CO40" i="5"/>
  <c r="CW41" i="5"/>
  <c r="DW40" i="5"/>
  <c r="BJ41" i="5"/>
  <c r="BY39" i="5"/>
  <c r="GG41" i="5"/>
  <c r="AX41" i="5"/>
  <c r="Y38" i="5"/>
  <c r="CJ41" i="5"/>
  <c r="GL41" i="5"/>
  <c r="CZ38" i="5"/>
  <c r="CZ40" i="5"/>
  <c r="BD39" i="5"/>
  <c r="GN39" i="5"/>
  <c r="CL41" i="5"/>
  <c r="CI39" i="5"/>
  <c r="G39" i="5"/>
  <c r="DT41" i="5"/>
  <c r="CF38" i="5"/>
  <c r="AS38" i="5"/>
  <c r="FQ41" i="5"/>
  <c r="GS38" i="5"/>
  <c r="AC41" i="5"/>
  <c r="DF41" i="5"/>
  <c r="GC39" i="5"/>
  <c r="GD40" i="5"/>
  <c r="BP39" i="5"/>
  <c r="FX41" i="5"/>
  <c r="FN38" i="5"/>
  <c r="FF39" i="5"/>
  <c r="DY41" i="5"/>
  <c r="FE38" i="5"/>
  <c r="AC39" i="5"/>
  <c r="BA41" i="5"/>
  <c r="BQ39" i="5"/>
  <c r="DL39" i="5"/>
  <c r="CS41" i="5"/>
  <c r="J38" i="5"/>
  <c r="EO41" i="5"/>
  <c r="DG39" i="5"/>
  <c r="BN41" i="5"/>
  <c r="CI41" i="5"/>
  <c r="BC39" i="5"/>
  <c r="CZ41" i="5"/>
  <c r="CE38" i="5"/>
  <c r="GQ40" i="5"/>
  <c r="AN38" i="5"/>
  <c r="BU38" i="5"/>
  <c r="EH40" i="5"/>
  <c r="FH38" i="5"/>
  <c r="CR40" i="5"/>
  <c r="CC38" i="5"/>
  <c r="CZ39" i="5"/>
  <c r="DO38" i="5"/>
  <c r="BH41" i="5"/>
  <c r="FJ38" i="5"/>
  <c r="DY38" i="5"/>
  <c r="V38" i="5"/>
  <c r="X40" i="5"/>
  <c r="AL41" i="5"/>
  <c r="T38" i="5"/>
  <c r="O39" i="5"/>
  <c r="CQ38" i="5"/>
  <c r="ES39" i="5"/>
  <c r="CX40" i="5"/>
  <c r="EV39" i="5"/>
  <c r="EB41" i="5"/>
  <c r="DF40" i="5"/>
  <c r="DB38" i="5"/>
  <c r="BE38" i="5"/>
  <c r="GB41" i="5"/>
  <c r="DU38" i="5"/>
  <c r="FE40" i="5"/>
  <c r="DN39" i="5"/>
  <c r="AW40" i="5"/>
  <c r="BQ41" i="5"/>
  <c r="BW40" i="5"/>
  <c r="AG41" i="5"/>
  <c r="DK39" i="5"/>
  <c r="EW41" i="5"/>
  <c r="BZ39" i="5"/>
  <c r="DI40" i="5"/>
  <c r="EB40" i="5"/>
  <c r="FD40" i="5"/>
  <c r="CE40" i="5"/>
  <c r="AI38" i="5"/>
  <c r="AY41" i="5"/>
  <c r="GA38" i="5"/>
  <c r="AF41" i="5"/>
  <c r="BF39" i="5"/>
  <c r="CN40" i="5"/>
  <c r="CK39" i="5"/>
  <c r="FG38" i="5"/>
  <c r="CX39" i="5"/>
  <c r="DA39" i="5"/>
  <c r="EI39" i="5"/>
  <c r="BU39" i="5"/>
  <c r="BZ41" i="5"/>
  <c r="AP38" i="5"/>
  <c r="GD39" i="5"/>
  <c r="GA40" i="5"/>
  <c r="DZ38" i="5"/>
  <c r="AR38" i="5"/>
  <c r="EK38" i="5"/>
  <c r="W39" i="5"/>
  <c r="GL39" i="5"/>
  <c r="DV41" i="5"/>
  <c r="X39" i="5"/>
  <c r="AU39" i="5"/>
  <c r="AT41" i="5"/>
  <c r="DR41" i="5"/>
  <c r="EC38" i="5"/>
  <c r="BQ38" i="5"/>
  <c r="GM41" i="5"/>
  <c r="FO38" i="5"/>
  <c r="DR39" i="5"/>
  <c r="AW38" i="5"/>
  <c r="EF41" i="5"/>
  <c r="FS40" i="5"/>
  <c r="AB39" i="5"/>
  <c r="GK39" i="5"/>
  <c r="CS38" i="5"/>
  <c r="BY41" i="5"/>
  <c r="EU41" i="5"/>
  <c r="AB38" i="5"/>
  <c r="EE40" i="5"/>
  <c r="AC40" i="5"/>
  <c r="CS40" i="5"/>
  <c r="DH39" i="5"/>
  <c r="EM39" i="5"/>
  <c r="ED39" i="5"/>
  <c r="EW40" i="5"/>
  <c r="BT38" i="5"/>
  <c r="BO41" i="5"/>
  <c r="EO38" i="5"/>
  <c r="GE38" i="5"/>
  <c r="CC40" i="5"/>
  <c r="EC41" i="5"/>
  <c r="FY39" i="5"/>
  <c r="AK39" i="5"/>
  <c r="GF38" i="5"/>
  <c r="AX38" i="5"/>
  <c r="DH38" i="5"/>
  <c r="X41" i="5"/>
  <c r="DL40" i="5"/>
  <c r="DE41" i="5"/>
  <c r="BN38" i="5"/>
  <c r="DX39" i="5"/>
  <c r="GG40" i="5"/>
  <c r="DQ41" i="5"/>
  <c r="BD38" i="5"/>
  <c r="FH40" i="5"/>
  <c r="GG38" i="5"/>
  <c r="GR39" i="5"/>
  <c r="R41" i="5"/>
  <c r="FW40" i="5"/>
  <c r="AM39" i="5"/>
  <c r="EP41" i="5"/>
  <c r="CD40" i="5"/>
  <c r="BX38" i="5"/>
  <c r="DD41" i="5"/>
  <c r="GH38" i="5"/>
  <c r="AK40" i="5"/>
  <c r="J39" i="5"/>
  <c r="FP39" i="5"/>
  <c r="AV39" i="5"/>
  <c r="FJ41" i="5"/>
  <c r="BB41" i="5"/>
  <c r="GJ41" i="5"/>
  <c r="AD41" i="5"/>
  <c r="AZ41" i="5"/>
  <c r="FS41" i="5"/>
  <c r="CQ41" i="5"/>
  <c r="EA38" i="5"/>
  <c r="T39" i="5"/>
  <c r="T40" i="5"/>
  <c r="EW38" i="5"/>
  <c r="EF40" i="5"/>
  <c r="AN39" i="5"/>
  <c r="CM41" i="5"/>
  <c r="CP40" i="5"/>
  <c r="BT39" i="5"/>
  <c r="DD38" i="5"/>
  <c r="Q39" i="5"/>
  <c r="DF38" i="5"/>
  <c r="AI39" i="5"/>
  <c r="FT41" i="5"/>
  <c r="U39" i="5"/>
  <c r="DJ40" i="5"/>
  <c r="BX39" i="5"/>
  <c r="AP40" i="5"/>
  <c r="Q41" i="5"/>
  <c r="EH38" i="5"/>
  <c r="I38" i="5"/>
  <c r="AQ38" i="5"/>
  <c r="DZ40" i="5"/>
  <c r="EU40" i="5"/>
  <c r="Z40" i="5"/>
  <c r="AL40" i="5"/>
  <c r="AO41" i="5"/>
  <c r="AP39" i="5"/>
  <c r="BJ38" i="5"/>
  <c r="DC41" i="5"/>
  <c r="BN39" i="5"/>
  <c r="CF40" i="5"/>
  <c r="CG40" i="5"/>
  <c r="CB41" i="5"/>
  <c r="CO39" i="5"/>
  <c r="AR41" i="5"/>
  <c r="DB39" i="5"/>
  <c r="Z41" i="5"/>
  <c r="G38" i="5"/>
  <c r="CV38" i="5"/>
  <c r="EU38" i="5"/>
  <c r="GR41" i="5"/>
  <c r="FQ39" i="5"/>
  <c r="CP41" i="5"/>
  <c r="Q38" i="5"/>
  <c r="DM39" i="5"/>
  <c r="DH40" i="5"/>
  <c r="BR40" i="5"/>
  <c r="BW39" i="5"/>
  <c r="V41" i="5"/>
  <c r="AL38" i="5"/>
  <c r="BA39" i="5"/>
  <c r="EJ39" i="5"/>
  <c r="FI39" i="5"/>
  <c r="GQ38" i="5"/>
  <c r="CY41" i="5"/>
  <c r="N41" i="5"/>
  <c r="P38" i="5"/>
  <c r="CU41" i="5"/>
  <c r="AE39" i="5"/>
  <c r="GE40" i="5"/>
  <c r="BP41" i="5"/>
  <c r="CI40" i="5"/>
  <c r="EQ40" i="5"/>
  <c r="EW39" i="5"/>
  <c r="BC41" i="5"/>
  <c r="GT41" i="5"/>
  <c r="CD39" i="5"/>
  <c r="DU41" i="5"/>
  <c r="N40" i="5"/>
  <c r="FI41" i="5"/>
  <c r="BO40" i="5"/>
  <c r="CJ40" i="5"/>
  <c r="BB38" i="5"/>
  <c r="AU40" i="5"/>
  <c r="FU39" i="5"/>
  <c r="BV41" i="5"/>
  <c r="AB40" i="5"/>
  <c r="K40" i="5"/>
  <c r="AQ40" i="5"/>
  <c r="CG38" i="5"/>
  <c r="CI38" i="5"/>
  <c r="FY41" i="5"/>
  <c r="FA39" i="5"/>
  <c r="FC38" i="5"/>
  <c r="FG41" i="5"/>
  <c r="EY40" i="5"/>
  <c r="DW39" i="5"/>
  <c r="H38" i="5"/>
  <c r="AS39" i="5"/>
  <c r="EA41" i="5"/>
  <c r="GN40" i="5"/>
  <c r="EQ38" i="5"/>
  <c r="DE40" i="5"/>
  <c r="DS41" i="5"/>
  <c r="BX40" i="5"/>
  <c r="CW38" i="5"/>
  <c r="W40" i="5"/>
  <c r="AY38" i="5"/>
  <c r="AE38" i="5"/>
  <c r="GP38" i="5"/>
  <c r="CX41" i="5"/>
  <c r="FR39" i="5"/>
  <c r="GL40" i="5"/>
  <c r="FR38" i="5"/>
  <c r="DU39" i="5"/>
  <c r="DY40" i="5"/>
  <c r="CB40" i="5"/>
  <c r="AD40" i="5"/>
  <c r="AO40" i="5"/>
  <c r="DK41" i="5"/>
  <c r="AI41" i="5"/>
  <c r="AO39" i="5"/>
  <c r="DT40" i="5"/>
  <c r="DT39" i="5"/>
  <c r="DG40" i="5"/>
  <c r="BH38" i="5"/>
  <c r="EV40" i="5"/>
  <c r="O40" i="5"/>
  <c r="AO38" i="5"/>
  <c r="BI39" i="5"/>
  <c r="AK41" i="5"/>
  <c r="GP40" i="5"/>
  <c r="FQ40" i="5"/>
  <c r="EL41" i="5"/>
  <c r="GF41" i="5"/>
  <c r="DM38" i="5"/>
  <c r="EI38" i="5"/>
  <c r="K38" i="5"/>
  <c r="FY38" i="5"/>
  <c r="GB40" i="5"/>
  <c r="EL38" i="5"/>
  <c r="BH39" i="5"/>
  <c r="DZ39" i="5"/>
  <c r="CA39" i="5"/>
  <c r="EO40" i="5"/>
  <c r="AV38" i="5"/>
  <c r="AR40" i="5"/>
  <c r="BM41" i="5"/>
  <c r="CW39" i="5"/>
  <c r="FG39" i="5"/>
  <c r="BO39" i="5"/>
  <c r="FI40" i="5"/>
  <c r="CN41" i="5"/>
  <c r="FV41" i="5"/>
  <c r="AF38" i="5"/>
  <c r="BK41" i="5"/>
  <c r="L39" i="5"/>
  <c r="DN38" i="5"/>
  <c r="DR40" i="5"/>
  <c r="GD41" i="5"/>
  <c r="GR40" i="5"/>
  <c r="CB38" i="5"/>
  <c r="AM40" i="5"/>
  <c r="U64" i="5" l="1"/>
  <c r="FI64" i="5"/>
  <c r="FR64" i="5"/>
  <c r="DL63" i="5"/>
  <c r="CK64" i="5"/>
  <c r="EZ63" i="5"/>
  <c r="DX63" i="5"/>
  <c r="EY63" i="5"/>
  <c r="CC64" i="5"/>
  <c r="EI63" i="5"/>
  <c r="ER63" i="5"/>
  <c r="EN63" i="5"/>
  <c r="DJ63" i="5"/>
  <c r="BJ63" i="5"/>
  <c r="FL63" i="5"/>
  <c r="CI64" i="5"/>
  <c r="EN64" i="5"/>
  <c r="FX64" i="5"/>
  <c r="FP64" i="5"/>
  <c r="AF63" i="5"/>
  <c r="FH64" i="5"/>
  <c r="EU64" i="5"/>
  <c r="AR64" i="5"/>
  <c r="DN63" i="5"/>
  <c r="EY64" i="5"/>
  <c r="EZ64" i="5"/>
  <c r="BK63" i="5"/>
  <c r="CX64" i="5"/>
  <c r="FY63" i="5"/>
  <c r="BA64" i="5"/>
  <c r="EE63" i="5"/>
  <c r="EC64" i="5"/>
  <c r="BN63" i="5"/>
  <c r="AU64" i="5"/>
  <c r="GN45" i="5"/>
  <c r="GN46" i="5" s="1"/>
  <c r="GN47" i="5" s="1"/>
  <c r="GO51" i="5" s="1"/>
  <c r="GO52" i="5" s="1"/>
  <c r="GO58" i="5" s="1"/>
  <c r="GO59" i="5" s="1"/>
  <c r="DT63" i="5"/>
  <c r="BL63" i="5"/>
  <c r="EB64" i="5"/>
  <c r="EB63" i="5"/>
  <c r="AS63" i="5"/>
  <c r="DT64" i="5"/>
  <c r="CX63" i="5"/>
  <c r="BD63" i="5"/>
  <c r="AU63" i="5"/>
  <c r="CV63" i="5"/>
  <c r="FH63" i="5"/>
  <c r="BD64" i="5"/>
  <c r="BS63" i="5"/>
  <c r="EE64" i="5"/>
  <c r="BS64" i="5"/>
  <c r="AN64" i="5"/>
  <c r="T64" i="5"/>
  <c r="GF64" i="5"/>
  <c r="AO64" i="5"/>
  <c r="BW64" i="5"/>
  <c r="BC64" i="5"/>
  <c r="FW63" i="5"/>
  <c r="K64" i="5"/>
  <c r="AS64" i="5"/>
  <c r="CM64" i="5"/>
  <c r="DX64" i="5"/>
  <c r="EA63" i="5"/>
  <c r="BL64" i="5"/>
  <c r="CA64" i="5"/>
  <c r="AD63" i="5"/>
  <c r="AN63" i="5"/>
  <c r="GF63" i="5"/>
  <c r="CA63" i="5"/>
  <c r="AB64" i="5"/>
  <c r="GV64" i="5"/>
  <c r="DS63" i="5"/>
  <c r="CB64" i="5"/>
  <c r="CQ64" i="5"/>
  <c r="EI64" i="5"/>
  <c r="M64" i="5"/>
  <c r="BY64" i="5"/>
  <c r="FD63" i="5"/>
  <c r="BB64" i="5"/>
  <c r="CO64" i="5"/>
  <c r="AE63" i="5"/>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P68" i="5" s="1"/>
  <c r="AM64" i="5"/>
  <c r="BI63" i="5"/>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EW63" i="5"/>
  <c r="EW64" i="5"/>
  <c r="AT64" i="5"/>
  <c r="AT63"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D51" i="5"/>
  <c r="D52" i="5" s="1"/>
  <c r="D58" i="5" s="1"/>
  <c r="D59" i="5" s="1"/>
  <c r="GV70" i="5" l="1"/>
  <c r="FZ68" i="5"/>
  <c r="CR51" i="5"/>
  <c r="CR52" i="5" s="1"/>
  <c r="CR58" i="5" s="1"/>
  <c r="CR59" i="5" s="1"/>
  <c r="CR70" i="5" s="1"/>
  <c r="DQ68" i="5"/>
  <c r="BF68" i="5"/>
  <c r="FN68" i="5"/>
  <c r="DZ68" i="5"/>
  <c r="FY68" i="5"/>
  <c r="AF68" i="5"/>
  <c r="GN51" i="5"/>
  <c r="GN52" i="5" s="1"/>
  <c r="GN58" i="5" s="1"/>
  <c r="GN59" i="5" s="1"/>
  <c r="GQ67" i="5" s="1"/>
  <c r="GQ69" i="5" s="1"/>
  <c r="AD68" i="5"/>
  <c r="BL68" i="5"/>
  <c r="AE68" i="5"/>
  <c r="AV68" i="5"/>
  <c r="GN68" i="5"/>
  <c r="ES68" i="5"/>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GK59"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W70" i="5"/>
  <c r="F70" i="5"/>
  <c r="I67" i="5"/>
  <c r="I69" i="5" s="1"/>
  <c r="G67" i="5"/>
  <c r="D70" i="5"/>
  <c r="GO70" i="5"/>
  <c r="GR67" i="5"/>
  <c r="GR69" i="5" s="1"/>
  <c r="M70" i="5"/>
  <c r="P67" i="5"/>
  <c r="GN70" i="5" l="1"/>
  <c r="Q69" i="5"/>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G72" i="20" l="1"/>
  <c r="GN67" i="5"/>
  <c r="GN69" i="5" s="1"/>
  <c r="D72" i="20"/>
  <c r="D40" i="20"/>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B72" i="20" s="1"/>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<sst xmlns="http://schemas.openxmlformats.org/spreadsheetml/2006/main" count="1691" uniqueCount="606">
  <si>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</si>
  <si>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</si>
  <si>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</si>
  <si>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</si>
  <si>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</si>
  <si>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</si>
  <si>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</si>
  <si>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</si>
  <si>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</si>
  <si>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</si>
  <si>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</si>
  <si>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</si>
  <si>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</si>
  <si>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</si>
  <si>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</si>
  <si>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</si>
  <si>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</si>
  <si>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</si>
  <si>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</si>
  <si>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</si>
  <si>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</si>
  <si>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</si>
  <si>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</si>
  <si>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</si>
  <si>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</si>
  <si>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</si>
  <si>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</si>
  <si>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</si>
  <si>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</si>
  <si>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</si>
  <si>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</si>
  <si>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</si>
  <si>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</si>
  <si>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</si>
  <si>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</si>
  <si>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</si>
  <si>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</si>
  <si>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</si>
  <si>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</si>
  <si>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</si>
  <si>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</si>
  <si>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</si>
  <si>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</si>
  <si>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</si>
  <si>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</si>
  <si>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</si>
  <si>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</si>
  <si>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</si>
  <si>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</si>
  <si>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</si>
  <si>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</si>
  <si>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</si>
  <si>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</si>
  <si>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</si>
  <si>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</si>
  <si>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</si>
  <si>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</si>
  <si>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</si>
  <si>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</si>
  <si>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</si>
  <si>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</si>
  <si>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</si>
  <si>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</si>
  <si>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</si>
  <si>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</si>
  <si>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</si>
  <si>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</si>
  <si>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</si>
  <si>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</si>
  <si>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</si>
  <si>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</si>
  <si>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</si>
  <si>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</si>
  <si>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</si>
  <si>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</si>
  <si>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</si>
  <si>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</si>
  <si>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</si>
  <si>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</si>
  <si>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</si>
  <si>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</si>
  <si>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</si>
  <si>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</si>
  <si>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</si>
  <si>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</si>
  <si>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</si>
  <si>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</si>
  <si>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</si>
  <si>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</si>
  <si>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</si>
  <si>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</si>
  <si>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</si>
  <si>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</si>
  <si>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</si>
  <si>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</si>
  <si>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</si>
  <si>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</si>
  <si>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</si>
  <si>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</si>
  <si>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</si>
  <si>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</si>
  <si>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</si>
  <si>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</si>
  <si>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</si>
  <si>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</si>
  <si>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</si>
  <si>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</si>
  <si>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</si>
  <si>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</si>
  <si>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</si>
  <si>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</si>
  <si>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</si>
  <si>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</si>
  <si>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</si>
  <si>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</si>
  <si>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</si>
  <si>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</si>
  <si>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</si>
  <si>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</si>
  <si>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</si>
  <si>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</si>
  <si>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</si>
  <si>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</si>
  <si>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</si>
  <si>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</si>
  <si>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</si>
  <si>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</si>
  <si>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</si>
  <si>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</si>
  <si>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</si>
  <si>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</si>
  <si>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</si>
  <si>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</si>
  <si>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</si>
  <si>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</si>
  <si>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</si>
  <si>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</si>
  <si>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</si>
  <si>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</si>
  <si>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</si>
  <si>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</si>
  <si>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</si>
  <si>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</si>
  <si>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</si>
  <si>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</si>
  <si>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</si>
  <si>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</si>
  <si>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</si>
  <si>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</si>
  <si>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</si>
  <si>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</si>
  <si>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</si>
  <si>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</si>
  <si>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</si>
  <si>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</si>
  <si>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</si>
  <si>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</si>
  <si>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</si>
  <si>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</si>
  <si>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</si>
  <si>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</si>
  <si>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</si>
  <si>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</si>
  <si>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</si>
  <si>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</si>
  <si>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</si>
  <si>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</si>
  <si>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</si>
  <si>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</si>
  <si>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</si>
  <si>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</si>
  <si>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</si>
  <si>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</si>
  <si>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</si>
  <si>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</si>
  <si>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</si>
  <si>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</si>
  <si>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</si>
  <si>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</si>
  <si>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</si>
  <si>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</si>
  <si>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</si>
  <si>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</si>
  <si>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</si>
  <si>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</si>
  <si>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</si>
  <si>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</si>
  <si>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</si>
  <si>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</si>
  <si>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</si>
  <si>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</si>
  <si>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</si>
  <si>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</si>
  <si>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</si>
  <si>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</si>
  <si>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</si>
  <si>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</si>
  <si>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</si>
  <si>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</si>
  <si>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</si>
  <si>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</si>
  <si>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</si>
  <si>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</si>
  <si>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</si>
  <si>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</si>
  <si>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</si>
  <si>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</si>
  <si>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</si>
  <si>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</si>
  <si>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</si>
  <si>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</si>
  <si>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</si>
  <si>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</si>
  <si>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</si>
  <si>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</si>
  <si>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</si>
  <si>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</si>
  <si>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</si>
  <si>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</si>
  <si>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</si>
  <si>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</si>
  <si>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</si>
  <si>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</si>
  <si>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</si>
  <si>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</si>
  <si>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</si>
  <si>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</si>
  <si>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</si>
  <si>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</si>
  <si>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</si>
  <si>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</si>
  <si>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</si>
  <si>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</si>
  <si>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</si>
  <si>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</si>
  <si>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</si>
  <si>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</si>
  <si>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</si>
  <si>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</si>
  <si>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</si>
  <si>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</si>
  <si>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</si>
  <si>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</si>
  <si>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</si>
  <si>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</si>
  <si>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</si>
  <si>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</si>
  <si>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</si>
  <si>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</si>
  <si>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</si>
  <si>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</si>
  <si>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</si>
  <si>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</si>
  <si>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</si>
  <si>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</si>
  <si>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</si>
  <si>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</si>
  <si>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</si>
  <si>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</si>
  <si>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</si>
  <si>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</si>
  <si>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</si>
  <si>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</si>
  <si>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</si>
  <si>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</si>
  <si>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</si>
  <si>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</si>
  <si>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</si>
  <si>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</si>
  <si>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</si>
  <si>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</si>
  <si>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</si>
  <si>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</si>
  <si>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</si>
  <si>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</si>
  <si>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</si>
  <si>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</si>
  <si>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</si>
  <si>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</si>
  <si>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</si>
  <si>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</si>
  <si>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</si>
  <si>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</si>
  <si>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</si>
  <si>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</si>
  <si>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</si>
  <si>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</si>
  <si>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</si>
  <si>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</si>
  <si>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</si>
  <si>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</si>
  <si>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</si>
  <si>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</si>
  <si>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</si>
  <si>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</si>
  <si>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</si>
  <si>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</si>
  <si>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</si>
  <si>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</si>
  <si>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</si>
  <si>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</si>
  <si>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</si>
  <si>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</si>
  <si>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</si>
  <si>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</si>
  <si>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</si>
  <si>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</si>
  <si>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</si>
  <si>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</si>
  <si>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</si>
  <si>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</si>
  <si>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</si>
  <si>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</si>
  <si>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</si>
  <si>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</si>
  <si>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</si>
  <si>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</si>
  <si>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</si>
  <si>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</si>
  <si>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</si>
  <si>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</si>
  <si>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</si>
  <si>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</si>
  <si>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</si>
  <si>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</si>
  <si>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</si>
  <si>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</si>
  <si>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</si>
  <si>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</si>
  <si>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</si>
  <si>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</si>
  <si>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</si>
  <si>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</si>
  <si>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</si>
  <si>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</si>
  <si>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</si>
  <si>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</si>
  <si>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</si>
  <si>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</si>
  <si>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</si>
  <si>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</si>
  <si>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</si>
  <si>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</si>
  <si>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</si>
  <si>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</si>
  <si>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</si>
  <si>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</si>
  <si>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</si>
  <si>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</si>
  <si>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</si>
  <si>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</si>
  <si>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</si>
  <si>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</si>
  <si>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</si>
  <si>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</si>
  <si>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</si>
  <si>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</si>
  <si>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</si>
  <si>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</si>
  <si>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</si>
  <si>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</si>
  <si>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</si>
  <si>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</si>
  <si>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</si>
  <si>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</si>
  <si>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</si>
  <si>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</si>
  <si>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</si>
  <si>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</si>
  <si>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</si>
  <si>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</si>
  <si>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</si>
  <si>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</si>
  <si>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</si>
  <si>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</si>
  <si>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</si>
  <si>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</si>
  <si>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</si>
  <si>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</si>
  <si>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</si>
  <si>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</si>
  <si>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</si>
  <si>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</si>
  <si>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</si>
  <si>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</si>
  <si>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</si>
  <si>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</si>
  <si>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</si>
  <si>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</si>
  <si>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</si>
  <si>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</si>
  <si>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</si>
  <si>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</si>
  <si>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</si>
  <si>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</si>
  <si>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</si>
  <si>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</si>
  <si>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</si>
  <si>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</si>
  <si>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</si>
  <si>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</si>
  <si>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</si>
  <si>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</si>
  <si>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</si>
  <si>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</si>
  <si>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</si>
  <si>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</si>
  <si>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</si>
  <si>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</si>
  <si>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</si>
  <si>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</si>
  <si>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</si>
  <si>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</si>
  <si>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</si>
  <si>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</si>
  <si>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</si>
  <si>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</si>
  <si>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</si>
  <si>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</si>
  <si>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</si>
  <si>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</si>
  <si>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</si>
  <si>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</si>
  <si>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</si>
  <si>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</si>
  <si>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</si>
  <si>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</si>
  <si>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</si>
  <si>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</si>
  <si>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</si>
  <si>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</si>
  <si>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</si>
  <si>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</si>
  <si>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</si>
  <si>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</si>
  <si>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</si>
  <si>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</si>
  <si>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</si>
  <si>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</si>
  <si>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</si>
  <si>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</si>
  <si>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</si>
  <si>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</si>
  <si>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</si>
  <si>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</si>
  <si>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</si>
  <si>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</si>
  <si>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</si>
  <si>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</si>
  <si>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</si>
  <si>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</si>
  <si>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</si>
  <si>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</si>
  <si>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</si>
  <si>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</si>
  <si>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</si>
  <si>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</si>
  <si>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</si>
  <si>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</si>
  <si>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</si>
  <si>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</si>
  <si>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</si>
  <si>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</si>
  <si>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</si>
  <si>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</si>
  <si>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</si>
  <si>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</si>
  <si>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</si>
  <si>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</si>
  <si>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</si>
  <si>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</si>
  <si>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</si>
  <si>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</si>
  <si>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</si>
  <si>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</si>
  <si>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</si>
  <si>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</si>
  <si>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</si>
  <si>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</si>
  <si>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</si>
  <si>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</si>
  <si>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</si>
  <si>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</si>
  <si>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</si>
  <si>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</si>
  <si>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</si>
  <si>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</si>
  <si>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</si>
  <si>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</si>
  <si>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</si>
  <si>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</si>
  <si>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</si>
  <si>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</si>
  <si>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</si>
  <si>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</si>
  <si>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</si>
  <si>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</si>
  <si>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</si>
  <si>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</si>
  <si>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</si>
  <si>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</si>
  <si>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</si>
  <si>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</si>
  <si>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</si>
  <si>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</si>
  <si>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</si>
  <si>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</si>
  <si>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</si>
  <si>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</si>
  <si>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</si>
  <si>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</si>
  <si>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</si>
  <si>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</si>
  <si>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</si>
  <si>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</si>
  <si>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</si>
  <si>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</si>
  <si>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</si>
  <si>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</si>
  <si>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</si>
  <si>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</si>
  <si>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</si>
  <si>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</si>
  <si>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</si>
  <si>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</si>
  <si>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</si>
  <si>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</si>
  <si>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</si>
  <si>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</si>
  <si>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</si>
  <si>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</si>
  <si>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</si>
  <si>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</si>
  <si>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</si>
  <si>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</si>
  <si>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</si>
  <si>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</si>
  <si>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</si>
  <si>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</si>
  <si>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</si>
  <si>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</si>
  <si>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</si>
  <si>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</si>
  <si>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</si>
  <si>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</si>
  <si>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</si>
  <si>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</si>
  <si>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</si>
  <si>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</si>
  <si>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</si>
  <si>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</si>
  <si>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</si>
  <si>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</si>
  <si>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</si>
  <si>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</si>
  <si>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</si>
  <si>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</si>
  <si>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</si>
  <si>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</si>
  <si>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</si>
  <si>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</si>
  <si>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</si>
  <si>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</si>
  <si>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</si>
  <si>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</si>
  <si>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</si>
  <si>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</si>
  <si>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</si>
  <si>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</si>
  <si>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</si>
  <si>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</si>
  <si>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</si>
  <si>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</si>
  <si>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</si>
  <si>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</si>
  <si>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</si>
  <si>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</si>
  <si>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</si>
  <si>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</si>
  <si>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</si>
  <si>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</si>
  <si>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</si>
  <si>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</si>
  <si>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</si>
  <si>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</si>
  <si>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</si>
  <si>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</si>
  <si>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</si>
  <si>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</si>
  <si>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</si>
  <si>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</si>
  <si>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</si>
  <si>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2017:Jul</t>
  </si>
  <si>
    <t>2017:Aug</t>
  </si>
  <si>
    <t>2017:Sep</t>
  </si>
  <si>
    <t>Q3-2017</t>
  </si>
  <si>
    <t>2017:Q3</t>
  </si>
  <si>
    <t>Oct-02-2017 08:34</t>
  </si>
  <si>
    <t>Nov-03-2017 08:30</t>
  </si>
  <si>
    <t>Oct-2017</t>
  </si>
  <si>
    <t>2017:Oct</t>
  </si>
  <si>
    <t>Nov-03-2017 08:34</t>
  </si>
  <si>
    <t>Nov-01-2017 08:31</t>
  </si>
  <si>
    <t>Nov-29-2017 08:39</t>
  </si>
  <si>
    <t>Nov-29-2017 08:38</t>
  </si>
  <si>
    <t>Nov-29-2017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</si>
</sst>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5">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xf numFmtId="166" fontId="0" fillId="0" borderId="0" xfId="0" applyNumberFormat="1" applyAlignment="1">
      <alignment horizontal="righ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Quarterly fiscal impact</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fiscal_ifinal!$D$2:$D$72</c:f>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8.9854943254711953E-3</c:v>
                </c:pt>
                <c:pt idx="70" formatCode="0.000">
                  <c:v>6.5519577899054229E-2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-2.5246394743902046E-3</c:v>
                </c:pt>
                <c:pt idx="70" formatCode="0.000">
                  <c:v>3.0838107408718965E-2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fiscal_ifinal!$E$2:$E$72</c:f>
              <c:numCache>
                <c:formatCode>0.00</c:formatCode>
                <c:ptCount val="71"/>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pt idx="70">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fiscal_ifinal!$F$2:$F$72</c:f>
              <c:numCache>
                <c:formatCode>0.00</c:formatCode>
                <c:ptCount val="71"/>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-0.16</c:v>
                </c:pt>
                <c:pt idx="70">
                  <c:v>-0.01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fiscal_ifinal!$G$2:$G$72</c:f>
              <c:numCache>
                <c:formatCode>0.00</c:formatCode>
                <c:ptCount val="71"/>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3.8985494325471194E-2</c:v>
                </c:pt>
                <c:pt idx="70" formatCode="0.00000">
                  <c:v>-4.4804221009457799E-3</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-2.5246394743902046E-3</c:v>
                </c:pt>
                <c:pt idx="70" formatCode="0.000">
                  <c:v>3.0838107408718965E-2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P175" activePane="bottomRight" state="frozen"/>
      <selection pane="topRight" activeCell="C1" sqref="C1"/>
      <selection pane="bottomLeft" activeCell="A7" sqref="A7"/>
      <selection pane="bottomRight" activeCell="U197" sqref="U197"/>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604</v>
      </c>
      <c r="D6" t="s">
        <v>604</v>
      </c>
      <c r="E6" t="s">
        <v>604</v>
      </c>
      <c r="F6" t="s">
        <v>604</v>
      </c>
      <c r="G6" t="s">
        <v>604</v>
      </c>
      <c r="H6" t="s">
        <v>604</v>
      </c>
      <c r="I6" t="s">
        <v>604</v>
      </c>
      <c r="J6" t="s">
        <v>604</v>
      </c>
      <c r="K6" t="s">
        <v>605</v>
      </c>
      <c r="L6" t="s">
        <v>605</v>
      </c>
      <c r="M6" t="s">
        <v>605</v>
      </c>
      <c r="N6" t="s">
        <v>603</v>
      </c>
      <c r="O6" t="s">
        <v>605</v>
      </c>
      <c r="P6" t="s">
        <v>605</v>
      </c>
      <c r="Q6" t="s">
        <v>590</v>
      </c>
      <c r="R6" t="s">
        <v>604</v>
      </c>
      <c r="S6" t="s">
        <v>597</v>
      </c>
      <c r="T6" t="s">
        <v>605</v>
      </c>
      <c r="U6" s="58" t="s">
        <v>605</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589</v>
      </c>
      <c r="B196" s="4">
        <v>42916</v>
      </c>
      <c r="C196" s="5">
        <v>671.5</v>
      </c>
      <c r="D196" s="5">
        <v>577.4</v>
      </c>
      <c r="E196" s="5">
        <v>2777.8</v>
      </c>
      <c r="F196" s="5">
        <v>2007.9</v>
      </c>
      <c r="G196" s="5">
        <v>1321.3</v>
      </c>
      <c r="H196" s="5">
        <v>468.8</v>
      </c>
      <c r="I196" s="5">
        <v>88.6</v>
      </c>
      <c r="J196" s="5">
        <v>1299.3</v>
      </c>
      <c r="K196" s="5">
        <v>17031.099999999999</v>
      </c>
      <c r="L196" s="5">
        <v>11853</v>
      </c>
      <c r="M196" s="5">
        <v>13307</v>
      </c>
      <c r="N196" s="7">
        <v>1.1226799999999999</v>
      </c>
      <c r="O196" s="5">
        <v>19250</v>
      </c>
      <c r="P196" s="11">
        <v>-0.03</v>
      </c>
      <c r="Q196" s="5">
        <v>17058.2</v>
      </c>
      <c r="R196" s="5">
        <v>3332.1</v>
      </c>
      <c r="S196" s="48">
        <v>0</v>
      </c>
      <c r="T196" s="11">
        <v>0.13</v>
      </c>
      <c r="U196" s="59">
        <v>-0.16</v>
      </c>
      <c r="V196" s="26"/>
      <c r="W196" s="5"/>
    </row>
    <row r="197" spans="1:23" x14ac:dyDescent="0.25">
      <c r="A197" t="s">
        <v>595</v>
      </c>
      <c r="B197" s="4">
        <v>43008</v>
      </c>
      <c r="C197" s="5">
        <v>676.4</v>
      </c>
      <c r="D197" s="5">
        <v>584.6</v>
      </c>
      <c r="E197" s="5">
        <v>2797.4</v>
      </c>
      <c r="F197" s="5">
        <v>2047.6</v>
      </c>
      <c r="G197" s="5">
        <v>1336.8</v>
      </c>
      <c r="H197" s="5">
        <v>464.7</v>
      </c>
      <c r="I197" s="5">
        <v>76.5</v>
      </c>
      <c r="J197" s="5">
        <v>1311.4</v>
      </c>
      <c r="K197" s="5">
        <v>17169.7</v>
      </c>
      <c r="L197" s="5">
        <v>11921.1</v>
      </c>
      <c r="M197" s="5">
        <v>13435</v>
      </c>
      <c r="N197" s="7">
        <v>1.1269899999999999</v>
      </c>
      <c r="O197" s="5">
        <v>19509</v>
      </c>
      <c r="P197" s="11">
        <v>7.0000000000000007E-2</v>
      </c>
      <c r="Q197" s="5">
        <v>17125.5</v>
      </c>
      <c r="R197" s="5">
        <v>3355.3</v>
      </c>
      <c r="S197" s="48">
        <v>0</v>
      </c>
      <c r="T197" s="11">
        <v>0.08</v>
      </c>
      <c r="U197" s="59">
        <v>-0.01</v>
      </c>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D16" activePane="bottomRight" state="frozen"/>
      <selection pane="topRight" activeCell="C1" sqref="C1"/>
      <selection pane="bottomLeft" activeCell="A11" sqref="A11"/>
      <selection pane="bottomRight" activeCell="GK59" sqref="GK59"/>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f>INDEX(HaverPull!$B:$XZ,MATCH(Calculations!GK$9,HaverPull!$B:$B,0),MATCH(Calculations!$B11,HaverPull!$B$1:$XZ$1,0))</f>
        <v>676.4</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577.4</v>
      </c>
      <c r="GK12">
        <f>INDEX(HaverPull!$B:$XZ,MATCH(Calculations!GK$9,HaverPull!$B:$B,0),MATCH(Calculations!$B12,HaverPull!$B$1:$XZ$1,0))</f>
        <v>584.6</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2777.8</v>
      </c>
      <c r="GK13">
        <f>INDEX(HaverPull!$B:$XZ,MATCH(Calculations!GK$9,HaverPull!$B:$B,0),MATCH(Calculations!$B13,HaverPull!$B$1:$XZ$1,0))</f>
        <v>2797.4</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1299.3</v>
      </c>
      <c r="GK14">
        <f>INDEX(HaverPull!$B:$XZ,MATCH(Calculations!GK$9,HaverPull!$B:$B,0),MATCH(Calculations!$B14,HaverPull!$B$1:$XZ$1,0))</f>
        <v>1311.4</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2007.9</v>
      </c>
      <c r="GK15">
        <f>INDEX(HaverPull!$B:$XZ,MATCH(Calculations!GK$9,HaverPull!$B:$B,0),MATCH(Calculations!$B15,HaverPull!$B$1:$XZ$1,0))</f>
        <v>2047.6</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1321.3</v>
      </c>
      <c r="GK16">
        <f>INDEX(HaverPull!$B:$XZ,MATCH(Calculations!GK$9,HaverPull!$B:$B,0),MATCH(Calculations!$B16,HaverPull!$B$1:$XZ$1,0))</f>
        <v>1336.8</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468.8</v>
      </c>
      <c r="GK17">
        <f>IFERROR(INDEX(HaverPull!$B:$XZ,MATCH(Calculations!GK$9,HaverPull!$B:$B,0),MATCH(Calculations!$B17,HaverPull!$B$1:$XZ$1,0)),INDEX(HaverPull!$B:$XZ,MATCH(Calculations!GJ$9,HaverPull!$B:$B,0),MATCH(Calculations!$B17,HaverPull!$B$1:$XZ$1,0)))</f>
        <v>464.7</v>
      </c>
      <c r="GL17">
        <f>IFERROR(INDEX(HaverPull!$B:$XZ,MATCH(Calculations!GL$9,HaverPull!$B:$B,0),MATCH(Calculations!$B17,HaverPull!$B$1:$XZ$1,0)),INDEX(HaverPull!$B:$XZ,MATCH(Calculations!GK$9,HaverPull!$B:$B,0),MATCH(Calculations!$B17,HaverPull!$B$1:$XZ$1,0)))</f>
        <v>464.7</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76.5</v>
      </c>
      <c r="GL18">
        <f>IFERROR(INDEX(HaverPull!$B:$XZ,MATCH(Calculations!GL$9,HaverPull!$B:$B,0),MATCH(Calculations!$B18,HaverPull!$B$1:$XZ$1,0)),INDEX(HaverPull!$B:$XZ,MATCH(Calculations!GK$9,HaverPull!$B:$B,0),MATCH(Calculations!$B18,HaverPull!$B$1:$XZ$1,0)))</f>
        <v>76.5</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17031.099999999999</v>
      </c>
      <c r="GK19">
        <f>INDEX(HaverPull!$B:$XZ,MATCH(Calculations!GK$9,HaverPull!$B:$B,0),MATCH(Calculations!$B19,HaverPull!$B$1:$XZ$1,0))</f>
        <v>17169.7</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f>INDEX(HaverPull!$B:$XZ,MATCH(Calculations!GK$9,HaverPull!$B:$B,0),MATCH(Calculations!$B20,HaverPull!$B$1:$XZ$1,0))</f>
        <v>17125.5</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11853</v>
      </c>
      <c r="GK21">
        <f>INDEX(HaverPull!$B:$XZ,MATCH(Calculations!GK$9,HaverPull!$B:$B,0),MATCH(Calculations!$B21,HaverPull!$B$1:$XZ$1,0))</f>
        <v>11921.1</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13307</v>
      </c>
      <c r="GK22">
        <f>INDEX(HaverPull!$B:$XZ,MATCH(Calculations!GK$9,HaverPull!$B:$B,0),MATCH(Calculations!$B22,HaverPull!$B$1:$XZ$1,0))</f>
        <v>13435</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1.1226799999999999</v>
      </c>
      <c r="GK23">
        <f>INDEX(HaverPull!$B:$XZ,MATCH(Calculations!GK$9,HaverPull!$B:$B,0),MATCH(Calculations!$B23,HaverPull!$B$1:$XZ$1,0))</f>
        <v>1.1269899999999999</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19250</v>
      </c>
      <c r="GK24">
        <f>INDEX(HaverPull!$B:$XZ,MATCH(Calculations!GK$9,HaverPull!$B:$B,0),MATCH(Calculations!$B24,HaverPull!$B$1:$XZ$1,0))</f>
        <v>19509</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-0.03</v>
      </c>
      <c r="GK25">
        <f>INDEX(HaverPull!$B:$XZ,MATCH(Calculations!GK$9,HaverPull!$B:$B,0),MATCH(Calculations!$B25,HaverPull!$B$1:$XZ$1,0))</f>
        <v>7.0000000000000007E-2</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3332.1</v>
      </c>
      <c r="GK26">
        <f>INDEX(HaverPull!$B:$XZ,MATCH(Calculations!GK$9,HaverPull!$B:$B,0),MATCH(Calculations!$B26,HaverPull!$B$1:$XZ$1,0))</f>
        <v>3355.3</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f>INDEX(HaverPull!$B:$XZ,MATCH(Calculations!GK$9,HaverPull!$B:$B,0),MATCH(Calculations!$B27,HaverPull!$B$1:$XZ$1,0))</f>
        <v>0</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f t="shared" si="2"/>
        <v>0</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f t="shared" si="6"/>
        <v>0</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1248.9000000000001</v>
      </c>
      <c r="GK32">
        <f t="shared" si="10"/>
        <v>1261</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1528.9</v>
      </c>
      <c r="GK33">
        <f t="shared" si="14"/>
        <v>1536.4</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4628.5</v>
      </c>
      <c r="GK34">
        <f t="shared" si="18"/>
        <v>4695.8</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380.20000000000005</v>
      </c>
      <c r="GK35">
        <f t="shared" si="22"/>
        <v>388.2</v>
      </c>
      <c r="GL35">
        <f t="shared" si="22"/>
        <v>388.2</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1116.7649999999999</v>
      </c>
      <c r="GK38">
        <f ca="1">IF(ISERROR(INDIRECT(ADDRESS(ROW(GK32),COLUMN(GK32)-3))),"n/a",IF(ISNUMBER(INDIRECT(ADDRESS(ROW(GK32),COLUMN(GK32)-3))),Calculations!$C$3*AVERAGE(GH32:GK32),"n/a"))</f>
        <v>1124.865</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e">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f ca="1">IF(ISERROR(INDIRECT(ADDRESS(ROW(GK33),COLUMN(GK33)-3))),"n/a",IF(ISNUMBER(INDIRECT(ADDRESS(ROW(GK33),COLUMN(GK33)-3))),Calculations!$C$4*AVERAGE(GH33:GK33),"n/a"))</f>
        <v>1369.5975000000001</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e">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-2722.8959999999997</v>
      </c>
      <c r="GK40">
        <f t="shared" ref="GK40" ca="1" si="42">IF(ISERROR(INDIRECT(ADDRESS(ROW(GK34),COLUMN(GK34)-7))),"n/a",IF(ISNUMBER(INDIRECT(ADDRESS(ROW(GK34),COLUMN(GK34)-7))),$C$5*($D$5*GK34+$E$5*GJ34+$F$5*AVERAGE(GD34:GI34)),"n/a"))</f>
        <v>-2744.6579999999999</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e">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-151.34</v>
      </c>
      <c r="GK41">
        <f ca="1">IF(ISERROR(INDIRECT(ADDRESS(ROW(GK35),COLUMN(GK35)-11))),"n/a",IF(ISNUMBER(INDIRECT(ADDRESS(ROW(GK35),COLUMN(GK35)-11))),Calculations!$C$6*AVERAGE(FZ35:GK35),"n/a"))</f>
        <v>-151.09666666666664</v>
      </c>
      <c r="GL41">
        <f ca="1">IF(ISERROR(INDIRECT(ADDRESS(ROW(GL35),COLUMN(GL35)-11))),"n/a",IF(ISNUMBER(INDIRECT(ADDRESS(ROW(GL35),COLUMN(GL35)-11))),Calculations!$C$6*AVERAGE(GA35:GL35),"n/a"))</f>
        <v>-151.1333333333333</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-397.2560000000002</v>
      </c>
      <c r="GK45">
        <f t="shared" ca="1" si="60"/>
        <v>-401.29216666666645</v>
      </c>
      <c r="GL45" t="e">
        <f t="shared" ca="1" si="60"/>
        <v>#N/A</v>
      </c>
      <c r="GM45" t="e">
        <f t="shared" ca="1" si="60"/>
        <v>#N/A</v>
      </c>
      <c r="GN45" t="e">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-353.84615384615404</v>
      </c>
      <c r="GK46">
        <f t="shared" ca="1" si="63"/>
        <v>-356.07429228889919</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12206.846153846154</v>
      </c>
      <c r="GK47">
        <f t="shared" ca="1" si="67"/>
        <v>12277.174292288899</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3.2712215647136667</v>
      </c>
      <c r="GK50">
        <f t="shared" si="71"/>
        <v>2.3180339772101322</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3.2148248738167462</v>
      </c>
      <c r="GK51">
        <f t="shared" ref="GK51" ca="1" si="91">IFERROR(((GK47/GJ47)^4-1)*100, "n/a")</f>
        <v>2.3245400103152569</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5.6396690896920454E-2</v>
      </c>
      <c r="GK52">
        <f t="shared" ca="1" si="109"/>
        <v>-6.5060331051247644E-3</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f t="shared" si="112"/>
        <v>1.587490551311066E-2</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3.0611716505002162E-2</v>
      </c>
      <c r="GK54">
        <f t="shared" si="116"/>
        <v>3.2951741026767678E-2</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0.69127272727272726</v>
      </c>
      <c r="GK57">
        <f t="shared" si="120"/>
        <v>0.68865651750474144</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3.8985494325471194E-2</v>
      </c>
      <c r="GK58">
        <f ca="1">IFERROR(GK52*GK57, "n/a")</f>
        <v>-4.4804221009457799E-3</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8.9854943254711953E-3</v>
      </c>
      <c r="GK59" s="35">
        <f ca="1">IFERROR(GK58+GK25, "n/a")</f>
        <v>6.5519577899054229E-2</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0.17309610389610389</v>
      </c>
      <c r="GK62">
        <f t="shared" si="135"/>
        <v>0.17198728791839665</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f t="shared" ref="GK63" si="152">IFERROR(GJ62*GK53*100, "n/a")</f>
        <v>0.27478842940382353</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0.53331210555265418</v>
      </c>
      <c r="GK64" s="30">
        <f t="shared" ref="GK64" si="179">IFERROR(GJ62*GK54*100, "n/a")</f>
        <v>0.57038179883268869</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-2.5246394743902046E-3</v>
      </c>
      <c r="GK67" s="6">
        <f t="shared" ref="GK67" ca="1" si="211">IF(ISTEXT(GH59), "n/a", AVERAGE(GH59:GK59))</f>
        <v>3.0838107408718965E-2</v>
      </c>
      <c r="GL67" s="6">
        <f t="shared" ref="GL67" ca="1" si="212">IF(ISTEXT(GI59), "n/a", AVERAGE(GI59:GL59))</f>
        <v>1.7106333111622716E-2</v>
      </c>
      <c r="GM67" s="6">
        <f t="shared" ref="GM67" ca="1" si="213">IF(ISTEXT(GJ59), "n/a", AVERAGE(GJ59:GM59))</f>
        <v>3.7252536112262716E-2</v>
      </c>
      <c r="GN67" s="6">
        <f t="shared" ref="GN67" ca="1" si="214">IF(ISTEXT(GK59), "n/a", AVERAGE(GK59:GN59))</f>
        <v>6.5519577899054229E-2</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0.2694861340459157</v>
      </c>
      <c r="GL68" s="6">
        <f t="shared" ref="GL68" si="240">IF(ISTEXT(GI63), "n/a", AVERAGE(GI63:GL63))</f>
        <v>0.27117966502431851</v>
      </c>
      <c r="GM68" s="6">
        <f t="shared" ref="GM68" si="241">IF(ISTEXT(GJ63), "n/a", AVERAGE(GJ63:GM63))</f>
        <v>0.27352224001570935</v>
      </c>
      <c r="GN68" s="6">
        <f t="shared" ref="GN68" si="242">IF(ISTEXT(GK63), "n/a", AVERAGE(GK63:GN63))</f>
        <v>0.27478842940382353</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-0.26965651539753266</v>
      </c>
      <c r="GK69" s="6">
        <f t="shared" ca="1" si="258"/>
        <v>-0.23864802663719675</v>
      </c>
      <c r="GL69" s="6">
        <f t="shared" ca="1" si="258"/>
        <v>-0.25407333191269577</v>
      </c>
      <c r="GM69" s="6">
        <f t="shared" ca="1" si="258"/>
        <v>-0.23626970390344665</v>
      </c>
      <c r="GN69" s="6">
        <f t="shared" ca="1" si="258"/>
        <v>-0.20926885150476932</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-0.52432661122718294</v>
      </c>
      <c r="GK70" s="6">
        <f t="shared" ca="1" si="265"/>
        <v>-0.50486222093363442</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5" zoomScale="175" zoomScaleNormal="100" zoomScaleSheetLayoutView="175" zoomScalePageLayoutView="85" workbookViewId="0">
      <selection activeCell="M25" sqref="M25"/>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workbookViewId="0">
      <pane ySplit="1" topLeftCell="A53" activePane="bottomLeft" state="frozen"/>
      <selection pane="bottomLeft" activeCell="G72" sqref="G72"/>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row>
    <row r="71" spans="1:7" x14ac:dyDescent="0.25">
      <c r="A71" s="64">
        <f>INDEX(Calculations!$9:$9, , ROW()+121)</f>
        <v>42916</v>
      </c>
      <c r="B71" s="70">
        <f ca="1">INDEX(Calculations!$1:$80, MATCH("Fiscal_Impact", Calculations!$B:$B, 0), MATCH(fiscal_ifinal!$A71, Calculations!$9:$9, 0))</f>
        <v>-2.5246394743902046E-3</v>
      </c>
      <c r="C71" s="66">
        <f>INDEX(Calculations!$1:$80, MATCH("RecessionDummy", Calculations!$B:$B, 0), MATCH(fiscal_ifinal!$A71, Calculations!$9:$9, 0))</f>
        <v>0</v>
      </c>
      <c r="D71" s="70">
        <f ca="1">INDEX(Calculations!$1:$80, MATCH("Fiscal_Impact_bars", Calculations!$B:$B, 0), MATCH(fiscal_ifinal!$A71, Calculations!$9:$9, 0))</f>
        <v>8.9854943254711953E-3</v>
      </c>
      <c r="E71" s="65">
        <f>INDEX(HaverPull!$B:$XZ,MATCH($A71,HaverPull!$B:$B,0),MATCH("Contribution to %Ch in Real GDP from ""Federal G""",HaverPull!$B$1:$XZ$1,0))</f>
        <v>0.13</v>
      </c>
      <c r="F71" s="65">
        <f>INDEX(HaverPull!$B:$XZ,MATCH($A71,HaverPull!$B:$B,0),MATCH("Contribution to %Ch in Real GDP from ""S+L G""",HaverPull!$B$1:$XZ$1,0))</f>
        <v>-0.16</v>
      </c>
      <c r="G71" s="65">
        <f ca="1">INDEX(Calculations!$A:$GV,MATCH("Contribution of Consumption Growth to Real GDP",Calculations!B$1:B$71,0),MATCH($A71,Calculations!A$9:GV$9))</f>
        <v>3.8985494325471194E-2</v>
      </c>
    </row>
    <row r="72" spans="1:7" x14ac:dyDescent="0.25">
      <c r="A72" s="64">
        <f>INDEX(Calculations!$9:$9, , ROW()+121)</f>
        <v>43008</v>
      </c>
      <c r="B72" s="70">
        <f ca="1">INDEX(Calculations!$1:$80, MATCH("Fiscal_Impact", Calculations!$B:$B, 0), MATCH(fiscal_ifinal!$A72, Calculations!$9:$9, 0))</f>
        <v>3.0838107408718965E-2</v>
      </c>
      <c r="C72" s="66">
        <f>INDEX(Calculations!$1:$80, MATCH("RecessionDummy", Calculations!$B:$B, 0), MATCH(fiscal_ifinal!$A72, Calculations!$9:$9, 0))</f>
        <v>0</v>
      </c>
      <c r="D72" s="70">
        <f ca="1">INDEX(Calculations!$1:$80, MATCH("Fiscal_Impact_bars", Calculations!$B:$B, 0), MATCH(fiscal_ifinal!$A72, Calculations!$9:$9, 0))</f>
        <v>6.5519577899054229E-2</v>
      </c>
      <c r="E72" s="65">
        <f>INDEX(HaverPull!$B:$XZ,MATCH($A72,HaverPull!$B:$B,0),MATCH("Contribution to %Ch in Real GDP from ""Federal G""",HaverPull!$B$1:$XZ$1,0))</f>
        <v>0.08</v>
      </c>
      <c r="F72" s="65">
        <f>INDEX(HaverPull!$B:$XZ,MATCH($A72,HaverPull!$B:$B,0),MATCH("Contribution to %Ch in Real GDP from ""S+L G""",HaverPull!$B$1:$XZ$1,0))</f>
        <v>-0.01</v>
      </c>
      <c r="G72" s="94">
        <f ca="1">INDEX(Calculations!$A:$GV,MATCH("Contribution of Consumption Growth to Real GDP",Calculations!B$1:B$71,0),MATCH($A72,Calculations!A$9:GV$9))</f>
        <v>-4.4804221009457799E-3</v>
      </c>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6"/>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544</v>
      </c>
      <c r="R1" s="93" t="s">
        <v>545</v>
      </c>
      <c r="S1" s="92" t="s">
        <v>546</v>
      </c>
      <c r="T1" s="92" t="s">
        <v>547</v>
      </c>
      <c r="V1" s="15" t="s">
        <v>551</v>
      </c>
      <c r="W1" s="15" t="s">
        <v>61</v>
      </c>
      <c r="X1" t="s">
        <v>548</v>
      </c>
      <c r="Y1" t="s">
        <v>413</v>
      </c>
    </row>
    <row r="2" spans="1:25" x14ac:dyDescent="0.25">
      <c r="A2" t="s">
        <v>57</v>
      </c>
      <c r="C2" t="s">
        <v>422</v>
      </c>
      <c r="D2" t="s">
        <v>57</v>
      </c>
      <c r="F2" t="s">
        <v>536</v>
      </c>
      <c r="G2" t="s">
        <v>57</v>
      </c>
      <c r="I2" t="s">
        <v>538</v>
      </c>
      <c r="J2" t="s">
        <v>57</v>
      </c>
      <c r="L2" t="s">
        <v>540</v>
      </c>
      <c r="M2" t="s">
        <v>57</v>
      </c>
      <c r="O2" t="s">
        <v>543</v>
      </c>
      <c r="Q2" s="93"/>
      <c r="R2" s="93"/>
      <c r="S2" s="92"/>
      <c r="T2" s="92"/>
      <c r="V2" t="s">
        <v>57</v>
      </c>
      <c r="X2" t="s">
        <v>550</v>
      </c>
      <c r="Y2" t="s">
        <v>413</v>
      </c>
    </row>
    <row r="3" spans="1:25" x14ac:dyDescent="0.25">
      <c r="A3" t="s">
        <v>59</v>
      </c>
      <c r="C3" t="s">
        <v>421</v>
      </c>
      <c r="D3" t="s">
        <v>59</v>
      </c>
      <c r="F3" t="s">
        <v>421</v>
      </c>
      <c r="G3" t="s">
        <v>59</v>
      </c>
      <c r="I3" t="s">
        <v>537</v>
      </c>
      <c r="J3" t="s">
        <v>59</v>
      </c>
      <c r="L3" t="s">
        <v>539</v>
      </c>
      <c r="M3" t="s">
        <v>59</v>
      </c>
      <c r="O3" t="s">
        <v>542</v>
      </c>
      <c r="Q3" s="93"/>
      <c r="R3" s="93"/>
      <c r="S3" s="92"/>
      <c r="T3" s="92"/>
      <c r="V3" t="s">
        <v>59</v>
      </c>
      <c r="X3" t="s">
        <v>369</v>
      </c>
    </row>
    <row r="4" spans="1:25" ht="15" customHeight="1" x14ac:dyDescent="0.25">
      <c r="A4" t="s">
        <v>418</v>
      </c>
      <c r="C4" t="s">
        <v>599</v>
      </c>
      <c r="D4" t="s">
        <v>418</v>
      </c>
      <c r="F4" t="s">
        <v>599</v>
      </c>
      <c r="G4" t="s">
        <v>418</v>
      </c>
      <c r="I4" t="s">
        <v>599</v>
      </c>
      <c r="J4" t="s">
        <v>418</v>
      </c>
      <c r="L4" t="s">
        <v>599</v>
      </c>
      <c r="M4" t="s">
        <v>418</v>
      </c>
      <c r="O4" t="s">
        <v>599</v>
      </c>
      <c r="Q4" s="93"/>
      <c r="R4" s="93"/>
      <c r="S4" s="92"/>
      <c r="T4" s="92"/>
      <c r="V4" t="s">
        <v>418</v>
      </c>
      <c r="X4" t="s">
        <v>595</v>
      </c>
    </row>
    <row r="5" spans="1:25" ht="15" customHeight="1" x14ac:dyDescent="0.25">
      <c r="A5" t="s">
        <v>417</v>
      </c>
      <c r="C5" t="s">
        <v>420</v>
      </c>
      <c r="D5" t="s">
        <v>417</v>
      </c>
      <c r="F5" t="s">
        <v>420</v>
      </c>
      <c r="G5" t="s">
        <v>417</v>
      </c>
      <c r="I5" t="s">
        <v>420</v>
      </c>
      <c r="J5" t="s">
        <v>417</v>
      </c>
      <c r="L5" t="s">
        <v>420</v>
      </c>
      <c r="M5" t="s">
        <v>417</v>
      </c>
      <c r="O5" t="s">
        <v>541</v>
      </c>
      <c r="Q5" s="93"/>
      <c r="R5" s="93"/>
      <c r="S5" s="92"/>
      <c r="T5" s="92"/>
      <c r="V5" t="s">
        <v>417</v>
      </c>
      <c r="X5" t="s">
        <v>420</v>
      </c>
    </row>
    <row r="6" spans="1:25" ht="15" customHeight="1" x14ac:dyDescent="0.25">
      <c r="A6" t="s">
        <v>60</v>
      </c>
      <c r="C6" t="s">
        <v>598</v>
      </c>
      <c r="D6" t="s">
        <v>60</v>
      </c>
      <c r="F6" t="s">
        <v>598</v>
      </c>
      <c r="G6" t="s">
        <v>60</v>
      </c>
      <c r="I6" t="s">
        <v>598</v>
      </c>
      <c r="J6" t="s">
        <v>60</v>
      </c>
      <c r="L6" t="s">
        <v>601</v>
      </c>
      <c r="M6" t="s">
        <v>60</v>
      </c>
      <c r="O6" t="s">
        <v>602</v>
      </c>
      <c r="Q6" s="93"/>
      <c r="R6" s="93"/>
      <c r="S6" s="92"/>
      <c r="T6" s="92"/>
      <c r="V6" t="s">
        <v>60</v>
      </c>
      <c r="X6" t="s">
        <v>603</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549</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552</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553</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554</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555</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556</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557</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558</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559</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560</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561</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562</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563</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564</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565</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566</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567</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568</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569</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570</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571</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572</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573</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574</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575</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576</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577</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578</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579</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580</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581</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582</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583</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584</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585</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586</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587</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588</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591</v>
      </c>
      <c r="W45" s="71">
        <v>42916</v>
      </c>
      <c r="X45" s="5">
        <v>212.8</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c r="V46" t="s">
        <v>596</v>
      </c>
      <c r="W46" s="71">
        <v>43008</v>
      </c>
      <c r="X46" s="5">
        <v>208.3</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5090</v>
      </c>
      <c r="D121" t="s">
        <v>535</v>
      </c>
      <c r="E121" s="71">
        <v>42916</v>
      </c>
      <c r="F121" s="48">
        <v>14420</v>
      </c>
      <c r="G121" t="s">
        <v>535</v>
      </c>
      <c r="H121" s="71">
        <v>42916</v>
      </c>
      <c r="I121" s="5">
        <v>2192.1999999999998</v>
      </c>
      <c r="J121" t="s">
        <v>535</v>
      </c>
      <c r="K121" s="71">
        <v>42916</v>
      </c>
      <c r="L121" s="48">
        <v>0</v>
      </c>
      <c r="M121" t="s">
        <v>535</v>
      </c>
      <c r="N121" s="71">
        <v>42916</v>
      </c>
      <c r="O121" s="48">
        <v>0</v>
      </c>
      <c r="Q121" s="6">
        <f t="shared" si="4"/>
        <v>4000</v>
      </c>
      <c r="R121" s="79">
        <f t="shared" si="6"/>
        <v>3666.6666666666665</v>
      </c>
      <c r="S121" s="72">
        <f t="shared" si="5"/>
        <v>299.99999999972715</v>
      </c>
      <c r="T121" s="80">
        <f t="shared" si="7"/>
        <v>-1266.6666666667272</v>
      </c>
    </row>
    <row r="122" spans="1:20" x14ac:dyDescent="0.25">
      <c r="A122" t="s">
        <v>592</v>
      </c>
      <c r="B122" s="71">
        <v>42947</v>
      </c>
      <c r="C122" s="48">
        <v>5096</v>
      </c>
      <c r="D122" t="s">
        <v>592</v>
      </c>
      <c r="E122" s="71">
        <v>42947</v>
      </c>
      <c r="F122" s="48">
        <v>14421</v>
      </c>
      <c r="G122" t="s">
        <v>592</v>
      </c>
      <c r="H122" s="71">
        <v>42947</v>
      </c>
      <c r="I122" s="5">
        <v>2189.9</v>
      </c>
      <c r="J122" t="s">
        <v>592</v>
      </c>
      <c r="K122" s="71">
        <v>42947</v>
      </c>
      <c r="L122" s="48">
        <v>0</v>
      </c>
      <c r="M122" t="s">
        <v>592</v>
      </c>
      <c r="N122" s="71">
        <v>42947</v>
      </c>
      <c r="O122" s="48">
        <v>0</v>
      </c>
      <c r="Q122" s="6">
        <f t="shared" si="4"/>
        <v>7000</v>
      </c>
      <c r="R122" s="79">
        <f t="shared" si="6"/>
        <v>-666.66666666666663</v>
      </c>
      <c r="S122" s="72">
        <f t="shared" si="5"/>
        <v>-2299.9999999997272</v>
      </c>
      <c r="T122" s="80">
        <f t="shared" si="7"/>
        <v>-1333.3333333333333</v>
      </c>
    </row>
    <row r="123" spans="1:20" x14ac:dyDescent="0.25">
      <c r="A123" t="s">
        <v>593</v>
      </c>
      <c r="B123" s="71">
        <v>42978</v>
      </c>
      <c r="C123" s="48">
        <v>5094</v>
      </c>
      <c r="D123" t="s">
        <v>593</v>
      </c>
      <c r="E123" s="71">
        <v>42978</v>
      </c>
      <c r="F123" s="48">
        <v>14447</v>
      </c>
      <c r="G123" t="s">
        <v>593</v>
      </c>
      <c r="H123" s="71">
        <v>42978</v>
      </c>
      <c r="I123" s="5">
        <v>2192.1</v>
      </c>
      <c r="J123" t="s">
        <v>593</v>
      </c>
      <c r="K123" s="71">
        <v>42978</v>
      </c>
      <c r="L123" s="48">
        <v>0</v>
      </c>
      <c r="M123" t="s">
        <v>593</v>
      </c>
      <c r="N123" s="71">
        <v>42978</v>
      </c>
      <c r="O123" s="48">
        <v>0</v>
      </c>
      <c r="Q123" s="6">
        <f t="shared" si="4"/>
        <v>24000</v>
      </c>
      <c r="R123" s="79">
        <f t="shared" si="6"/>
        <v>11666.666666666666</v>
      </c>
      <c r="S123" s="72">
        <f t="shared" si="5"/>
        <v>2199.9999999998181</v>
      </c>
      <c r="T123" s="80">
        <f t="shared" si="7"/>
        <v>66.666666666606034</v>
      </c>
    </row>
    <row r="124" spans="1:20" x14ac:dyDescent="0.25">
      <c r="A124" t="s">
        <v>594</v>
      </c>
      <c r="B124" s="71">
        <v>43008</v>
      </c>
      <c r="C124" s="48">
        <v>5089</v>
      </c>
      <c r="D124" t="s">
        <v>594</v>
      </c>
      <c r="E124" s="71">
        <v>43008</v>
      </c>
      <c r="F124" s="48">
        <v>14454</v>
      </c>
      <c r="G124" t="s">
        <v>594</v>
      </c>
      <c r="H124" s="71">
        <v>43008</v>
      </c>
      <c r="I124" s="5">
        <v>2192.1999999999998</v>
      </c>
      <c r="J124" t="s">
        <v>594</v>
      </c>
      <c r="K124" s="71">
        <v>43008</v>
      </c>
      <c r="L124" s="48">
        <v>0</v>
      </c>
      <c r="M124" t="s">
        <v>594</v>
      </c>
      <c r="N124" s="71">
        <v>43008</v>
      </c>
      <c r="O124" s="48">
        <v>0</v>
      </c>
      <c r="Q124" s="6">
        <f t="shared" si="4"/>
        <v>2000</v>
      </c>
      <c r="R124" s="79">
        <f t="shared" si="6"/>
        <v>11000</v>
      </c>
      <c r="S124" s="72">
        <f t="shared" si="5"/>
        <v>99.999999999909051</v>
      </c>
      <c r="T124" s="80">
        <f t="shared" si="7"/>
        <v>0</v>
      </c>
    </row>
    <row r="125" spans="1:20" x14ac:dyDescent="0.25">
      <c r="A125" t="s">
        <v>600</v>
      </c>
      <c r="B125" s="71">
        <v>43039</v>
      </c>
      <c r="C125" s="48">
        <v>5091</v>
      </c>
      <c r="D125" t="s">
        <v>600</v>
      </c>
      <c r="E125" s="71">
        <v>43039</v>
      </c>
      <c r="F125" s="48">
        <v>14456</v>
      </c>
      <c r="G125" t="s">
        <v>600</v>
      </c>
      <c r="H125" s="71">
        <v>43039</v>
      </c>
      <c r="I125" s="5">
        <v>2195.3000000000002</v>
      </c>
      <c r="J125" t="s">
        <v>600</v>
      </c>
      <c r="K125" s="71">
        <v>43039</v>
      </c>
      <c r="L125" s="48">
        <v>0</v>
      </c>
      <c r="M125" t="s">
        <v>600</v>
      </c>
      <c r="N125" s="71">
        <v>43039</v>
      </c>
      <c r="O125" s="48">
        <v>0</v>
      </c>
      <c r="Q125" s="6">
        <f t="shared" si="4"/>
        <v>4000</v>
      </c>
      <c r="R125" s="79">
        <f t="shared" si="6"/>
        <v>10000</v>
      </c>
      <c r="S125" s="72">
        <f t="shared" si="5"/>
        <v>3100.0000000003638</v>
      </c>
      <c r="T125" s="80">
        <f t="shared" si="7"/>
        <v>1800.0000000000302</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07BBD26-2E9F-42D1-AED6-8E4D142EA381}"/>
</file>

<file path=customXml/itemProps2.xml><?xml version="1.0" encoding="utf-8"?>
<ds:datastoreItem xmlns:ds="http://schemas.openxmlformats.org/officeDocument/2006/customXml" ds:itemID="{06F1C932-4F75-46CB-864F-2F3460659216}"/>
</file>

<file path=customXml/itemProps3.xml><?xml version="1.0" encoding="utf-8"?>
<ds:datastoreItem xmlns:ds="http://schemas.openxmlformats.org/officeDocument/2006/customXml" ds:itemID="{2DD90538-3A13-44F0-ACC8-4E06D01827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2017-10-27T13:33:19Z</cp:lastPrinted>
  <dcterms:created xsi:type="dcterms:W3CDTF">2014-09-08T20:08:32Z</dcterms:created>
  <dcterms:modified xsi:type="dcterms:W3CDTF">2017-12-21T15:07:45Z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