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8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C80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C79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<sst xmlns="http://schemas.openxmlformats.org/spreadsheetml/2006/main" count="742" uniqueCount="456">
  <si>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</si>
  <si>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</si>
  <si>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</si>
  <si>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</si>
  <si>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</si>
  <si>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</si>
  <si>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</si>
  <si>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</si>
  <si>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</si>
  <si>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</si>
  <si>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</si>
  <si>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</si>
  <si>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</si>
  <si>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</si>
  <si>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</si>
  <si>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</si>
  <si>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</si>
  <si>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</si>
  <si>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</si>
  <si>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</si>
  <si>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</si>
  <si>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</si>
  <si>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</si>
  <si>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</si>
  <si>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</si>
  <si>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</si>
  <si>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</si>
  <si>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</si>
  <si>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</si>
  <si>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</si>
  <si>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</si>
  <si>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</si>
  <si>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</si>
  <si>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</si>
  <si>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</si>
  <si>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</si>
  <si>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</si>
  <si>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</si>
  <si>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</si>
  <si>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</si>
  <si>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</si>
  <si>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</si>
  <si>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</si>
  <si>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</si>
  <si>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</si>
  <si>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</si>
  <si>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</si>
  <si>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</si>
  <si>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</si>
  <si>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</si>
  <si>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</si>
  <si>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</si>
  <si>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</si>
  <si>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</si>
  <si>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</si>
  <si>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</si>
  <si>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</si>
  <si>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</si>
  <si>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</si>
  <si>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</si>
  <si>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</si>
  <si>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</si>
  <si>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</si>
  <si>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</si>
  <si>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</si>
  <si>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</si>
  <si>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</si>
  <si>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</si>
  <si>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</si>
  <si>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</si>
  <si>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</si>
  <si>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</si>
  <si>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</si>
  <si>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</si>
  <si>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</si>
  <si>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</si>
  <si>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</si>
  <si>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</si>
  <si>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</si>
  <si>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</si>
  <si>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</si>
  <si>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</si>
  <si>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</si>
  <si>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</si>
  <si>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</si>
  <si>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</si>
  <si>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</si>
  <si>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</si>
  <si>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</si>
  <si>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</si>
  <si>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</si>
  <si>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</si>
  <si>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</si>
  <si>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</si>
  <si>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</si>
  <si>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</si>
  <si>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</si>
  <si>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</si>
  <si>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</si>
  <si>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</si>
  <si>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</si>
  <si>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</si>
  <si>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</si>
  <si>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</si>
  <si>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</si>
  <si>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</si>
  <si>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</si>
  <si>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</si>
  <si>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</si>
  <si>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</si>
  <si>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</si>
  <si>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</si>
  <si>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</si>
  <si>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</si>
  <si>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</si>
  <si>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</si>
  <si>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</si>
  <si>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</si>
  <si>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</si>
  <si>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</si>
  <si>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</si>
  <si>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</si>
  <si>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</si>
  <si>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</si>
  <si>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</si>
  <si>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</si>
  <si>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</si>
  <si>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</si>
  <si>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</si>
  <si>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</si>
  <si>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</si>
  <si>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</si>
  <si>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</si>
  <si>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</si>
  <si>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</si>
  <si>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</si>
  <si>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</si>
  <si>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</si>
  <si>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</si>
  <si>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</si>
  <si>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</si>
  <si>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</si>
  <si>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</si>
  <si>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</si>
  <si>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</si>
  <si>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</si>
  <si>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</si>
  <si>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</si>
  <si>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</si>
  <si>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</si>
  <si>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</si>
  <si>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</si>
  <si>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</si>
  <si>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</si>
  <si>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</si>
  <si>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</si>
  <si>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</si>
  <si>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</si>
  <si>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</si>
  <si>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</si>
  <si>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</si>
  <si>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</si>
  <si>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</si>
  <si>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</si>
  <si>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</si>
  <si>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</si>
  <si>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</si>
  <si>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</si>
  <si>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</si>
  <si>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</si>
  <si>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</si>
  <si>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</si>
  <si>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</si>
  <si>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</si>
  <si>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</si>
  <si>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</si>
  <si>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</si>
  <si>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</si>
  <si>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</si>
  <si>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</si>
  <si>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</si>
  <si>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</si>
  <si>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</si>
  <si>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</si>
  <si>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</si>
  <si>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</si>
  <si>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</si>
  <si>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</si>
  <si>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</si>
  <si>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</si>
  <si>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</si>
  <si>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</si>
  <si>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</si>
  <si>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</si>
  <si>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</si>
  <si>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</si>
  <si>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</si>
  <si>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</si>
  <si>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</si>
  <si>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</si>
  <si>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</si>
  <si>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</si>
  <si>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</si>
  <si>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</si>
  <si>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</si>
  <si>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</si>
  <si>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</si>
  <si>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</si>
  <si>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</si>
  <si>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</si>
  <si>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</si>
  <si>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</si>
  <si>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</si>
  <si>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</si>
  <si>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</si>
  <si>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</si>
  <si>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</si>
  <si>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</si>
  <si>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</si>
  <si>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</si>
  <si>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</si>
  <si>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</si>
  <si>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</si>
  <si>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</si>
  <si>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</si>
  <si>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</si>
  <si>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</si>
  <si>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</si>
  <si>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</si>
  <si>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</si>
  <si>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</si>
  <si>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</si>
  <si>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</si>
  <si>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</si>
  <si>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</si>
  <si>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</si>
  <si>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</si>
  <si>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</si>
  <si>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</si>
  <si>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</si>
  <si>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</si>
  <si>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</si>
  <si>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</si>
  <si>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</si>
  <si>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</si>
  <si>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</si>
  <si>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</si>
  <si>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</si>
  <si>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</si>
  <si>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</si>
  <si>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</si>
  <si>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</si>
  <si>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</si>
  <si>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</si>
  <si>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</si>
  <si>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</si>
  <si>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</si>
  <si>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</si>
  <si>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</si>
  <si>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</si>
  <si>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</si>
  <si>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</si>
  <si>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</si>
  <si>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</si>
  <si>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</si>
  <si>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</si>
  <si>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</si>
  <si>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</si>
  <si>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</si>
  <si>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</si>
  <si>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</si>
  <si>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</si>
  <si>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</si>
  <si>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</si>
  <si>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</si>
  <si>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</si>
  <si>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</si>
  <si>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</si>
  <si>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</si>
  <si>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</si>
  <si>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</si>
  <si>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</si>
  <si>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</si>
  <si>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</si>
  <si>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</si>
  <si>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</si>
  <si>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</si>
  <si>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</si>
  <si>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</si>
  <si>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</si>
  <si>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</si>
  <si>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</si>
  <si>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</si>
  <si>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</si>
  <si>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</si>
  <si>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</si>
  <si>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</si>
  <si>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</si>
  <si>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</si>
  <si>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</si>
  <si>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</si>
  <si>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</si>
  <si>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</si>
  <si>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</si>
  <si>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</si>
  <si>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</si>
  <si>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</si>
  <si>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</si>
  <si>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</si>
  <si>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</si>
  <si>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</si>
  <si>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</si>
  <si>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</si>
  <si>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</si>
  <si>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</si>
  <si>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</si>
  <si>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</si>
  <si>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</si>
  <si>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</si>
  <si>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</si>
  <si>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</si>
  <si>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</si>
  <si>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</si>
  <si>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</si>
  <si>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</si>
  <si>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</si>
  <si>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</si>
  <si>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</si>
  <si>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</si>
  <si>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</si>
  <si>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</si>
  <si>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</si>
  <si>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</si>
  <si>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</si>
  <si>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</si>
  <si>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</si>
  <si>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</si>
  <si>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</si>
  <si>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</si>
  <si>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</si>
  <si>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</si>
  <si>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</si>
  <si>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</si>
  <si>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</si>
  <si>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</si>
  <si>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</si>
  <si>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</si>
  <si>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</si>
  <si>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</si>
  <si>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</si>
  <si>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</si>
  <si>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</si>
  <si>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</si>
  <si>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</si>
  <si>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</si>
  <si>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</si>
  <si>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</si>
  <si>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</si>
  <si>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</si>
  <si>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</si>
  <si>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</si>
  <si>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</si>
  <si>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</si>
  <si>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</si>
  <si>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</si>
  <si>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</si>
  <si>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</si>
  <si>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</si>
  <si>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</si>
  <si>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</si>
  <si>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</si>
  <si>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</si>
  <si>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</si>
  <si>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</si>
  <si>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</si>
  <si>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</si>
  <si>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</si>
  <si>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</si>
  <si>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</si>
  <si>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</si>
  <si>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</si>
  <si>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</si>
  <si>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</si>
  <si>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</si>
  <si>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</si>
  <si>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</si>
  <si>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</si>
  <si>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</si>
  <si>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</si>
  <si>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</si>
  <si>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</si>
  <si>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</si>
  <si>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>20144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</si>
  <si>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</si>
  <si>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</si>
  <si>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</si>
  <si>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</si>
  <si>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</si>
  <si>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</si>
  <si>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</si>
  <si>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</si>
  <si>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</si>
  <si>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</si>
  <si>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</si>
  <si>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</si>
  <si>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</si>
  <si>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</si>
  <si>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</si>
  <si>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</si>
  <si>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</si>
  <si>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</si>
  <si>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</si>
  <si>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</si>
  <si>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</si>
  <si>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</si>
  <si>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</si>
  <si>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</si>
  <si>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</si>
  <si>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</si>
  <si>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</si>
  <si>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</si>
  <si>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</si>
  <si>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</si>
  <si>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</si>
  <si>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</si>
  <si>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</si>
  <si>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</si>
  <si>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</si>
  <si>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</si>
  <si>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</si>
  <si>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</si>
  <si>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</si>
  <si>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</si>
  <si>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</si>
  <si>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Mar-12-2015 15:41 </t>
  </si>
  <si>
    <t>6.6</t>
  </si>
  <si>
    <t xml:space="preserve">Q1-2015 </t>
  </si>
  <si>
    <t xml:space="preserve">Apr-08-2015 17:57 </t>
  </si>
  <si>
    <t>Q1-2015</t>
  </si>
  <si>
    <t xml:space="preserve">Apr-03-2015 08:31 </t>
  </si>
  <si>
    <t xml:space="preserve">Apr-03-2015 08:34 </t>
  </si>
  <si>
    <t xml:space="preserve">Apr-01-2015 08:32 </t>
  </si>
  <si>
    <t>201503</t>
  </si>
  <si>
    <t xml:space="preserve">2015 [Q1-2015] </t>
  </si>
  <si>
    <t>20151</t>
  </si>
  <si>
    <t>2015-Q1</t>
  </si>
  <si>
    <t>7.5</t>
  </si>
  <si>
    <t>5.7</t>
  </si>
  <si>
    <t>14.8</t>
  </si>
  <si>
    <t>-2.9</t>
  </si>
  <si>
    <t>4.6</t>
  </si>
  <si>
    <t>7.3</t>
  </si>
  <si>
    <t>19.4</t>
  </si>
  <si>
    <t>-1.6</t>
  </si>
  <si>
    <t>12.3</t>
  </si>
  <si>
    <t xml:space="preserve">Apr-29-2015 10:29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</si>
</sst>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2" fillId="3" borderId="0" xfId="0" applyNumberFormat="1" applyFont="1" applyFill="1"/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-1000</c:v>
                </c:pt>
                <c:pt idx="77">
                  <c:v>-1000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1437952"/>
        <c:axId val="2214394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3000</c:v>
                </c:pt>
                <c:pt idx="77">
                  <c:v>333.33333333333331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37952"/>
        <c:axId val="221439488"/>
      </c:lineChart>
      <c:dateAx>
        <c:axId val="22143795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1439488"/>
        <c:crosses val="autoZero"/>
        <c:auto val="1"/>
        <c:lblOffset val="100"/>
        <c:baseTimeUnit val="months"/>
        <c:majorUnit val="1"/>
        <c:majorTimeUnit val="years"/>
      </c:dateAx>
      <c:valAx>
        <c:axId val="2214394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143795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-2899.9999999996362</c:v>
                </c:pt>
                <c:pt idx="77">
                  <c:v>-1400.0000000000909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2829952"/>
        <c:axId val="22286451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0</c:v>
                </c:pt>
                <c:pt idx="77" formatCode="0.00">
                  <c:v>-733.33333333327266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29952"/>
        <c:axId val="222864512"/>
      </c:lineChart>
      <c:dateAx>
        <c:axId val="22282995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2864512"/>
        <c:crosses val="autoZero"/>
        <c:auto val="1"/>
        <c:lblOffset val="100"/>
        <c:baseTimeUnit val="months"/>
        <c:majorUnit val="1"/>
        <c:majorTimeUnit val="years"/>
      </c:dateAx>
      <c:valAx>
        <c:axId val="22286451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282995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23232"/>
        <c:axId val="224629120"/>
      </c:lineChart>
      <c:dateAx>
        <c:axId val="22462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9120"/>
        <c:crosses val="autoZero"/>
        <c:auto val="1"/>
        <c:lblOffset val="100"/>
        <c:baseTimeUnit val="months"/>
        <c:majorUnit val="1"/>
        <c:majorTimeUnit val="years"/>
      </c:dateAx>
      <c:valAx>
        <c:axId val="22462912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32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60000"/>
        <c:axId val="224169984"/>
      </c:lineChart>
      <c:dateAx>
        <c:axId val="2241600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169984"/>
        <c:crossesAt val="0"/>
        <c:auto val="1"/>
        <c:lblOffset val="100"/>
        <c:baseTimeUnit val="months"/>
        <c:majorUnit val="1"/>
        <c:majorTimeUnit val="years"/>
      </c:dateAx>
      <c:valAx>
        <c:axId val="2241699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1600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 formatCode="General">
                  <c:v>4.9000000000000004</c:v>
                </c:pt>
                <c:pt idx="40" formatCode="General">
                  <c:v>5.0999999999999996</c:v>
                </c:pt>
                <c:pt idx="41" formatCode="General">
                  <c:v>5.3</c:v>
                </c:pt>
                <c:pt idx="42" formatCode="General">
                  <c:v>5.3</c:v>
                </c:pt>
                <c:pt idx="43" formatCode="General">
                  <c:v>5.3</c:v>
                </c:pt>
                <c:pt idx="44" formatCode="General">
                  <c:v>5.4</c:v>
                </c:pt>
                <c:pt idx="45" formatCode="General">
                  <c:v>5.6</c:v>
                </c:pt>
                <c:pt idx="46" formatCode="General">
                  <c:v>5.7</c:v>
                </c:pt>
                <c:pt idx="47" formatCode="General">
                  <c:v>5.9</c:v>
                </c:pt>
                <c:pt idx="48" formatCode="General">
                  <c:v>6</c:v>
                </c:pt>
                <c:pt idx="49" formatCode="General">
                  <c:v>5.9</c:v>
                </c:pt>
                <c:pt idx="50" formatCode="General">
                  <c:v>6.1</c:v>
                </c:pt>
                <c:pt idx="51" formatCode="General">
                  <c:v>6.3</c:v>
                </c:pt>
                <c:pt idx="52" formatCode="General">
                  <c:v>6.3</c:v>
                </c:pt>
                <c:pt idx="53" formatCode="General">
                  <c:v>6.5</c:v>
                </c:pt>
                <c:pt idx="54" formatCode="General">
                  <c:v>6.6</c:v>
                </c:pt>
                <c:pt idx="55" formatCode="General">
                  <c:v>6.8</c:v>
                </c:pt>
                <c:pt idx="56" formatCode="General">
                  <c:v>6.9</c:v>
                </c:pt>
                <c:pt idx="57" formatCode="General">
                  <c:v>7.1</c:v>
                </c:pt>
                <c:pt idx="58" formatCode="General">
                  <c:v>7.1999999999999993</c:v>
                </c:pt>
                <c:pt idx="59" formatCode="General">
                  <c:v>7.3000000000000007</c:v>
                </c:pt>
                <c:pt idx="60" formatCode="General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94272"/>
        <c:axId val="224695808"/>
      </c:lineChart>
      <c:dateAx>
        <c:axId val="22469427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95808"/>
        <c:crosses val="autoZero"/>
        <c:auto val="1"/>
        <c:lblOffset val="100"/>
        <c:baseTimeUnit val="months"/>
        <c:majorUnit val="10"/>
        <c:majorTimeUnit val="years"/>
      </c:dateAx>
      <c:valAx>
        <c:axId val="22469580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9427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74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64736"/>
        <c:axId val="224566272"/>
      </c:lineChart>
      <c:dateAx>
        <c:axId val="224564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566272"/>
        <c:crosses val="autoZero"/>
        <c:auto val="1"/>
        <c:lblOffset val="100"/>
        <c:baseTimeUnit val="months"/>
        <c:majorUnit val="5"/>
        <c:majorTimeUnit val="years"/>
      </c:dateAx>
      <c:valAx>
        <c:axId val="22456627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5647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998528"/>
        <c:axId val="225000064"/>
      </c:lineChart>
      <c:dateAx>
        <c:axId val="224998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00064"/>
        <c:crossesAt val="0"/>
        <c:auto val="1"/>
        <c:lblOffset val="100"/>
        <c:baseTimeUnit val="months"/>
        <c:majorUnit val="5"/>
        <c:majorTimeUnit val="years"/>
      </c:dateAx>
      <c:valAx>
        <c:axId val="2250000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998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071104"/>
        <c:axId val="225072640"/>
      </c:lineChart>
      <c:dateAx>
        <c:axId val="225071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72640"/>
        <c:crosses val="autoZero"/>
        <c:auto val="1"/>
        <c:lblOffset val="100"/>
        <c:baseTimeUnit val="months"/>
        <c:majorUnit val="5"/>
        <c:majorTimeUnit val="years"/>
      </c:dateAx>
      <c:valAx>
        <c:axId val="22507264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7110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425</v>
      </c>
    </row>
    <row r="3" spans="1:2">
      <c r="A3" s="25" t="s">
        <v>424</v>
      </c>
    </row>
    <row r="4" spans="1:2">
      <c r="A4" s="25" t="s">
        <v>346</v>
      </c>
    </row>
    <row r="5" spans="1:2">
      <c r="A5" s="25" t="s">
        <v>391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20" t="s">
        <v>274</v>
      </c>
      <c r="E9" s="120"/>
      <c r="F9" s="120"/>
      <c r="G9" s="120" t="s">
        <v>328</v>
      </c>
      <c r="H9" s="120"/>
      <c r="I9" s="121"/>
    </row>
    <row r="10" spans="1:9">
      <c r="A10" s="80"/>
      <c r="B10" s="81"/>
      <c r="C10" s="81"/>
      <c r="D10" s="120"/>
      <c r="E10" s="120"/>
      <c r="F10" s="120"/>
      <c r="G10" s="120"/>
      <c r="H10" s="120"/>
      <c r="I10" s="121"/>
    </row>
    <row r="11" spans="1:9">
      <c r="A11" s="74" t="s">
        <v>122</v>
      </c>
      <c r="B11" s="69"/>
      <c r="C11" s="69"/>
      <c r="D11" s="69"/>
      <c r="E11" s="105">
        <v>3113</v>
      </c>
      <c r="F11" s="71"/>
      <c r="G11" s="94"/>
      <c r="H11" s="98" t="s">
        <v>446</v>
      </c>
      <c r="I11" s="95"/>
    </row>
    <row r="12" spans="1:9">
      <c r="A12" s="73" t="s">
        <v>123</v>
      </c>
      <c r="B12" s="69"/>
      <c r="C12" s="69"/>
      <c r="D12" s="69"/>
      <c r="E12" s="105">
        <v>2491</v>
      </c>
      <c r="F12" s="71"/>
      <c r="G12" s="72"/>
      <c r="H12" s="98" t="s">
        <v>447</v>
      </c>
      <c r="I12" s="95"/>
    </row>
    <row r="13" spans="1:9">
      <c r="A13" s="73" t="s">
        <v>124</v>
      </c>
      <c r="B13" s="69"/>
      <c r="C13" s="69"/>
      <c r="D13" s="69"/>
      <c r="E13" s="105">
        <v>622</v>
      </c>
      <c r="F13" s="71"/>
      <c r="G13" s="72"/>
      <c r="H13" s="98" t="s">
        <v>448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3617</v>
      </c>
      <c r="F15" s="71"/>
      <c r="G15" s="72"/>
      <c r="H15" s="98" t="s">
        <v>435</v>
      </c>
      <c r="I15" s="95"/>
    </row>
    <row r="16" spans="1:9">
      <c r="A16" s="73" t="s">
        <v>128</v>
      </c>
      <c r="B16" s="69"/>
      <c r="C16" s="69"/>
      <c r="D16" s="69"/>
      <c r="E16" s="105">
        <v>570</v>
      </c>
      <c r="F16" s="71"/>
      <c r="G16" s="72"/>
      <c r="H16" s="98" t="s">
        <v>449</v>
      </c>
      <c r="I16" s="95"/>
    </row>
    <row r="17" spans="1:9">
      <c r="A17" s="73" t="s">
        <v>126</v>
      </c>
      <c r="B17" s="69"/>
      <c r="C17" s="69"/>
      <c r="D17" s="69"/>
      <c r="E17" s="105">
        <v>859</v>
      </c>
      <c r="F17" s="71"/>
      <c r="G17" s="72"/>
      <c r="H17" s="98" t="s">
        <v>450</v>
      </c>
      <c r="I17" s="95"/>
    </row>
    <row r="18" spans="1:9">
      <c r="A18" s="73" t="s">
        <v>125</v>
      </c>
      <c r="B18" s="69"/>
      <c r="C18" s="69"/>
      <c r="D18" s="69"/>
      <c r="E18" s="105">
        <v>531</v>
      </c>
      <c r="F18" s="71"/>
      <c r="G18" s="72"/>
      <c r="H18" s="98" t="s">
        <v>451</v>
      </c>
      <c r="I18" s="95"/>
    </row>
    <row r="19" spans="1:9">
      <c r="A19" s="73" t="s">
        <v>120</v>
      </c>
      <c r="B19" s="69"/>
      <c r="C19" s="69"/>
      <c r="D19" s="69"/>
      <c r="E19" s="105">
        <v>332</v>
      </c>
      <c r="F19" s="71"/>
      <c r="G19" s="72"/>
      <c r="H19" s="98" t="s">
        <v>452</v>
      </c>
      <c r="I19" s="95"/>
    </row>
    <row r="20" spans="1:9">
      <c r="A20" s="73" t="s">
        <v>121</v>
      </c>
      <c r="B20" s="69"/>
      <c r="C20" s="69"/>
      <c r="D20" s="69"/>
      <c r="E20" s="105">
        <v>254</v>
      </c>
      <c r="F20" s="71"/>
      <c r="G20" s="72"/>
      <c r="H20" s="98" t="s">
        <v>453</v>
      </c>
      <c r="I20" s="95"/>
    </row>
    <row r="21" spans="1:9">
      <c r="A21" s="75" t="s">
        <v>127</v>
      </c>
      <c r="B21" s="76"/>
      <c r="C21" s="76"/>
      <c r="D21" s="76"/>
      <c r="E21" s="107">
        <v>1072</v>
      </c>
      <c r="F21" s="78"/>
      <c r="G21" s="79"/>
      <c r="H21" s="100" t="s">
        <v>454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>
      <selection activeCell="K21" sqref="K21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3" zoomScale="85" zoomScaleNormal="85" workbookViewId="0">
      <selection activeCell="A3" sqref="A3:O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201504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385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386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439</v>
      </c>
      <c r="D6" t="s">
        <v>439</v>
      </c>
      <c r="E6" t="s">
        <v>439</v>
      </c>
      <c r="F6" t="s">
        <v>440</v>
      </c>
      <c r="G6" s="20" t="s">
        <v>441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428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429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431</v>
      </c>
      <c r="B83" s="13">
        <v>42063</v>
      </c>
      <c r="C83" s="14">
        <v>5079</v>
      </c>
      <c r="D83" s="14">
        <v>14093</v>
      </c>
      <c r="E83" s="23">
        <v>2133.8000000000002</v>
      </c>
      <c r="F83" s="14">
        <v>0</v>
      </c>
      <c r="G83" s="14">
        <v>0</v>
      </c>
      <c r="H83" s="14"/>
      <c r="I83" s="31">
        <f t="shared" si="4"/>
        <v>-1000</v>
      </c>
      <c r="J83" s="31">
        <f t="shared" si="5"/>
        <v>3000</v>
      </c>
      <c r="K83" s="35"/>
      <c r="L83" s="38">
        <f t="shared" si="6"/>
        <v>-2899.9999999996362</v>
      </c>
      <c r="M83" s="63">
        <f t="shared" si="7"/>
        <v>0</v>
      </c>
      <c r="N83" s="15"/>
      <c r="R83" s="14"/>
    </row>
    <row r="84" spans="1:18">
      <c r="A84" s="8" t="s">
        <v>442</v>
      </c>
      <c r="B84" s="13">
        <v>42094</v>
      </c>
      <c r="C84" s="14">
        <v>5075</v>
      </c>
      <c r="D84" s="14">
        <v>14096</v>
      </c>
      <c r="E84" s="23">
        <v>2132.4</v>
      </c>
      <c r="F84" s="14">
        <v>0</v>
      </c>
      <c r="G84" s="14">
        <v>0</v>
      </c>
      <c r="H84" s="14"/>
      <c r="I84" s="31">
        <f t="shared" si="4"/>
        <v>-1000</v>
      </c>
      <c r="J84" s="31">
        <f t="shared" si="5"/>
        <v>333.33333333333331</v>
      </c>
      <c r="K84" s="35"/>
      <c r="L84" s="38">
        <f t="shared" si="6"/>
        <v>-1400.0000000000909</v>
      </c>
      <c r="M84" s="63">
        <f t="shared" si="7"/>
        <v>-733.33333333327266</v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384</v>
      </c>
    </row>
    <row r="3" spans="1:13">
      <c r="A3" s="20" t="s">
        <v>397</v>
      </c>
      <c r="B3" s="26" t="s">
        <v>382</v>
      </c>
      <c r="C3" s="23" t="s">
        <v>396</v>
      </c>
      <c r="K3" s="20" t="s">
        <v>7</v>
      </c>
      <c r="L3" s="20"/>
      <c r="M3" s="20" t="s">
        <v>387</v>
      </c>
    </row>
    <row r="4" spans="1:13">
      <c r="A4" s="20" t="s">
        <v>7</v>
      </c>
      <c r="C4" s="23" t="s">
        <v>423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422</v>
      </c>
      <c r="D5" s="27"/>
      <c r="F5" s="27"/>
      <c r="H5" s="27"/>
      <c r="K5" s="19" t="s">
        <v>24</v>
      </c>
      <c r="L5" s="19"/>
      <c r="M5" s="19" t="s">
        <v>437</v>
      </c>
    </row>
    <row r="6" spans="1:13">
      <c r="A6" s="20" t="s">
        <v>17</v>
      </c>
      <c r="C6" s="23" t="s">
        <v>436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421</v>
      </c>
      <c r="K7" t="s">
        <v>354</v>
      </c>
      <c r="L7" s="108">
        <v>39904</v>
      </c>
      <c r="M7" s="14">
        <v>1</v>
      </c>
    </row>
    <row r="8" spans="1:13">
      <c r="A8" s="20" t="s">
        <v>398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399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400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401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402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403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404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405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406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407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408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409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410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411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412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413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414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415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416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417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418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419</v>
      </c>
      <c r="B29" s="26">
        <v>41730</v>
      </c>
      <c r="C29" s="23">
        <v>232.9</v>
      </c>
      <c r="D29" s="109">
        <f t="shared" si="0"/>
        <v>0</v>
      </c>
      <c r="K29" t="s">
        <v>392</v>
      </c>
      <c r="L29" s="108">
        <v>41913</v>
      </c>
      <c r="M29" s="14">
        <v>0</v>
      </c>
    </row>
    <row r="30" spans="1:13">
      <c r="A30" s="20" t="s">
        <v>420</v>
      </c>
      <c r="B30" s="26">
        <v>41821</v>
      </c>
      <c r="C30" s="23">
        <v>233.7</v>
      </c>
      <c r="D30" s="109">
        <f t="shared" si="0"/>
        <v>0</v>
      </c>
      <c r="K30" t="s">
        <v>444</v>
      </c>
      <c r="L30" s="108">
        <v>42005</v>
      </c>
      <c r="M30" s="14">
        <v>0</v>
      </c>
    </row>
    <row r="31" spans="1:13">
      <c r="A31" s="20" t="s">
        <v>430</v>
      </c>
      <c r="B31" s="26">
        <v>41913</v>
      </c>
      <c r="C31" s="23">
        <v>235.6</v>
      </c>
      <c r="D31" s="109">
        <f t="shared" si="0"/>
        <v>0</v>
      </c>
    </row>
    <row r="32" spans="1:13">
      <c r="A32" s="20" t="s">
        <v>445</v>
      </c>
      <c r="B32" s="26">
        <v>42005</v>
      </c>
      <c r="C32" s="23">
        <v>227.4</v>
      </c>
      <c r="D32" s="109">
        <f t="shared" si="0"/>
        <v>0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zoomScale="70" zoomScaleNormal="70" workbookViewId="0"/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384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387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432</v>
      </c>
      <c r="D5" t="s">
        <v>432</v>
      </c>
      <c r="E5" t="s">
        <v>432</v>
      </c>
      <c r="F5" t="s">
        <v>432</v>
      </c>
      <c r="H5" s="56" t="s">
        <v>152</v>
      </c>
      <c r="J5" s="19" t="s">
        <v>437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383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436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426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427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438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D47" sqref="D47"/>
    </sheetView>
  </sheetViews>
  <sheetFormatPr defaultRowHeight="15"/>
  <cols>
    <col min="1" max="2" width="9.140625" style="16"/>
    <col min="3" max="4" width="9.140625" style="116"/>
    <col min="5" max="6" width="9.140625" style="20"/>
  </cols>
  <sheetData>
    <row r="1" spans="1:16" s="19" customFormat="1">
      <c r="D1" s="115">
        <f ca="1">YEAR(TODAY())</f>
        <v>2015</v>
      </c>
      <c r="G1" s="19" t="s">
        <v>105</v>
      </c>
    </row>
    <row r="2" spans="1:16">
      <c r="C2" s="116" t="s">
        <v>107</v>
      </c>
      <c r="E2" s="20" t="s">
        <v>107</v>
      </c>
      <c r="G2" s="16" t="s">
        <v>106</v>
      </c>
      <c r="H2" s="16"/>
    </row>
    <row r="3" spans="1:16">
      <c r="C3" s="116" t="s">
        <v>108</v>
      </c>
      <c r="D3" s="116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382</v>
      </c>
      <c r="C4" s="117"/>
      <c r="D4" s="117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389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388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380</v>
      </c>
    </row>
    <row r="7" spans="1:16">
      <c r="A7" s="16" t="s">
        <v>24</v>
      </c>
      <c r="E7" s="20" t="s">
        <v>433</v>
      </c>
      <c r="F7" s="20" t="s">
        <v>433</v>
      </c>
      <c r="G7" t="s">
        <v>394</v>
      </c>
      <c r="H7" t="s">
        <v>394</v>
      </c>
      <c r="I7" t="s">
        <v>437</v>
      </c>
    </row>
    <row r="8" spans="1:16">
      <c r="A8" s="16" t="s">
        <v>28</v>
      </c>
      <c r="B8" s="43">
        <v>27395</v>
      </c>
      <c r="C8" s="118" t="e">
        <f ca="1">IF(YEAR($B8)&lt;$D$1-1, #N/A, E8)</f>
        <v>#N/A</v>
      </c>
      <c r="D8" s="118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8" t="e">
        <f t="shared" ref="C9:C57" ca="1" si="0">IF(YEAR($B9)&lt;$D$1-1, #N/A, E9)</f>
        <v>#N/A</v>
      </c>
      <c r="D9" s="118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8" t="e">
        <f t="shared" ca="1" si="0"/>
        <v>#N/A</v>
      </c>
      <c r="D10" s="118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8" t="e">
        <f t="shared" ca="1" si="0"/>
        <v>#N/A</v>
      </c>
      <c r="D11" s="118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8" t="e">
        <f t="shared" ca="1" si="0"/>
        <v>#N/A</v>
      </c>
      <c r="D12" s="118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8" t="e">
        <f t="shared" ca="1" si="0"/>
        <v>#N/A</v>
      </c>
      <c r="D13" s="118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8" t="e">
        <f t="shared" ca="1" si="0"/>
        <v>#N/A</v>
      </c>
      <c r="D14" s="118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8" t="e">
        <f t="shared" ca="1" si="0"/>
        <v>#N/A</v>
      </c>
      <c r="D15" s="118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8" t="e">
        <f t="shared" ca="1" si="0"/>
        <v>#N/A</v>
      </c>
      <c r="D16" s="118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8" t="e">
        <f t="shared" ca="1" si="0"/>
        <v>#N/A</v>
      </c>
      <c r="D17" s="118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8" t="e">
        <f t="shared" ca="1" si="0"/>
        <v>#N/A</v>
      </c>
      <c r="D18" s="118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8" t="e">
        <f t="shared" ca="1" si="0"/>
        <v>#N/A</v>
      </c>
      <c r="D19" s="118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8" t="e">
        <f t="shared" ca="1" si="0"/>
        <v>#N/A</v>
      </c>
      <c r="D20" s="118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8" t="e">
        <f t="shared" ca="1" si="0"/>
        <v>#N/A</v>
      </c>
      <c r="D21" s="118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8" t="e">
        <f t="shared" ca="1" si="0"/>
        <v>#N/A</v>
      </c>
      <c r="D22" s="118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8" t="e">
        <f t="shared" ca="1" si="0"/>
        <v>#N/A</v>
      </c>
      <c r="D23" s="118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8" t="e">
        <f t="shared" ca="1" si="0"/>
        <v>#N/A</v>
      </c>
      <c r="D24" s="118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8" t="e">
        <f t="shared" ca="1" si="0"/>
        <v>#N/A</v>
      </c>
      <c r="D25" s="118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8" t="e">
        <f t="shared" ca="1" si="0"/>
        <v>#N/A</v>
      </c>
      <c r="D26" s="118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8" t="e">
        <f t="shared" ca="1" si="0"/>
        <v>#N/A</v>
      </c>
      <c r="D27" s="118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8" t="e">
        <f t="shared" ca="1" si="0"/>
        <v>#N/A</v>
      </c>
      <c r="D28" s="118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8" t="e">
        <f t="shared" ca="1" si="0"/>
        <v>#N/A</v>
      </c>
      <c r="D29" s="118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8" t="e">
        <f t="shared" ca="1" si="0"/>
        <v>#N/A</v>
      </c>
      <c r="D30" s="118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8" t="e">
        <f t="shared" ca="1" si="0"/>
        <v>#N/A</v>
      </c>
      <c r="D31" s="118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8" t="e">
        <f t="shared" ca="1" si="0"/>
        <v>#N/A</v>
      </c>
      <c r="D32" s="118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8" t="e">
        <f t="shared" ca="1" si="0"/>
        <v>#N/A</v>
      </c>
      <c r="D33" s="118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8" t="e">
        <f t="shared" ca="1" si="0"/>
        <v>#N/A</v>
      </c>
      <c r="D34" s="118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8" t="e">
        <f t="shared" ca="1" si="0"/>
        <v>#N/A</v>
      </c>
      <c r="D35" s="118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8" t="e">
        <f t="shared" ca="1" si="0"/>
        <v>#N/A</v>
      </c>
      <c r="D36" s="118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8" t="e">
        <f t="shared" ca="1" si="0"/>
        <v>#N/A</v>
      </c>
      <c r="D37" s="118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8" t="e">
        <f t="shared" ca="1" si="0"/>
        <v>#N/A</v>
      </c>
      <c r="D38" s="118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8" t="e">
        <f t="shared" ca="1" si="0"/>
        <v>#N/A</v>
      </c>
      <c r="D39" s="118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8" t="e">
        <f t="shared" ca="1" si="0"/>
        <v>#N/A</v>
      </c>
      <c r="D40" s="118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8" t="e">
        <f t="shared" ca="1" si="0"/>
        <v>#N/A</v>
      </c>
      <c r="D41" s="118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8" t="e">
        <f t="shared" ca="1" si="0"/>
        <v>#N/A</v>
      </c>
      <c r="D42" s="118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8" t="e">
        <f t="shared" ca="1" si="0"/>
        <v>#N/A</v>
      </c>
      <c r="D43" s="118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8" t="e">
        <f t="shared" ca="1" si="0"/>
        <v>#N/A</v>
      </c>
      <c r="D44" s="118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8" t="e">
        <f t="shared" ca="1" si="0"/>
        <v>#N/A</v>
      </c>
      <c r="D45" s="118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8" t="e">
        <f t="shared" ca="1" si="0"/>
        <v>#N/A</v>
      </c>
      <c r="D46" s="118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8">
        <f t="shared" ca="1" si="0"/>
        <v>17.5</v>
      </c>
      <c r="D47" s="118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8">
        <f t="shared" ca="1" si="0"/>
        <v>17.7</v>
      </c>
      <c r="D48" s="118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8">
        <f t="shared" ca="1" si="0"/>
        <v>18.399999999999999</v>
      </c>
      <c r="D49" s="118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8">
        <f t="shared" ca="1" si="0"/>
        <v>18.3</v>
      </c>
      <c r="D50" s="118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8">
        <f t="shared" ca="1" si="0"/>
        <v>18.100000000000001</v>
      </c>
      <c r="D51" s="118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8">
        <f t="shared" ca="1" si="0"/>
        <v>18.100000000000001</v>
      </c>
      <c r="D52" s="118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8">
        <f t="shared" ca="1" si="0"/>
        <v>18.100000000000001</v>
      </c>
      <c r="D53" s="118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8">
        <f t="shared" ca="1" si="0"/>
        <v>18.100000000000001</v>
      </c>
      <c r="D54" s="118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8">
        <f t="shared" ca="1" si="0"/>
        <v>18.100000000000001</v>
      </c>
      <c r="D55" s="118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8">
        <f t="shared" ca="1" si="0"/>
        <v>18.2</v>
      </c>
      <c r="D56" s="118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8">
        <f t="shared" ca="1" si="0"/>
        <v>18.2</v>
      </c>
      <c r="D57" s="118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F7" sqref="F7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5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389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388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394</v>
      </c>
      <c r="D6" s="19" t="s">
        <v>455</v>
      </c>
      <c r="E6" s="20" t="s">
        <v>135</v>
      </c>
      <c r="F6" t="s">
        <v>136</v>
      </c>
      <c r="G6" t="s">
        <v>437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E6" sqref="E6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5">
        <f ca="1">YEAR(TODAY())</f>
        <v>2015</v>
      </c>
    </row>
    <row r="2" spans="1:7">
      <c r="A2" s="22" t="s">
        <v>276</v>
      </c>
      <c r="B2" s="22" t="s">
        <v>382</v>
      </c>
      <c r="C2" s="21" t="s">
        <v>118</v>
      </c>
      <c r="F2" s="111" t="s">
        <v>389</v>
      </c>
    </row>
    <row r="3" spans="1:7" ht="60">
      <c r="A3" s="20" t="s">
        <v>7</v>
      </c>
      <c r="C3" s="113" t="s">
        <v>119</v>
      </c>
      <c r="F3" t="s">
        <v>388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434</v>
      </c>
      <c r="D5" t="s">
        <v>137</v>
      </c>
      <c r="E5" t="s">
        <v>138</v>
      </c>
      <c r="F5" t="s">
        <v>437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</v>
      </c>
      <c r="D45" s="29">
        <f t="shared" si="0"/>
        <v>74</v>
      </c>
      <c r="E45" s="31">
        <f t="shared" ca="1" si="1"/>
        <v>74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</v>
      </c>
      <c r="D46" s="29" t="e">
        <f t="shared" si="0"/>
        <v>#N/A</v>
      </c>
      <c r="E46" s="31">
        <f t="shared" ca="1" si="1"/>
        <v>74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74</v>
      </c>
      <c r="D47" s="29" t="e">
        <f t="shared" si="0"/>
        <v>#N/A</v>
      </c>
      <c r="E47" s="31">
        <f t="shared" ca="1" si="1"/>
        <v>74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</v>
      </c>
      <c r="D48" s="29" t="e">
        <f t="shared" si="0"/>
        <v>#N/A</v>
      </c>
      <c r="E48" s="31">
        <f t="shared" ca="1" si="1"/>
        <v>73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</v>
      </c>
      <c r="D49" s="29" t="e">
        <f t="shared" si="0"/>
        <v>#N/A</v>
      </c>
      <c r="E49" s="31">
        <f t="shared" ca="1" si="1"/>
        <v>73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</v>
      </c>
      <c r="D50" s="29" t="e">
        <f t="shared" si="0"/>
        <v>#N/A</v>
      </c>
      <c r="E50" s="31">
        <f t="shared" ca="1" si="1"/>
        <v>73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</v>
      </c>
      <c r="D51" s="29" t="e">
        <f t="shared" si="0"/>
        <v>#N/A</v>
      </c>
      <c r="E51" s="31">
        <f t="shared" ca="1" si="1"/>
        <v>74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75</v>
      </c>
      <c r="D53" s="29" t="e">
        <f t="shared" si="0"/>
        <v>#N/A</v>
      </c>
      <c r="E53" s="31">
        <f t="shared" ca="1" si="1"/>
        <v>75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</v>
      </c>
      <c r="D54" s="29" t="e">
        <f t="shared" si="0"/>
        <v>#N/A</v>
      </c>
      <c r="E54" s="31">
        <f t="shared" ca="1" si="1"/>
        <v>76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</v>
      </c>
      <c r="D55" s="29" t="e">
        <f t="shared" si="0"/>
        <v>#N/A</v>
      </c>
      <c r="E55" s="31">
        <f t="shared" ca="1" si="1"/>
        <v>76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C47" sqref="C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389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388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395</v>
      </c>
      <c r="I3" s="7" t="s">
        <v>395</v>
      </c>
      <c r="M3" s="2" t="s">
        <v>390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443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394</v>
      </c>
      <c r="I6" s="7" t="s">
        <v>394</v>
      </c>
      <c r="M6" s="2" t="s">
        <v>437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114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114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114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114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114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114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114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114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114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114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114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114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114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114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114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114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114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114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114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114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114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114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9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-1000</v>
      </c>
      <c r="C76" s="22" t="str">
        <f>IF(ISNUMBER('Change in Employment'!J83),TEXT('Change in Employment'!J83, "0"),"")</f>
        <v>3000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-1000</v>
      </c>
      <c r="C77" s="22" t="str">
        <f>IF(ISNUMBER('Change in Employment'!J84),TEXT('Change in Employment'!J84, "0"),"")</f>
        <v>333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1" workbookViewId="0">
      <selection activeCell="A71" sqref="A71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-2899.9999999996362</v>
      </c>
      <c r="C76" s="20" t="str">
        <f>IFERROR(IF(ISNUMBER('Change in Employment'!M83),TEXT('Change in Employment'!M83, "0"), ""), "")</f>
        <v>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-1400.0000000000909</v>
      </c>
      <c r="C77" s="20" t="str">
        <f>IFERROR(IF(ISNUMBER('Change in Employment'!M84),TEXT('Change in Employment'!M84, "0"), ""), "")</f>
        <v>-733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227.4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1" workbookViewId="0">
      <selection activeCell="C41" sqref="C41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74.00</v>
      </c>
      <c r="C41" s="20" t="str">
        <f ca="1">IFERROR(IF(ISNUMBER('Debt to GDP Ratio'!E45),TEXT('Debt to GDP Ratio'!E45,"0.00"), ""), "")</f>
        <v>74.00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74.00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73.00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73.00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74.00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75.00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76.00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76.00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09D16D5-BE21-4FFD-AF38-D2B851F8DC86}"/>
</file>

<file path=customXml/itemProps2.xml><?xml version="1.0" encoding="utf-8"?>
<ds:datastoreItem xmlns:ds="http://schemas.openxmlformats.org/officeDocument/2006/customXml" ds:itemID="{DCD7F023-248E-4005-B5C9-5EB913630109}"/>
</file>

<file path=customXml/itemProps3.xml><?xml version="1.0" encoding="utf-8"?>
<ds:datastoreItem xmlns:ds="http://schemas.openxmlformats.org/officeDocument/2006/customXml" ds:itemID="{0ED60E13-AF3C-4EFD-A0DE-0B22075367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2015-04-29T15:06:19Z</cp:lastPrinted>
  <dcterms:created xsi:type="dcterms:W3CDTF">2014-07-22T13:55:17Z</dcterms:created>
  <dcterms:modified xsi:type="dcterms:W3CDTF">2015-04-29T15:08:56Z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