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7.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6.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7.xml" ContentType="application/vnd.openxmlformats-officedocument.spreadsheetml.worksheet+xml"/>
  <Override PartName="/xl/charts/colors3.xml" ContentType="application/vnd.ms-office.chartcolorstyle+xml"/>
  <Override PartName="/xl/charts/style3.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6.xml" ContentType="application/vnd.openxmlformats-officedocument.drawing+xml"/>
  <Override PartName="/xl/charts/chart7.xml" ContentType="application/vnd.openxmlformats-officedocument.drawingml.chart+xml"/>
  <Override PartName="/xl/charts/colors2.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chart3.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style2.xml" ContentType="application/vnd.ms-office.chartstyle+xml"/>
  <Override PartName="/xl/charts/chart6.xml" ContentType="application/vnd.openxmlformats-officedocument.drawingml.chart+xml"/>
  <Override PartName="/xl/drawings/drawing1.xml" ContentType="application/vnd.openxmlformats-officedocument.drawing+xml"/>
  <Override PartName="/xl/theme/theme1.xml" ContentType="application/vnd.openxmlformats-officedocument.theme+xml"/>
  <Override PartName="/xl/sharedStrings.xml" ContentType="application/vnd.openxmlformats-officedocument.spreadsheetml.sharedStrings+xml"/>
  <Override PartName="/xl/charts/colors1.xml" ContentType="application/vnd.ms-office.chartcolorstyle+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10-27-2017\"/>
    </mc:Choice>
  </mc:AlternateContent>
  <bookViews>
    <workbookView xWindow="0" yWindow="0" windowWidth="19200" windowHeight="11460" firstSheet="4" activeTab="6"/>
  </bookViews>
  <sheets>
    <sheet name="MASTER" sheetId="1" r:id="rId1"/>
    <sheet name="HaverPull" sheetId="2" r:id="rId2"/>
    <sheet name="Calculations" sheetId="5" r:id="rId3"/>
    <sheet name="fiscal_impact" sheetId="19" r:id="rId4"/>
    <sheet name="fiscal_ifinal" sheetId="20" r:id="rId5"/>
    <sheet name="additional info" sheetId="21" r:id="rId6"/>
    <sheet name="methodology chart" sheetId="22" r:id="rId7"/>
  </sheets>
  <externalReferences>
    <externalReference r:id="rId8"/>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H2" i="20" l="1"/>
  <c r="H72" i="20"/>
  <c r="H71" i="20"/>
  <c r="H70" i="20"/>
  <c r="H69" i="20"/>
  <c r="H68" i="20"/>
  <c r="H67" i="20"/>
  <c r="H66" i="20"/>
  <c r="H65" i="20"/>
  <c r="H64" i="20"/>
  <c r="H63" i="20"/>
  <c r="H62" i="20"/>
  <c r="H61" i="20"/>
  <c r="H60" i="20"/>
  <c r="H59" i="20"/>
  <c r="H58" i="20"/>
  <c r="H57" i="20"/>
  <c r="H56" i="20"/>
  <c r="H55" i="20"/>
  <c r="H54" i="20"/>
  <c r="H53" i="20"/>
  <c r="H52" i="20"/>
  <c r="H51" i="20"/>
  <c r="H50" i="20"/>
  <c r="H49" i="20"/>
  <c r="H48" i="20"/>
  <c r="H47" i="20"/>
  <c r="H46" i="20"/>
  <c r="H45" i="20"/>
  <c r="H44" i="20"/>
  <c r="H43" i="20"/>
  <c r="H42" i="20"/>
  <c r="H41" i="20"/>
  <c r="H40" i="20"/>
  <c r="H39" i="20"/>
  <c r="H38" i="20"/>
  <c r="H37" i="20"/>
  <c r="H36" i="20"/>
  <c r="H35" i="20"/>
  <c r="H34" i="20"/>
  <c r="H33"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E72" i="20" l="1"/>
  <c r="F72" i="20"/>
  <c r="A72" i="20"/>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T82" i="21" s="1"/>
  <c r="S81" i="21"/>
  <c r="S82" i="21"/>
  <c r="S83" i="21"/>
  <c r="S84" i="21"/>
  <c r="S85" i="21"/>
  <c r="S86" i="21"/>
  <c r="S87" i="21"/>
  <c r="T89" i="21" s="1"/>
  <c r="S88" i="21"/>
  <c r="S89" i="21"/>
  <c r="S90" i="2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T122" i="21" s="1"/>
  <c r="S121"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R123" i="21" s="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C72" i="20" s="1"/>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G62" i="5" s="1"/>
  <c r="EH26" i="5"/>
  <c r="EI26" i="5"/>
  <c r="EJ26" i="5"/>
  <c r="EK26" i="5"/>
  <c r="EL26" i="5"/>
  <c r="EM26" i="5"/>
  <c r="EN26" i="5"/>
  <c r="EO26" i="5"/>
  <c r="EP26" i="5"/>
  <c r="EQ26" i="5"/>
  <c r="ER26" i="5"/>
  <c r="ES26" i="5"/>
  <c r="ET26" i="5"/>
  <c r="EU26" i="5"/>
  <c r="EV26" i="5"/>
  <c r="EW26" i="5"/>
  <c r="EX26" i="5"/>
  <c r="EY26" i="5"/>
  <c r="EZ26" i="5"/>
  <c r="FA26" i="5"/>
  <c r="FB26" i="5"/>
  <c r="FC26" i="5"/>
  <c r="FD26" i="5"/>
  <c r="FE26" i="5"/>
  <c r="FE62" i="5" s="1"/>
  <c r="FF26" i="5"/>
  <c r="FG26" i="5"/>
  <c r="FH26" i="5"/>
  <c r="FI26" i="5"/>
  <c r="FJ26" i="5"/>
  <c r="FK26" i="5"/>
  <c r="FL26" i="5"/>
  <c r="FM26" i="5"/>
  <c r="FN26" i="5"/>
  <c r="FO26" i="5"/>
  <c r="FP26" i="5"/>
  <c r="FQ26" i="5"/>
  <c r="FR26" i="5"/>
  <c r="FS26" i="5"/>
  <c r="FT26" i="5"/>
  <c r="FU26" i="5"/>
  <c r="FV26" i="5"/>
  <c r="FW26" i="5"/>
  <c r="FX26" i="5"/>
  <c r="C67" i="5"/>
  <c r="D67" i="5"/>
  <c r="E67" i="5"/>
  <c r="E68" i="5"/>
  <c r="E69" i="5" s="1"/>
  <c r="D68" i="5"/>
  <c r="C68" i="5"/>
  <c r="DR26" i="5"/>
  <c r="DQ26" i="5"/>
  <c r="DP26" i="5"/>
  <c r="DO26" i="5"/>
  <c r="DO62" i="5" s="1"/>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U62" i="5" s="1"/>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Z54" i="5" s="1"/>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CO28" i="5"/>
  <c r="T28" i="5"/>
  <c r="E28" i="5"/>
  <c r="H41" i="5"/>
  <c r="D38" i="5"/>
  <c r="GS40" i="5"/>
  <c r="C38" i="5"/>
  <c r="C41" i="5"/>
  <c r="I40" i="5"/>
  <c r="D41" i="5"/>
  <c r="D40" i="5"/>
  <c r="H40" i="5"/>
  <c r="F40" i="5"/>
  <c r="C40" i="5"/>
  <c r="I41" i="5"/>
  <c r="GO38" i="5"/>
  <c r="E39" i="5"/>
  <c r="F41" i="5"/>
  <c r="GU40" i="5"/>
  <c r="L41" i="5"/>
  <c r="M41" i="5"/>
  <c r="D39" i="5"/>
  <c r="E41" i="5"/>
  <c r="GV40" i="5"/>
  <c r="GU38" i="5"/>
  <c r="G40" i="5"/>
  <c r="K41" i="5"/>
  <c r="GT38" i="5"/>
  <c r="E38" i="5"/>
  <c r="GV38" i="5"/>
  <c r="G41" i="5"/>
  <c r="C39" i="5"/>
  <c r="E40" i="5"/>
  <c r="J41" i="5"/>
  <c r="GT40" i="5"/>
  <c r="BX29" i="5" l="1"/>
  <c r="U54" i="5"/>
  <c r="DF54" i="5"/>
  <c r="CR62" i="5"/>
  <c r="T123" i="21"/>
  <c r="T36" i="21"/>
  <c r="ER54" i="5"/>
  <c r="BQ28" i="5"/>
  <c r="U29" i="5"/>
  <c r="DB29" i="5"/>
  <c r="DE29" i="5"/>
  <c r="M28" i="5"/>
  <c r="Y54" i="5"/>
  <c r="BE54" i="5"/>
  <c r="CK54" i="5"/>
  <c r="CS54" i="5"/>
  <c r="CS64" i="5" s="1"/>
  <c r="DI54" i="5"/>
  <c r="FM54" i="5"/>
  <c r="R124" i="21"/>
  <c r="BU29" i="5"/>
  <c r="FW62" i="5"/>
  <c r="FO62" i="5"/>
  <c r="FG62" i="5"/>
  <c r="EY62" i="5"/>
  <c r="EZ63" i="5" s="1"/>
  <c r="EQ62" i="5"/>
  <c r="EA62" i="5"/>
  <c r="DS62" i="5"/>
  <c r="GG62" i="5"/>
  <c r="T90" i="21"/>
  <c r="FJ28" i="5"/>
  <c r="GK34" i="5"/>
  <c r="I54" i="5"/>
  <c r="DU28" i="5"/>
  <c r="EP53" i="5"/>
  <c r="GK32" i="5"/>
  <c r="EK28" i="5"/>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EJ54" i="5"/>
  <c r="EQ54" i="5"/>
  <c r="EZ54" i="5"/>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I64" i="5" s="1"/>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K64" i="5" s="1"/>
  <c r="CZ62" i="5"/>
  <c r="D53" i="5"/>
  <c r="D63" i="5" s="1"/>
  <c r="L53" i="5"/>
  <c r="T53" i="5"/>
  <c r="AB53" i="5"/>
  <c r="AJ53" i="5"/>
  <c r="AR53" i="5"/>
  <c r="AZ53" i="5"/>
  <c r="BH53" i="5"/>
  <c r="BP53" i="5"/>
  <c r="BX53" i="5"/>
  <c r="CF53" i="5"/>
  <c r="CN53" i="5"/>
  <c r="CV53" i="5"/>
  <c r="DD53" i="5"/>
  <c r="DL53" i="5"/>
  <c r="DL63" i="5" s="1"/>
  <c r="DT53" i="5"/>
  <c r="EJ53" i="5"/>
  <c r="ER53" i="5"/>
  <c r="ER63" i="5" s="1"/>
  <c r="EZ53" i="5"/>
  <c r="FH53" i="5"/>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R64" i="5" s="1"/>
  <c r="FA62" i="5"/>
  <c r="EH28" i="5"/>
  <c r="AT28" i="5"/>
  <c r="G54" i="5"/>
  <c r="O54" i="5"/>
  <c r="O64" i="5" s="1"/>
  <c r="W54" i="5"/>
  <c r="AE54" i="5"/>
  <c r="AE64" i="5" s="1"/>
  <c r="AM54" i="5"/>
  <c r="AU54" i="5"/>
  <c r="BC54" i="5"/>
  <c r="BK54" i="5"/>
  <c r="BS54" i="5"/>
  <c r="CA54" i="5"/>
  <c r="CI54" i="5"/>
  <c r="CQ54" i="5"/>
  <c r="CY54" i="5"/>
  <c r="DG54" i="5"/>
  <c r="DO54" i="5"/>
  <c r="DW54" i="5"/>
  <c r="DW64" i="5" s="1"/>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O53" i="5"/>
  <c r="O63" i="5" s="1"/>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C39" i="20"/>
  <c r="CC34" i="5"/>
  <c r="AK62" i="5"/>
  <c r="BQ62" i="5"/>
  <c r="BR64" i="5" s="1"/>
  <c r="BE28" i="5"/>
  <c r="CS28" i="5"/>
  <c r="F54" i="5"/>
  <c r="N54" i="5"/>
  <c r="V54" i="5"/>
  <c r="AL54" i="5"/>
  <c r="BB54" i="5"/>
  <c r="CP54" i="5"/>
  <c r="CX54" i="5"/>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U62" i="5"/>
  <c r="CK62" i="5"/>
  <c r="DA62" i="5"/>
  <c r="DI62" i="5"/>
  <c r="DQ62" i="5"/>
  <c r="EZ62" i="5"/>
  <c r="FA64" i="5" s="1"/>
  <c r="ER62" i="5"/>
  <c r="EB62" i="5"/>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S54" i="5"/>
  <c r="FH54" i="5"/>
  <c r="FP54" i="5"/>
  <c r="FX54" i="5"/>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CH62" i="5"/>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FI64" i="5" s="1"/>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FM6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O53" i="5"/>
  <c r="BE53" i="5"/>
  <c r="BD53" i="5"/>
  <c r="CZ53" i="5"/>
  <c r="DA53" i="5"/>
  <c r="C49" i="20"/>
  <c r="FN29" i="5"/>
  <c r="DD32" i="5"/>
  <c r="D33" i="5"/>
  <c r="AE32" i="5"/>
  <c r="AB33" i="5"/>
  <c r="BR33" i="5"/>
  <c r="BK32" i="5"/>
  <c r="AT33" i="5"/>
  <c r="P53" i="5"/>
  <c r="BM54" i="5"/>
  <c r="BD54" i="5"/>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CW53" i="5"/>
  <c r="CX53" i="5"/>
  <c r="AW54" i="5"/>
  <c r="BE50"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T45" i="5"/>
  <c r="GT46" i="5" s="1"/>
  <c r="GT47" i="5" s="1"/>
  <c r="GU45" i="5"/>
  <c r="GU46" i="5" s="1"/>
  <c r="GU47" i="5" s="1"/>
  <c r="GN38" i="5"/>
  <c r="O39" i="5"/>
  <c r="CE39" i="5"/>
  <c r="AK41" i="5"/>
  <c r="DK40" i="5"/>
  <c r="CQ38" i="5"/>
  <c r="EM40" i="5"/>
  <c r="DD41" i="5"/>
  <c r="EB38" i="5"/>
  <c r="ES39" i="5"/>
  <c r="L38" i="5"/>
  <c r="GH38" i="5"/>
  <c r="EZ40" i="5"/>
  <c r="EN39" i="5"/>
  <c r="AH38" i="5"/>
  <c r="AF38" i="5"/>
  <c r="K40" i="5"/>
  <c r="GQ40" i="5"/>
  <c r="AW39" i="5"/>
  <c r="CO39" i="5"/>
  <c r="GD40" i="5"/>
  <c r="DS41" i="5"/>
  <c r="BU40" i="5"/>
  <c r="FT39" i="5"/>
  <c r="GM38" i="5"/>
  <c r="CM40" i="5"/>
  <c r="AW40" i="5"/>
  <c r="EX38" i="5"/>
  <c r="AH39" i="5"/>
  <c r="BJ40" i="5"/>
  <c r="DX40" i="5"/>
  <c r="GA41" i="5"/>
  <c r="AR39" i="5"/>
  <c r="CR39" i="5"/>
  <c r="DI41" i="5"/>
  <c r="DA38" i="5"/>
  <c r="K39" i="5"/>
  <c r="DD39" i="5"/>
  <c r="ES40" i="5"/>
  <c r="AP39" i="5"/>
  <c r="BK38" i="5"/>
  <c r="J39" i="5"/>
  <c r="CZ41" i="5"/>
  <c r="DE40" i="5"/>
  <c r="CK38" i="5"/>
  <c r="DF41" i="5"/>
  <c r="DI38" i="5"/>
  <c r="FA40" i="5"/>
  <c r="GF38" i="5"/>
  <c r="CZ39" i="5"/>
  <c r="BW39" i="5"/>
  <c r="FZ39" i="5"/>
  <c r="DO39" i="5"/>
  <c r="EP38" i="5"/>
  <c r="BD40" i="5"/>
  <c r="AP41" i="5"/>
  <c r="AA41" i="5"/>
  <c r="AF40" i="5"/>
  <c r="BR41" i="5"/>
  <c r="GV39" i="5"/>
  <c r="CJ40" i="5"/>
  <c r="T39" i="5"/>
  <c r="Y40" i="5"/>
  <c r="V38" i="5"/>
  <c r="BX39" i="5"/>
  <c r="DZ38" i="5"/>
  <c r="ET38" i="5"/>
  <c r="CJ39" i="5"/>
  <c r="BC41" i="5"/>
  <c r="CD41" i="5"/>
  <c r="CW38" i="5"/>
  <c r="CF38" i="5"/>
  <c r="DE38" i="5"/>
  <c r="FG40" i="5"/>
  <c r="M39" i="5"/>
  <c r="DU41" i="5"/>
  <c r="F39" i="5"/>
  <c r="BH39" i="5"/>
  <c r="AY41" i="5"/>
  <c r="CK40" i="5"/>
  <c r="FV40" i="5"/>
  <c r="CS38" i="5"/>
  <c r="GL38" i="5"/>
  <c r="Q38" i="5"/>
  <c r="ES41" i="5"/>
  <c r="BP38" i="5"/>
  <c r="AB39" i="5"/>
  <c r="AT39" i="5"/>
  <c r="FP39" i="5"/>
  <c r="AD38" i="5"/>
  <c r="BC38" i="5"/>
  <c r="BH41" i="5"/>
  <c r="FU38" i="5"/>
  <c r="CA41" i="5"/>
  <c r="CL41" i="5"/>
  <c r="EB40" i="5"/>
  <c r="GK39" i="5"/>
  <c r="AR40" i="5"/>
  <c r="EL39" i="5"/>
  <c r="DA39" i="5"/>
  <c r="DP39" i="5"/>
  <c r="EF40" i="5"/>
  <c r="FN40" i="5"/>
  <c r="EI39" i="5"/>
  <c r="EY38" i="5"/>
  <c r="EZ41" i="5"/>
  <c r="BE41" i="5"/>
  <c r="BI41" i="5"/>
  <c r="BF38" i="5"/>
  <c r="AS41" i="5"/>
  <c r="GJ39" i="5"/>
  <c r="DI39" i="5"/>
  <c r="GB39" i="5"/>
  <c r="FX38" i="5"/>
  <c r="AF39" i="5"/>
  <c r="EO39" i="5"/>
  <c r="EH41" i="5"/>
  <c r="BA38" i="5"/>
  <c r="AM41" i="5"/>
  <c r="GJ41" i="5"/>
  <c r="AC39" i="5"/>
  <c r="AI39" i="5"/>
  <c r="AZ39" i="5"/>
  <c r="BA41" i="5"/>
  <c r="EC38" i="5"/>
  <c r="BZ38" i="5"/>
  <c r="BK41" i="5"/>
  <c r="FF41" i="5"/>
  <c r="EH39" i="5"/>
  <c r="BZ39" i="5"/>
  <c r="EM41" i="5"/>
  <c r="CU41" i="5"/>
  <c r="AT40" i="5"/>
  <c r="DU39" i="5"/>
  <c r="FX39" i="5"/>
  <c r="AE39" i="5"/>
  <c r="GH40" i="5"/>
  <c r="BN38" i="5"/>
  <c r="X38" i="5"/>
  <c r="GE40" i="5"/>
  <c r="AV41" i="5"/>
  <c r="DY40" i="5"/>
  <c r="DC40" i="5"/>
  <c r="BS41" i="5"/>
  <c r="GA40" i="5"/>
  <c r="CM39" i="5"/>
  <c r="BA39" i="5"/>
  <c r="DM38" i="5"/>
  <c r="CB41" i="5"/>
  <c r="CV41" i="5"/>
  <c r="BG38" i="5"/>
  <c r="AU38" i="5"/>
  <c r="FR39" i="5"/>
  <c r="CL38" i="5"/>
  <c r="EO40" i="5"/>
  <c r="FQ38" i="5"/>
  <c r="CX39" i="5"/>
  <c r="AM40" i="5"/>
  <c r="BX38" i="5"/>
  <c r="V41" i="5"/>
  <c r="GO41" i="5"/>
  <c r="BH40" i="5"/>
  <c r="DX41" i="5"/>
  <c r="FN38" i="5"/>
  <c r="FT38" i="5"/>
  <c r="DT40" i="5"/>
  <c r="DV38" i="5"/>
  <c r="GN39" i="5"/>
  <c r="FO41" i="5"/>
  <c r="FG41" i="5"/>
  <c r="EX41" i="5"/>
  <c r="EQ38" i="5"/>
  <c r="AS38" i="5"/>
  <c r="CG40" i="5"/>
  <c r="BI39" i="5"/>
  <c r="EC40" i="5"/>
  <c r="FA41" i="5"/>
  <c r="N40" i="5"/>
  <c r="GC39" i="5"/>
  <c r="EU39" i="5"/>
  <c r="BP39" i="5"/>
  <c r="FX41" i="5"/>
  <c r="FZ38" i="5"/>
  <c r="BL38" i="5"/>
  <c r="DK41" i="5"/>
  <c r="CU40" i="5"/>
  <c r="AC38" i="5"/>
  <c r="AG40" i="5"/>
  <c r="BC39" i="5"/>
  <c r="FL38" i="5"/>
  <c r="FZ40" i="5"/>
  <c r="EE41" i="5"/>
  <c r="GH39" i="5"/>
  <c r="DR41" i="5"/>
  <c r="T38" i="5"/>
  <c r="X41" i="5"/>
  <c r="GM41" i="5"/>
  <c r="DO40" i="5"/>
  <c r="EW40" i="5"/>
  <c r="EI41" i="5"/>
  <c r="FK39" i="5"/>
  <c r="EQ39" i="5"/>
  <c r="FD38" i="5"/>
  <c r="BW41" i="5"/>
  <c r="GK38" i="5"/>
  <c r="BO41" i="5"/>
  <c r="ET39" i="5"/>
  <c r="N38" i="5"/>
  <c r="GE39" i="5"/>
  <c r="CX41" i="5"/>
  <c r="AN39" i="5"/>
  <c r="BZ41" i="5"/>
  <c r="CW39" i="5"/>
  <c r="AP38" i="5"/>
  <c r="CM41" i="5"/>
  <c r="GD39" i="5"/>
  <c r="FG39" i="5"/>
  <c r="FP40" i="5"/>
  <c r="CN39" i="5"/>
  <c r="DV39" i="5"/>
  <c r="GV41" i="5"/>
  <c r="EV41" i="5"/>
  <c r="FG38" i="5"/>
  <c r="CH40" i="5"/>
  <c r="U38" i="5"/>
  <c r="GC41" i="5"/>
  <c r="CV39" i="5"/>
  <c r="BW38" i="5"/>
  <c r="EI40" i="5"/>
  <c r="J40" i="5"/>
  <c r="GH41" i="5"/>
  <c r="EA40" i="5"/>
  <c r="DV40" i="5"/>
  <c r="FC39" i="5"/>
  <c r="FO40" i="5"/>
  <c r="AV38" i="5"/>
  <c r="GI41" i="5"/>
  <c r="EO41" i="5"/>
  <c r="AM39" i="5"/>
  <c r="BY40" i="5"/>
  <c r="BY38" i="5"/>
  <c r="GU39" i="5"/>
  <c r="AL38" i="5"/>
  <c r="FB39" i="5"/>
  <c r="CK39" i="5"/>
  <c r="CT39" i="5"/>
  <c r="DW39" i="5"/>
  <c r="W41" i="5"/>
  <c r="BU41" i="5"/>
  <c r="DM39" i="5"/>
  <c r="CX40" i="5"/>
  <c r="S39" i="5"/>
  <c r="GP40" i="5"/>
  <c r="Q40" i="5"/>
  <c r="EV39" i="5"/>
  <c r="DC38" i="5"/>
  <c r="AK40" i="5"/>
  <c r="CQ40" i="5"/>
  <c r="EB41" i="5"/>
  <c r="FV38" i="5"/>
  <c r="FQ40" i="5"/>
  <c r="FB38" i="5"/>
  <c r="GE41" i="5"/>
  <c r="DE39" i="5"/>
  <c r="BD39" i="5"/>
  <c r="DB40" i="5"/>
  <c r="BI40" i="5"/>
  <c r="CD39" i="5"/>
  <c r="DV41" i="5"/>
  <c r="CQ41" i="5"/>
  <c r="V40" i="5"/>
  <c r="Y39" i="5"/>
  <c r="DA40" i="5"/>
  <c r="GQ39" i="5"/>
  <c r="CE41" i="5"/>
  <c r="DH40" i="5"/>
  <c r="FH38" i="5"/>
  <c r="GP38" i="5"/>
  <c r="GQ41" i="5"/>
  <c r="GE38" i="5"/>
  <c r="BB38" i="5"/>
  <c r="W40" i="5"/>
  <c r="FT41" i="5"/>
  <c r="CN38" i="5"/>
  <c r="CY40" i="5"/>
  <c r="GC40" i="5"/>
  <c r="AS40" i="5"/>
  <c r="DS39" i="5"/>
  <c r="AY40" i="5"/>
  <c r="GK40" i="5"/>
  <c r="AD40" i="5"/>
  <c r="GB38" i="5"/>
  <c r="GT41" i="5"/>
  <c r="GF39" i="5"/>
  <c r="FE40" i="5"/>
  <c r="EG39" i="5"/>
  <c r="M40" i="5"/>
  <c r="FT40" i="5"/>
  <c r="AU41" i="5"/>
  <c r="CV38" i="5"/>
  <c r="GM40" i="5"/>
  <c r="Y41" i="5"/>
  <c r="BS38" i="5"/>
  <c r="EJ39" i="5"/>
  <c r="T41" i="5"/>
  <c r="DU38" i="5"/>
  <c r="AN41" i="5"/>
  <c r="FL39" i="5"/>
  <c r="AK39" i="5"/>
  <c r="GS39" i="5"/>
  <c r="GB40" i="5"/>
  <c r="Z41" i="5"/>
  <c r="CD38" i="5"/>
  <c r="BF41" i="5"/>
  <c r="FS41" i="5"/>
  <c r="EL41" i="5"/>
  <c r="CQ39" i="5"/>
  <c r="DZ39" i="5"/>
  <c r="CP40" i="5"/>
  <c r="AT38" i="5"/>
  <c r="EG38" i="5"/>
  <c r="BJ39" i="5"/>
  <c r="FJ40" i="5"/>
  <c r="O38" i="5"/>
  <c r="FE39" i="5"/>
  <c r="AG39" i="5"/>
  <c r="FM38" i="5"/>
  <c r="CL39" i="5"/>
  <c r="FR41" i="5"/>
  <c r="CY38" i="5"/>
  <c r="AX40" i="5"/>
  <c r="FJ41" i="5"/>
  <c r="GO39" i="5"/>
  <c r="FZ41" i="5"/>
  <c r="AI38" i="5"/>
  <c r="BH38" i="5"/>
  <c r="BO38" i="5"/>
  <c r="GI39" i="5"/>
  <c r="BX41" i="5"/>
  <c r="DS40" i="5"/>
  <c r="GG39" i="5"/>
  <c r="AJ40" i="5"/>
  <c r="DP40" i="5"/>
  <c r="N39" i="5"/>
  <c r="BX40" i="5"/>
  <c r="BB39" i="5"/>
  <c r="FP38" i="5"/>
  <c r="AI41" i="5"/>
  <c r="BO40" i="5"/>
  <c r="GG38" i="5"/>
  <c r="BZ40" i="5"/>
  <c r="DZ40" i="5"/>
  <c r="GI38" i="5"/>
  <c r="CH41" i="5"/>
  <c r="DJ39" i="5"/>
  <c r="Q41" i="5"/>
  <c r="DG39" i="5"/>
  <c r="FX40" i="5"/>
  <c r="CI38" i="5"/>
  <c r="EV40" i="5"/>
  <c r="FY41" i="5"/>
  <c r="AZ40" i="5"/>
  <c r="Z40" i="5"/>
  <c r="AS39" i="5"/>
  <c r="AL40" i="5"/>
  <c r="EM39" i="5"/>
  <c r="AO41" i="5"/>
  <c r="EA41" i="5"/>
  <c r="BP41" i="5"/>
  <c r="BM39" i="5"/>
  <c r="AO40" i="5"/>
  <c r="EJ41" i="5"/>
  <c r="CP38" i="5"/>
  <c r="DP38" i="5"/>
  <c r="ED40" i="5"/>
  <c r="BB41" i="5"/>
  <c r="I39" i="5"/>
  <c r="ES38" i="5"/>
  <c r="CG41" i="5"/>
  <c r="GJ38" i="5"/>
  <c r="AL41" i="5"/>
  <c r="S38" i="5"/>
  <c r="FA38" i="5"/>
  <c r="Z39" i="5"/>
  <c r="S40" i="5"/>
  <c r="DY39" i="5"/>
  <c r="H39" i="5"/>
  <c r="DD40" i="5"/>
  <c r="DW41" i="5"/>
  <c r="ER39" i="5"/>
  <c r="FW41" i="5"/>
  <c r="AB38" i="5"/>
  <c r="EE40" i="5"/>
  <c r="FS38" i="5"/>
  <c r="CH39" i="5"/>
  <c r="EK39" i="5"/>
  <c r="AJ39" i="5"/>
  <c r="FW38" i="5"/>
  <c r="T40" i="5"/>
  <c r="AI40" i="5"/>
  <c r="BN39" i="5"/>
  <c r="FD41" i="5"/>
  <c r="CT38" i="5"/>
  <c r="F38" i="5"/>
  <c r="AW38" i="5"/>
  <c r="EA39" i="5"/>
  <c r="DS38" i="5"/>
  <c r="FJ39" i="5"/>
  <c r="GJ40" i="5"/>
  <c r="AX39" i="5"/>
  <c r="FK41" i="5"/>
  <c r="BR40" i="5"/>
  <c r="DT39" i="5"/>
  <c r="CV40" i="5"/>
  <c r="EX39" i="5"/>
  <c r="CT40" i="5"/>
  <c r="DB38" i="5"/>
  <c r="CF41" i="5"/>
  <c r="FK40" i="5"/>
  <c r="EA38" i="5"/>
  <c r="BT39" i="5"/>
  <c r="DB39" i="5"/>
  <c r="R39" i="5"/>
  <c r="EH40" i="5"/>
  <c r="DN41" i="5"/>
  <c r="J38" i="5"/>
  <c r="FQ41" i="5"/>
  <c r="FF40" i="5"/>
  <c r="DN39" i="5"/>
  <c r="CR38" i="5"/>
  <c r="AB40" i="5"/>
  <c r="AE38" i="5"/>
  <c r="BT38" i="5"/>
  <c r="GB41" i="5"/>
  <c r="DR38" i="5"/>
  <c r="FS40" i="5"/>
  <c r="W38" i="5"/>
  <c r="DA41" i="5"/>
  <c r="EB39" i="5"/>
  <c r="GD41" i="5"/>
  <c r="FL40" i="5"/>
  <c r="EU40" i="5"/>
  <c r="GR41" i="5"/>
  <c r="DC39" i="5"/>
  <c r="EF38" i="5"/>
  <c r="EV38" i="5"/>
  <c r="ED39" i="5"/>
  <c r="L40" i="5"/>
  <c r="DQ38" i="5"/>
  <c r="FI38" i="5"/>
  <c r="BN41" i="5"/>
  <c r="FI39" i="5"/>
  <c r="FQ39" i="5"/>
  <c r="EQ41" i="5"/>
  <c r="EQ40" i="5"/>
  <c r="CR40" i="5"/>
  <c r="AF41" i="5"/>
  <c r="BF39" i="5"/>
  <c r="FR38" i="5"/>
  <c r="BG40" i="5"/>
  <c r="AA39" i="5"/>
  <c r="DL38" i="5"/>
  <c r="EN40" i="5"/>
  <c r="AQ41" i="5"/>
  <c r="DQ40" i="5"/>
  <c r="BQ41" i="5"/>
  <c r="FW40" i="5"/>
  <c r="CO41" i="5"/>
  <c r="EK38" i="5"/>
  <c r="BA40" i="5"/>
  <c r="AR41" i="5"/>
  <c r="DC41" i="5"/>
  <c r="FK38" i="5"/>
  <c r="AW41" i="5"/>
  <c r="CF39" i="5"/>
  <c r="N41" i="5"/>
  <c r="FH39" i="5"/>
  <c r="DB41" i="5"/>
  <c r="GK41" i="5"/>
  <c r="CB38" i="5"/>
  <c r="CG39" i="5"/>
  <c r="CC40" i="5"/>
  <c r="K38" i="5"/>
  <c r="AG41" i="5"/>
  <c r="AH40" i="5"/>
  <c r="BL41" i="5"/>
  <c r="GP39" i="5"/>
  <c r="AB41" i="5"/>
  <c r="CU38" i="5"/>
  <c r="GA39" i="5"/>
  <c r="AH41" i="5"/>
  <c r="AY39" i="5"/>
  <c r="ER40" i="5"/>
  <c r="GM39" i="5"/>
  <c r="AC41" i="5"/>
  <c r="AT41" i="5"/>
  <c r="EE38" i="5"/>
  <c r="DG40" i="5"/>
  <c r="CE38" i="5"/>
  <c r="AD39" i="5"/>
  <c r="FF38" i="5"/>
  <c r="DX38" i="5"/>
  <c r="DL39" i="5"/>
  <c r="DK38" i="5"/>
  <c r="EZ39" i="5"/>
  <c r="EJ38" i="5"/>
  <c r="FM39" i="5"/>
  <c r="CL40" i="5"/>
  <c r="DJ38" i="5"/>
  <c r="DD38" i="5"/>
  <c r="G39" i="5"/>
  <c r="P39" i="5"/>
  <c r="BD38" i="5"/>
  <c r="FY38" i="5"/>
  <c r="DF39" i="5"/>
  <c r="DF38" i="5"/>
  <c r="FE38" i="5"/>
  <c r="FC41" i="5"/>
  <c r="AO38" i="5"/>
  <c r="EI38" i="5"/>
  <c r="BV39" i="5"/>
  <c r="BT40" i="5"/>
  <c r="U39" i="5"/>
  <c r="BJ38" i="5"/>
  <c r="GF41" i="5"/>
  <c r="EK40" i="5"/>
  <c r="DY38" i="5"/>
  <c r="CS40" i="5"/>
  <c r="DH41" i="5"/>
  <c r="DW40" i="5"/>
  <c r="BJ41" i="5"/>
  <c r="BY39" i="5"/>
  <c r="GR38" i="5"/>
  <c r="CP41" i="5"/>
  <c r="CJ38" i="5"/>
  <c r="ER38" i="5"/>
  <c r="FL41" i="5"/>
  <c r="FW39" i="5"/>
  <c r="GF40" i="5"/>
  <c r="U40" i="5"/>
  <c r="FU39" i="5"/>
  <c r="BV41" i="5"/>
  <c r="BE40" i="5"/>
  <c r="AQ40" i="5"/>
  <c r="BW40" i="5"/>
  <c r="O41" i="5"/>
  <c r="GG40" i="5"/>
  <c r="DT41" i="5"/>
  <c r="FM41" i="5"/>
  <c r="CT41" i="5"/>
  <c r="DW38" i="5"/>
  <c r="FC38" i="5"/>
  <c r="GN40" i="5"/>
  <c r="EC39" i="5"/>
  <c r="DT38" i="5"/>
  <c r="ET40" i="5"/>
  <c r="BY41" i="5"/>
  <c r="I38" i="5"/>
  <c r="EO38" i="5"/>
  <c r="DP41" i="5"/>
  <c r="W39" i="5"/>
  <c r="BU38" i="5"/>
  <c r="FO39" i="5"/>
  <c r="FN41" i="5"/>
  <c r="CD40" i="5"/>
  <c r="BC40" i="5"/>
  <c r="H38" i="5"/>
  <c r="AD41" i="5"/>
  <c r="Q39" i="5"/>
  <c r="EY39" i="5"/>
  <c r="AE41" i="5"/>
  <c r="EK41" i="5"/>
  <c r="CM38" i="5"/>
  <c r="U41" i="5"/>
  <c r="DJ40" i="5"/>
  <c r="ED38" i="5"/>
  <c r="CI40" i="5"/>
  <c r="DQ41" i="5"/>
  <c r="GS41" i="5"/>
  <c r="BR39" i="5"/>
  <c r="GS38" i="5"/>
  <c r="AG38" i="5"/>
  <c r="GA38" i="5"/>
  <c r="BF40" i="5"/>
  <c r="P38" i="5"/>
  <c r="FY39" i="5"/>
  <c r="AZ41" i="5"/>
  <c r="FS39" i="5"/>
  <c r="EY41" i="5"/>
  <c r="DX39" i="5"/>
  <c r="BV38" i="5"/>
  <c r="CI41" i="5"/>
  <c r="GL40" i="5"/>
  <c r="EL38" i="5"/>
  <c r="AV39" i="5"/>
  <c r="BV40" i="5"/>
  <c r="EJ40" i="5"/>
  <c r="BO39" i="5"/>
  <c r="FM40" i="5"/>
  <c r="GP41" i="5"/>
  <c r="ED41" i="5"/>
  <c r="DL40" i="5"/>
  <c r="CW41" i="5"/>
  <c r="ET41" i="5"/>
  <c r="FU41" i="5"/>
  <c r="FB40" i="5"/>
  <c r="ER41" i="5"/>
  <c r="FI41" i="5"/>
  <c r="BG39" i="5"/>
  <c r="L39" i="5"/>
  <c r="R40" i="5"/>
  <c r="BK40" i="5"/>
  <c r="EG40" i="5"/>
  <c r="EE39" i="5"/>
  <c r="CW40" i="5"/>
  <c r="BQ40" i="5"/>
  <c r="FP41" i="5"/>
  <c r="AL39" i="5"/>
  <c r="CK41" i="5"/>
  <c r="CZ40" i="5"/>
  <c r="AN38" i="5"/>
  <c r="DJ41" i="5"/>
  <c r="FR40" i="5"/>
  <c r="X39" i="5"/>
  <c r="FV41" i="5"/>
  <c r="DM41" i="5"/>
  <c r="AC40" i="5"/>
  <c r="DN38" i="5"/>
  <c r="BD41" i="5"/>
  <c r="GU41" i="5"/>
  <c r="FF39" i="5"/>
  <c r="FV39" i="5"/>
  <c r="R41" i="5"/>
  <c r="EF39" i="5"/>
  <c r="EP40" i="5"/>
  <c r="FI40" i="5"/>
  <c r="AR38" i="5"/>
  <c r="EX40" i="5"/>
  <c r="CB40" i="5"/>
  <c r="BK39" i="5"/>
  <c r="BQ39" i="5"/>
  <c r="BL40" i="5"/>
  <c r="EL40" i="5"/>
  <c r="EG41" i="5"/>
  <c r="BM38" i="5"/>
  <c r="EY40" i="5"/>
  <c r="M38" i="5"/>
  <c r="G38" i="5"/>
  <c r="GD38" i="5"/>
  <c r="EP41" i="5"/>
  <c r="DQ39" i="5"/>
  <c r="P40" i="5"/>
  <c r="AA40" i="5"/>
  <c r="X40" i="5"/>
  <c r="AQ38" i="5"/>
  <c r="EZ38" i="5"/>
  <c r="EP39" i="5"/>
  <c r="BM41" i="5"/>
  <c r="BU39" i="5"/>
  <c r="DO38" i="5"/>
  <c r="DF40" i="5"/>
  <c r="CU39" i="5"/>
  <c r="DH38" i="5"/>
  <c r="BB40" i="5"/>
  <c r="AN40" i="5"/>
  <c r="BQ38" i="5"/>
  <c r="GC38" i="5"/>
  <c r="GG41" i="5"/>
  <c r="AX41" i="5"/>
  <c r="Y38" i="5"/>
  <c r="CJ41" i="5"/>
  <c r="GL41" i="5"/>
  <c r="CZ38" i="5"/>
  <c r="BR38" i="5"/>
  <c r="CA38" i="5"/>
  <c r="CN41" i="5"/>
  <c r="CH38" i="5"/>
  <c r="AE40" i="5"/>
  <c r="EW41" i="5"/>
  <c r="GR39" i="5"/>
  <c r="EC41" i="5"/>
  <c r="FA39" i="5"/>
  <c r="FB41" i="5"/>
  <c r="CC41" i="5"/>
  <c r="EU41" i="5"/>
  <c r="CF40" i="5"/>
  <c r="Z38" i="5"/>
  <c r="EW38" i="5"/>
  <c r="EW39" i="5"/>
  <c r="BS40" i="5"/>
  <c r="R38" i="5"/>
  <c r="BM40" i="5"/>
  <c r="CC38" i="5"/>
  <c r="CO38" i="5"/>
  <c r="AX38" i="5"/>
  <c r="AU39" i="5"/>
  <c r="AJ38" i="5"/>
  <c r="CN40" i="5"/>
  <c r="CA40" i="5"/>
  <c r="AM38" i="5"/>
  <c r="FH40" i="5"/>
  <c r="FD40" i="5"/>
  <c r="FO38" i="5"/>
  <c r="EN41" i="5"/>
  <c r="CX38" i="5"/>
  <c r="CE40" i="5"/>
  <c r="CP39" i="5"/>
  <c r="EU38" i="5"/>
  <c r="CY41" i="5"/>
  <c r="CO40" i="5"/>
  <c r="FU40" i="5"/>
  <c r="DM40" i="5"/>
  <c r="AA38" i="5"/>
  <c r="FH41" i="5"/>
  <c r="DY41" i="5"/>
  <c r="DG41" i="5"/>
  <c r="EF41" i="5"/>
  <c r="DL41" i="5"/>
  <c r="FD39" i="5"/>
  <c r="CG38" i="5"/>
  <c r="BS39" i="5"/>
  <c r="BG41" i="5"/>
  <c r="FC40" i="5"/>
  <c r="AQ39" i="5"/>
  <c r="BN40" i="5"/>
  <c r="BP40" i="5"/>
  <c r="DN40" i="5"/>
  <c r="GI40" i="5"/>
  <c r="CY39" i="5"/>
  <c r="FN39" i="5"/>
  <c r="AY38" i="5"/>
  <c r="FY40" i="5"/>
  <c r="AP40" i="5"/>
  <c r="AZ38" i="5"/>
  <c r="CR41" i="5"/>
  <c r="CB39" i="5"/>
  <c r="CI39" i="5"/>
  <c r="EM38" i="5"/>
  <c r="EN38" i="5"/>
  <c r="DH39" i="5"/>
  <c r="GR40" i="5"/>
  <c r="GT39" i="5"/>
  <c r="FE41" i="5"/>
  <c r="P41" i="5"/>
  <c r="DZ41" i="5"/>
  <c r="BI38" i="5"/>
  <c r="AU40" i="5"/>
  <c r="CS41" i="5"/>
  <c r="O40" i="5"/>
  <c r="DO41" i="5"/>
  <c r="BE38" i="5"/>
  <c r="GO40" i="5"/>
  <c r="GQ38" i="5"/>
  <c r="AJ41" i="5"/>
  <c r="DR39" i="5"/>
  <c r="EH38" i="5"/>
  <c r="V39" i="5"/>
  <c r="DE41" i="5"/>
  <c r="AO39" i="5"/>
  <c r="DI40" i="5"/>
  <c r="DG38" i="5"/>
  <c r="CC39" i="5"/>
  <c r="DU40" i="5"/>
  <c r="GL39" i="5"/>
  <c r="GN41" i="5"/>
  <c r="CS39" i="5"/>
  <c r="CA39" i="5"/>
  <c r="DR40" i="5"/>
  <c r="DK39" i="5"/>
  <c r="AK38" i="5"/>
  <c r="BE39" i="5"/>
  <c r="S41" i="5"/>
  <c r="BT41" i="5"/>
  <c r="FJ38" i="5"/>
  <c r="AV40" i="5"/>
  <c r="BL39" i="5"/>
  <c r="EN63" i="5" l="1"/>
  <c r="DJ63" i="5"/>
  <c r="BJ63" i="5"/>
  <c r="FL63" i="5"/>
  <c r="CI64" i="5"/>
  <c r="EN64" i="5"/>
  <c r="FX64" i="5"/>
  <c r="FP64" i="5"/>
  <c r="AF63" i="5"/>
  <c r="FH64" i="5"/>
  <c r="EU64" i="5"/>
  <c r="AR64" i="5"/>
  <c r="DN63" i="5"/>
  <c r="EY64" i="5"/>
  <c r="EZ64" i="5"/>
  <c r="BK63" i="5"/>
  <c r="CX64" i="5"/>
  <c r="FY63" i="5"/>
  <c r="BA64" i="5"/>
  <c r="EE63" i="5"/>
  <c r="EC64" i="5"/>
  <c r="BN63" i="5"/>
  <c r="AU64" i="5"/>
  <c r="GN45" i="5"/>
  <c r="GN46" i="5" s="1"/>
  <c r="GN47" i="5" s="1"/>
  <c r="GO51" i="5" s="1"/>
  <c r="GO52" i="5" s="1"/>
  <c r="GO58" i="5" s="1"/>
  <c r="GO59" i="5" s="1"/>
  <c r="DT63" i="5"/>
  <c r="BL63" i="5"/>
  <c r="EB64" i="5"/>
  <c r="EB63" i="5"/>
  <c r="AS63" i="5"/>
  <c r="DT64" i="5"/>
  <c r="CX63" i="5"/>
  <c r="BD63" i="5"/>
  <c r="AU63" i="5"/>
  <c r="CV63" i="5"/>
  <c r="FH63" i="5"/>
  <c r="BD64" i="5"/>
  <c r="BS63" i="5"/>
  <c r="EE64" i="5"/>
  <c r="BS64" i="5"/>
  <c r="AN64" i="5"/>
  <c r="T64" i="5"/>
  <c r="GF64" i="5"/>
  <c r="AO64" i="5"/>
  <c r="BW64" i="5"/>
  <c r="BC64" i="5"/>
  <c r="FW63" i="5"/>
  <c r="FZ68" i="5" s="1"/>
  <c r="K64" i="5"/>
  <c r="AS64" i="5"/>
  <c r="CM64" i="5"/>
  <c r="DX64" i="5"/>
  <c r="EA63" i="5"/>
  <c r="BL64" i="5"/>
  <c r="CA64" i="5"/>
  <c r="AD63" i="5"/>
  <c r="AN63" i="5"/>
  <c r="GF63" i="5"/>
  <c r="CA63" i="5"/>
  <c r="AB64" i="5"/>
  <c r="GV64" i="5"/>
  <c r="DS63" i="5"/>
  <c r="CB64" i="5"/>
  <c r="CQ64" i="5"/>
  <c r="EI64" i="5"/>
  <c r="M64" i="5"/>
  <c r="BY64" i="5"/>
  <c r="FD63" i="5"/>
  <c r="BB64" i="5"/>
  <c r="CO64" i="5"/>
  <c r="AE63" i="5"/>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P68" i="5" s="1"/>
  <c r="AM64" i="5"/>
  <c r="BI63" i="5"/>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EW63" i="5"/>
  <c r="EW64" i="5"/>
  <c r="AT64" i="5"/>
  <c r="AT63"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D51" i="5"/>
  <c r="D52" i="5" s="1"/>
  <c r="D58" i="5" s="1"/>
  <c r="D59" i="5" s="1"/>
  <c r="M51" i="5" l="1"/>
  <c r="M52" i="5" s="1"/>
  <c r="M58" i="5" s="1"/>
  <c r="M59" i="5" s="1"/>
  <c r="P67" i="5" s="1"/>
  <c r="CR51" i="5"/>
  <c r="CR52" i="5" s="1"/>
  <c r="CR58" i="5" s="1"/>
  <c r="CR59" i="5" s="1"/>
  <c r="CR70" i="5" s="1"/>
  <c r="DQ68" i="5"/>
  <c r="BF68" i="5"/>
  <c r="FN68" i="5"/>
  <c r="DZ68" i="5"/>
  <c r="FY68" i="5"/>
  <c r="AF68" i="5"/>
  <c r="GN51" i="5"/>
  <c r="GN52" i="5" s="1"/>
  <c r="GN58" i="5" s="1"/>
  <c r="GN59" i="5" s="1"/>
  <c r="GQ67" i="5" s="1"/>
  <c r="GQ69" i="5" s="1"/>
  <c r="AD68" i="5"/>
  <c r="BL68" i="5"/>
  <c r="AE68" i="5"/>
  <c r="AV68" i="5"/>
  <c r="GN68" i="5"/>
  <c r="ES68" i="5"/>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G72" i="20"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W70" i="5"/>
  <c r="F70" i="5"/>
  <c r="I67" i="5"/>
  <c r="I69" i="5" s="1"/>
  <c r="G67" i="5"/>
  <c r="D70" i="5"/>
  <c r="GO70" i="5"/>
  <c r="GR67" i="5"/>
  <c r="GR69" i="5" s="1"/>
  <c r="M70" i="5" l="1"/>
  <c r="GN70" i="5"/>
  <c r="Q69" i="5"/>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GN67" i="5" l="1"/>
  <c r="GN69" i="5" s="1"/>
  <c r="D72" i="20"/>
  <c r="D40" i="20"/>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B72" i="20" s="1"/>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<sst xmlns="http://schemas.openxmlformats.org/spreadsheetml/2006/main" count="1685" uniqueCount="603">
  <si>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</si>
  <si>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</si>
  <si>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</si>
  <si>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</si>
  <si>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</si>
  <si>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</si>
  <si>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</si>
  <si>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</si>
  <si>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</si>
  <si>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</si>
  <si>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</si>
  <si>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</si>
  <si>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</si>
  <si>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</si>
  <si>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</si>
  <si>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</si>
  <si>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</si>
  <si>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</si>
  <si>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</si>
  <si>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</si>
  <si>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</si>
  <si>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</si>
  <si>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</si>
  <si>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</si>
  <si>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</si>
  <si>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</si>
  <si>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</si>
  <si>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</si>
  <si>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</si>
  <si>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</si>
  <si>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</si>
  <si>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</si>
  <si>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</si>
  <si>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</si>
  <si>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</si>
  <si>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</si>
  <si>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</si>
  <si>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</si>
  <si>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</si>
  <si>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</si>
  <si>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</si>
  <si>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</si>
  <si>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</si>
  <si>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</si>
  <si>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</si>
  <si>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</si>
  <si>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</si>
  <si>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</si>
  <si>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</si>
  <si>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</si>
  <si>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</si>
  <si>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</si>
  <si>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</si>
  <si>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</si>
  <si>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</si>
  <si>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</si>
  <si>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</si>
  <si>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</si>
  <si>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</si>
  <si>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</si>
  <si>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</si>
  <si>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</si>
  <si>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</si>
  <si>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</si>
  <si>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</si>
  <si>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</si>
  <si>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</si>
  <si>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</si>
  <si>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</si>
  <si>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</si>
  <si>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</si>
  <si>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</si>
  <si>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</si>
  <si>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</si>
  <si>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</si>
  <si>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</si>
  <si>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</si>
  <si>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</si>
  <si>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</si>
  <si>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</si>
  <si>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</si>
  <si>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</si>
  <si>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</si>
  <si>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</si>
  <si>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</si>
  <si>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</si>
  <si>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</si>
  <si>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</si>
  <si>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</si>
  <si>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</si>
  <si>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</si>
  <si>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</si>
  <si>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</si>
  <si>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</si>
  <si>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</si>
  <si>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</si>
  <si>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</si>
  <si>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</si>
  <si>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</si>
  <si>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</si>
  <si>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</si>
  <si>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</si>
  <si>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</si>
  <si>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</si>
  <si>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</si>
  <si>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</si>
  <si>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</si>
  <si>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</si>
  <si>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</si>
  <si>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</si>
  <si>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</si>
  <si>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</si>
  <si>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</si>
  <si>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</si>
  <si>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</si>
  <si>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</si>
  <si>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</si>
  <si>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</si>
  <si>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</si>
  <si>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</si>
  <si>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</si>
  <si>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</si>
  <si>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</si>
  <si>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</si>
  <si>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</si>
  <si>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</si>
  <si>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</si>
  <si>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</si>
  <si>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</si>
  <si>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</si>
  <si>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</si>
  <si>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</si>
  <si>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</si>
  <si>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</si>
  <si>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</si>
  <si>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</si>
  <si>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</si>
  <si>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</si>
  <si>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</si>
  <si>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</si>
  <si>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</si>
  <si>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</si>
  <si>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</si>
  <si>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</si>
  <si>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</si>
  <si>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</si>
  <si>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</si>
  <si>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</si>
  <si>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</si>
  <si>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</si>
  <si>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</si>
  <si>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</si>
  <si>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</si>
  <si>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</si>
  <si>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</si>
  <si>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</si>
  <si>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</si>
  <si>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</si>
  <si>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</si>
  <si>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</si>
  <si>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</si>
  <si>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</si>
  <si>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</si>
  <si>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</si>
  <si>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</si>
  <si>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</si>
  <si>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</si>
  <si>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</si>
  <si>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</si>
  <si>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</si>
  <si>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</si>
  <si>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</si>
  <si>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</si>
  <si>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</si>
  <si>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</si>
  <si>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</si>
  <si>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</si>
  <si>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</si>
  <si>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</si>
  <si>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</si>
  <si>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</si>
  <si>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</si>
  <si>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</si>
  <si>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</si>
  <si>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</si>
  <si>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</si>
  <si>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</si>
  <si>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</si>
  <si>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</si>
  <si>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</si>
  <si>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</si>
  <si>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</si>
  <si>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</si>
  <si>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</si>
  <si>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</si>
  <si>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</si>
  <si>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</si>
  <si>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</si>
  <si>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</si>
  <si>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</si>
  <si>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</si>
  <si>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</si>
  <si>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</si>
  <si>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</si>
  <si>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</si>
  <si>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</si>
  <si>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</si>
  <si>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</si>
  <si>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</si>
  <si>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</si>
  <si>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</si>
  <si>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</si>
  <si>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</si>
  <si>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</si>
  <si>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</si>
  <si>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</si>
  <si>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</si>
  <si>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</si>
  <si>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</si>
  <si>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</si>
  <si>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</si>
  <si>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</si>
  <si>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</si>
  <si>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</si>
  <si>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</si>
  <si>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</si>
  <si>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</si>
  <si>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</si>
  <si>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</si>
  <si>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</si>
  <si>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</si>
  <si>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</si>
  <si>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</si>
  <si>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</si>
  <si>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</si>
  <si>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</si>
  <si>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</si>
  <si>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</si>
  <si>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</si>
  <si>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</si>
  <si>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</si>
  <si>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</si>
  <si>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</si>
  <si>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</si>
  <si>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</si>
  <si>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</si>
  <si>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</si>
  <si>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</si>
  <si>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</si>
  <si>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</si>
  <si>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</si>
  <si>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</si>
  <si>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</si>
  <si>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</si>
  <si>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</si>
  <si>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</si>
  <si>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</si>
  <si>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</si>
  <si>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</si>
  <si>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</si>
  <si>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</si>
  <si>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</si>
  <si>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</si>
  <si>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</si>
  <si>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</si>
  <si>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</si>
  <si>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</si>
  <si>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</si>
  <si>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</si>
  <si>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</si>
  <si>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</si>
  <si>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</si>
  <si>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</si>
  <si>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</si>
  <si>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</si>
  <si>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</si>
  <si>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</si>
  <si>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</si>
  <si>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</si>
  <si>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</si>
  <si>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</si>
  <si>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</si>
  <si>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</si>
  <si>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</si>
  <si>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</si>
  <si>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</si>
  <si>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</si>
  <si>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</si>
  <si>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</si>
  <si>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</si>
  <si>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</si>
  <si>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</si>
  <si>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</si>
  <si>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</si>
  <si>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</si>
  <si>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</si>
  <si>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</si>
  <si>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</si>
  <si>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</si>
  <si>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</si>
  <si>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</si>
  <si>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</si>
  <si>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</si>
  <si>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</si>
  <si>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</si>
  <si>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</si>
  <si>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</si>
  <si>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</si>
  <si>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</si>
  <si>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</si>
  <si>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</si>
  <si>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</si>
  <si>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</si>
  <si>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</si>
  <si>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</si>
  <si>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</si>
  <si>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</si>
  <si>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</si>
  <si>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</si>
  <si>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</si>
  <si>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</si>
  <si>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</si>
  <si>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</si>
  <si>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</si>
  <si>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</si>
  <si>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</si>
  <si>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</si>
  <si>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</si>
  <si>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</si>
  <si>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</si>
  <si>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</si>
  <si>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</si>
  <si>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</si>
  <si>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</si>
  <si>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</si>
  <si>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</si>
  <si>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</si>
  <si>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</si>
  <si>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</si>
  <si>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</si>
  <si>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</si>
  <si>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</si>
  <si>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</si>
  <si>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</si>
  <si>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</si>
  <si>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</si>
  <si>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</si>
  <si>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</si>
  <si>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</si>
  <si>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</si>
  <si>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</si>
  <si>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</si>
  <si>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</si>
  <si>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</si>
  <si>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</si>
  <si>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</si>
  <si>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</si>
  <si>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</si>
  <si>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</si>
  <si>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</si>
  <si>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</si>
  <si>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</si>
  <si>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</si>
  <si>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</si>
  <si>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</si>
  <si>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</si>
  <si>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</si>
  <si>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</si>
  <si>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</si>
  <si>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</si>
  <si>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</si>
  <si>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</si>
  <si>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</si>
  <si>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</si>
  <si>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</si>
  <si>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</si>
  <si>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</si>
  <si>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</si>
  <si>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</si>
  <si>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</si>
  <si>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</si>
  <si>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</si>
  <si>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</si>
  <si>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</si>
  <si>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</si>
  <si>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</si>
  <si>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</si>
  <si>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</si>
  <si>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</si>
  <si>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</si>
  <si>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</si>
  <si>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</si>
  <si>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</si>
  <si>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</si>
  <si>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</si>
  <si>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</si>
  <si>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impact</t>
  </si>
  <si>
    <t>recession</t>
  </si>
  <si>
    <t>total</t>
  </si>
  <si>
    <t>federal</t>
  </si>
  <si>
    <t>state_local</t>
  </si>
  <si>
    <t>consumption</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</si>
  <si>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</si>
  <si>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</si>
  <si>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</si>
  <si>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</si>
  <si>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</si>
  <si>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</si>
  <si>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</si>
  <si>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</si>
  <si>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</si>
  <si>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</si>
  <si>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</si>
  <si>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</si>
  <si>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</si>
  <si>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</si>
  <si>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</si>
  <si>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</si>
  <si>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</si>
  <si>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</si>
  <si>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</si>
  <si>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</si>
  <si>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</si>
  <si>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</si>
  <si>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</si>
  <si>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</si>
  <si>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</si>
  <si>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</si>
  <si>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</si>
  <si>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</si>
  <si>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</si>
  <si>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</si>
  <si>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</si>
  <si>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</si>
  <si>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</si>
  <si>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</si>
  <si>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</si>
  <si>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</si>
  <si>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</si>
  <si>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</si>
  <si>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</si>
  <si>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</si>
  <si>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</si>
  <si>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</si>
  <si>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</si>
  <si>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</si>
  <si>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</si>
  <si>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</si>
  <si>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</si>
  <si>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</si>
  <si>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</si>
  <si>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</si>
  <si>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</si>
  <si>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</si>
  <si>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</si>
  <si>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</si>
  <si>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</si>
  <si>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</si>
  <si>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</si>
  <si>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</si>
  <si>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</si>
  <si>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</si>
  <si>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</si>
  <si>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</si>
  <si>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</si>
  <si>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</si>
  <si>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</si>
  <si>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</si>
  <si>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</si>
  <si>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</si>
  <si>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</si>
  <si>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</si>
  <si>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</si>
  <si>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</si>
  <si>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</si>
  <si>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</si>
  <si>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</si>
  <si>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</si>
  <si>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</si>
  <si>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</si>
  <si>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</si>
  <si>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</si>
  <si>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</si>
  <si>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</si>
  <si>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</si>
  <si>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</si>
  <si>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</si>
  <si>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</si>
  <si>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</si>
  <si>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</si>
  <si>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</si>
  <si>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</si>
  <si>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</si>
  <si>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</si>
  <si>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</si>
  <si>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</si>
  <si>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</si>
  <si>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</si>
  <si>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</si>
  <si>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</si>
  <si>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</si>
  <si>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</si>
  <si>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</si>
  <si>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</si>
  <si>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</si>
  <si>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</si>
  <si>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</si>
  <si>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</si>
  <si>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</si>
  <si>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</si>
  <si>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</si>
  <si>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</si>
  <si>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</si>
  <si>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</si>
  <si>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</si>
  <si>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</si>
  <si>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</si>
  <si>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</si>
  <si>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</si>
  <si>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</si>
  <si>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</si>
  <si>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</si>
  <si>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</si>
  <si>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</si>
  <si>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</si>
  <si>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</si>
  <si>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</si>
  <si>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</si>
  <si>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</si>
  <si>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</si>
  <si>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</si>
  <si>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</si>
  <si>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</si>
  <si>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</si>
  <si>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</si>
  <si>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</si>
  <si>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</si>
  <si>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</si>
  <si>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</si>
  <si>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</si>
  <si>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</si>
  <si>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</si>
  <si>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</si>
  <si>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</si>
  <si>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</si>
  <si>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</si>
  <si>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</si>
  <si>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</si>
  <si>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</si>
  <si>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</si>
  <si>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</si>
  <si>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</si>
  <si>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</si>
  <si>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</si>
  <si>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</si>
  <si>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</si>
  <si>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</si>
  <si>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</si>
  <si>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</si>
  <si>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</si>
  <si>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</si>
  <si>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</si>
  <si>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</si>
  <si>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</si>
  <si>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</si>
  <si>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</si>
  <si>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</si>
  <si>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</si>
  <si>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</si>
  <si>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</si>
  <si>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</si>
  <si>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</si>
  <si>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</si>
  <si>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</si>
  <si>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</si>
  <si>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</si>
  <si>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</si>
  <si>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</si>
  <si>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</si>
  <si>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</si>
  <si>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</si>
  <si>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</si>
  <si>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</si>
  <si>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</si>
  <si>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</si>
  <si>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</si>
  <si>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</si>
  <si>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</si>
  <si>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</si>
  <si>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</si>
  <si>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2017:Jul</t>
  </si>
  <si>
    <t>2017:Aug</t>
  </si>
  <si>
    <t>Oct-06-2017 08:30</t>
  </si>
  <si>
    <t>Sep-2017</t>
  </si>
  <si>
    <t>2017:Sep</t>
  </si>
  <si>
    <t>Oct-06-2017 08:36</t>
  </si>
  <si>
    <t>Oct-02-2017 08:33</t>
  </si>
  <si>
    <t>Oct-27-2017 08:39</t>
  </si>
  <si>
    <t>Q3-2017</t>
  </si>
  <si>
    <t>2017:Q3</t>
  </si>
  <si>
    <t>Oct-27-2017 08:38</t>
  </si>
  <si>
    <t>Oct-27-2017 08:31</t>
  </si>
  <si>
    <t>Oct-02-2017 08:34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</si>
</sst>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1B9553"/>
      <color rgb="FFAE68A9"/>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Quarterly fiscal impact</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fiscal_ifinal!$D$2:$D$72</c:f>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-1.2508681183047533E-2</c:v>
                </c:pt>
                <c:pt idx="70" formatCode="0.000">
                  <c:v>-6.7336031278091263E-2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fiscal_ifinal!$E$2:$E$72</c:f>
              <c:numCache>
                <c:formatCode>0.00</c:formatCode>
                <c:ptCount val="71"/>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pt idx="70">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fiscal_ifinal!$F$2:$F$72</c:f>
              <c:numCache>
                <c:formatCode>0.00</c:formatCode>
                <c:ptCount val="71"/>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-0.16</c:v>
                </c:pt>
                <c:pt idx="70">
                  <c:v>-0.09</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fiscal_ifinal!$G$2:$G$72</c:f>
              <c:numCache>
                <c:formatCode>0.00</c:formatCode>
                <c:ptCount val="71"/>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1.7491318816952466E-2</c:v>
                </c:pt>
                <c:pt idx="70">
                  <c:v>-4.7336031278091259E-2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311626587217143E-2"/>
          <c:y val="0.13586879567636417"/>
          <c:w val="0.88420142583528405"/>
          <c:h val="0.66504345724726943"/>
        </c:manualLayout>
      </c:layout>
      <c:barChart>
        <c:barDir val="col"/>
        <c:grouping val="stacked"/>
        <c:varyColors val="0"/>
        <c:dLbls>
          <c:showLegendKey val="0"/>
          <c:showVal val="0"/>
          <c:showCatName val="0"/>
          <c:showSerName val="0"/>
          <c:showPercent val="0"/>
          <c:showBubbleSize val="0"/>
        </c:dLbls>
        <c:gapWidth val="60"/>
        <c:overlap val="100"/>
        <c:axId val="582267440"/>
        <c:axId val="582274984"/>
        <c:extLst>
          <c:ext xmlns:c15="http://schemas.microsoft.com/office/drawing/2012/chart" uri="{02D57815-91ED-43cb-92C2-25804820EDAC}">
            <c15:filteredBarSeries>
              <c15:ser>
                <c:idx val="1"/>
                <c:order val="1"/>
                <c:tx>
                  <c:v>Quarterly fiscal impact</c:v>
                </c:tx>
                <c:spPr>
                  <a:solidFill>
                    <a:srgbClr val="E7619F"/>
                  </a:solidFill>
                  <a:ln>
                    <a:noFill/>
                  </a:ln>
                  <a:effectLst/>
                </c:spPr>
                <c:invertIfNegative val="0"/>
                <c:cat>
                  <c:numRef>
                    <c:extLst>
                      <c:ext uri="{02D57815-91ED-43cb-92C2-25804820EDAC}">
                        <c15:formulaRef>
                          <c15:sqref>fiscal_ifinal!$A$2:$A$70</c15:sqref>
                        </c15:formulaRef>
                      </c:ext>
                    </c:extLst>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extLst>
                      <c:ext uri="{02D57815-91ED-43cb-92C2-25804820EDAC}">
                        <c15:formulaRef>
                          <c15:sqref>fiscal_ifinal!$D$2:$D$72</c15:sqref>
                        </c15:formulaRef>
                      </c:ext>
                    </c:extLst>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-1.2508681183047533E-2</c:v>
                      </c:pt>
                      <c:pt idx="70" formatCode="0.000">
                        <c:v>-6.7336031278091263E-2</c:v>
                      </c:pt>
                    </c:numCache>
                  </c:numRef>
                </c:val>
                <c:extLst>
                  <c:ext xmlns:c16="http://schemas.microsoft.com/office/drawing/2014/chart" uri="{C3380CC4-5D6E-409C-BE32-E72D297353CC}">
                    <c16:uniqueId val="{00000000-E1A8-4DE9-B7AE-7BBE7067CB83}"/>
                  </c:ext>
                </c:extLst>
              </c15:ser>
            </c15:filteredBarSeries>
          </c:ext>
        </c:extLst>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E1A8-4DE9-B7AE-7BBE7067CB83}"/>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Hutchins Center FIM</c:v>
          </c:tx>
          <c:spPr>
            <a:ln w="15875" cap="rnd">
              <a:solidFill>
                <a:schemeClr val="tx1"/>
              </a:solidFill>
              <a:round/>
            </a:ln>
            <a:effectLst/>
          </c:spPr>
          <c:marker>
            <c:symbol val="none"/>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2-E1A8-4DE9-B7AE-7BBE7067CB83}"/>
            </c:ext>
          </c:extLst>
        </c:ser>
        <c:ser>
          <c:idx val="3"/>
          <c:order val="3"/>
          <c:tx>
            <c:v>Hutchins Center Neutral FIM</c:v>
          </c:tx>
          <c:spPr>
            <a:ln w="19050" cap="rnd">
              <a:solidFill>
                <a:srgbClr val="1B9553"/>
              </a:solidFill>
              <a:round/>
            </a:ln>
            <a:effectLst/>
          </c:spPr>
          <c:marker>
            <c:symbol val="none"/>
          </c:marker>
          <c:val>
            <c:numRef>
              <c:f>fiscal_ifinal!$H$2:$H$72</c:f>
              <c:numCache>
                <c:formatCode>0.00</c:formatCode>
                <c:ptCount val="71"/>
                <c:pt idx="0">
                  <c:v>0.72477904806328919</c:v>
                </c:pt>
                <c:pt idx="1">
                  <c:v>0.71936350077518929</c:v>
                </c:pt>
                <c:pt idx="2">
                  <c:v>0.71025869686907961</c:v>
                </c:pt>
                <c:pt idx="3">
                  <c:v>0.69811497297132441</c:v>
                </c:pt>
                <c:pt idx="4">
                  <c:v>0.68440842216827202</c:v>
                </c:pt>
                <c:pt idx="5">
                  <c:v>0.66529760097282908</c:v>
                </c:pt>
                <c:pt idx="6">
                  <c:v>0.64561389119238399</c:v>
                </c:pt>
                <c:pt idx="7">
                  <c:v>0.62344817665163599</c:v>
                </c:pt>
                <c:pt idx="8">
                  <c:v>0.59715985754834899</c:v>
                </c:pt>
                <c:pt idx="9">
                  <c:v>0.56994836810970628</c:v>
                </c:pt>
                <c:pt idx="10">
                  <c:v>0.54336184769436746</c:v>
                </c:pt>
                <c:pt idx="11">
                  <c:v>0.51992540660952202</c:v>
                </c:pt>
                <c:pt idx="12">
                  <c:v>0.50592449988454602</c:v>
                </c:pt>
                <c:pt idx="13">
                  <c:v>0.4959618539753432</c:v>
                </c:pt>
                <c:pt idx="14">
                  <c:v>0.48962469137314235</c:v>
                </c:pt>
                <c:pt idx="15">
                  <c:v>0.48456986372998689</c:v>
                </c:pt>
                <c:pt idx="16">
                  <c:v>0.47999196799582861</c:v>
                </c:pt>
                <c:pt idx="17">
                  <c:v>0.48156854588512948</c:v>
                </c:pt>
                <c:pt idx="18">
                  <c:v>0.48381659183830528</c:v>
                </c:pt>
                <c:pt idx="19">
                  <c:v>0.48772953161675398</c:v>
                </c:pt>
                <c:pt idx="20">
                  <c:v>0.48883826327339208</c:v>
                </c:pt>
                <c:pt idx="21">
                  <c:v>0.48288283910084961</c:v>
                </c:pt>
                <c:pt idx="22">
                  <c:v>0.4735247963004503</c:v>
                </c:pt>
                <c:pt idx="23">
                  <c:v>0.46084199503432427</c:v>
                </c:pt>
                <c:pt idx="24">
                  <c:v>0.44192217275906631</c:v>
                </c:pt>
                <c:pt idx="25">
                  <c:v>0.41949678216185671</c:v>
                </c:pt>
                <c:pt idx="26">
                  <c:v>0.39694909819623897</c:v>
                </c:pt>
                <c:pt idx="27">
                  <c:v>0.37530733066784777</c:v>
                </c:pt>
                <c:pt idx="28">
                  <c:v>0.35963919579749176</c:v>
                </c:pt>
                <c:pt idx="29">
                  <c:v>0.35039744083742058</c:v>
                </c:pt>
                <c:pt idx="30">
                  <c:v>0.34362000226302719</c:v>
                </c:pt>
                <c:pt idx="31">
                  <c:v>0.33889775461423</c:v>
                </c:pt>
                <c:pt idx="32">
                  <c:v>0.33724195749949165</c:v>
                </c:pt>
                <c:pt idx="33">
                  <c:v>0.33807740429984284</c:v>
                </c:pt>
                <c:pt idx="34">
                  <c:v>0.33797190645695108</c:v>
                </c:pt>
                <c:pt idx="35">
                  <c:v>0.33613420014836243</c:v>
                </c:pt>
                <c:pt idx="36">
                  <c:v>0.32747847872628766</c:v>
                </c:pt>
                <c:pt idx="37">
                  <c:v>0.30548431494009926</c:v>
                </c:pt>
                <c:pt idx="38">
                  <c:v>0.28079313664946315</c:v>
                </c:pt>
                <c:pt idx="39">
                  <c:v>0.25431790952340505</c:v>
                </c:pt>
                <c:pt idx="40">
                  <c:v>0.22697474319424218</c:v>
                </c:pt>
                <c:pt idx="41">
                  <c:v>0.20918557745488367</c:v>
                </c:pt>
                <c:pt idx="42">
                  <c:v>0.19619705410337501</c:v>
                </c:pt>
                <c:pt idx="43">
                  <c:v>0.18911095413534426</c:v>
                </c:pt>
                <c:pt idx="44">
                  <c:v>0.19620812401736204</c:v>
                </c:pt>
                <c:pt idx="45">
                  <c:v>0.20695202876929247</c:v>
                </c:pt>
                <c:pt idx="46">
                  <c:v>0.22052720892831362</c:v>
                </c:pt>
                <c:pt idx="47">
                  <c:v>0.23510538412175674</c:v>
                </c:pt>
                <c:pt idx="48">
                  <c:v>0.24349744224724684</c:v>
                </c:pt>
                <c:pt idx="49">
                  <c:v>0.25273937773058186</c:v>
                </c:pt>
                <c:pt idx="50">
                  <c:v>0.2610338206793259</c:v>
                </c:pt>
                <c:pt idx="51">
                  <c:v>0.26876402791370507</c:v>
                </c:pt>
                <c:pt idx="52">
                  <c:v>0.27688458697984564</c:v>
                </c:pt>
                <c:pt idx="53">
                  <c:v>0.28240753967254884</c:v>
                </c:pt>
                <c:pt idx="54">
                  <c:v>0.28718195971147142</c:v>
                </c:pt>
                <c:pt idx="55">
                  <c:v>0.29034485299110419</c:v>
                </c:pt>
                <c:pt idx="56">
                  <c:v>0.29140869555118665</c:v>
                </c:pt>
                <c:pt idx="57">
                  <c:v>0.29407345591407758</c:v>
                </c:pt>
                <c:pt idx="58">
                  <c:v>0.29561283020821055</c:v>
                </c:pt>
                <c:pt idx="59">
                  <c:v>0.2967890318065991</c:v>
                </c:pt>
                <c:pt idx="60">
                  <c:v>0.29802607268746617</c:v>
                </c:pt>
                <c:pt idx="61">
                  <c:v>0.29608095000912965</c:v>
                </c:pt>
                <c:pt idx="62">
                  <c:v>0.29368951012929051</c:v>
                </c:pt>
                <c:pt idx="63">
                  <c:v>0.29044421842275803</c:v>
                </c:pt>
                <c:pt idx="64">
                  <c:v>0.28566213815742164</c:v>
                </c:pt>
                <c:pt idx="65">
                  <c:v>0.28025623780780834</c:v>
                </c:pt>
                <c:pt idx="66">
                  <c:v>0.27429226553313601</c:v>
                </c:pt>
                <c:pt idx="67">
                  <c:v>0.26911415275853878</c:v>
                </c:pt>
                <c:pt idx="68">
                  <c:v>0.26648501609715597</c:v>
                </c:pt>
                <c:pt idx="69">
                  <c:v>0.26713187592314247</c:v>
                </c:pt>
                <c:pt idx="70">
                  <c:v>0.2694861340459157</c:v>
                </c:pt>
              </c:numCache>
            </c:numRef>
          </c:val>
          <c:smooth val="0"/>
          <c:extLst>
            <c:ext xmlns:c16="http://schemas.microsoft.com/office/drawing/2014/chart" uri="{C3380CC4-5D6E-409C-BE32-E72D297353CC}">
              <c16:uniqueId val="{00000000-277E-4773-8E85-882F69CEA6D7}"/>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scaling>
        <c:delete val="0"/>
        <c:axPos val="l"/>
        <c:majorGridlines>
          <c:spPr>
            <a:ln w="9525" cap="flat" cmpd="sng" algn="ctr">
              <a:solidFill>
                <a:schemeClr val="bg1">
                  <a:lumMod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700">
                    <a:latin typeface="Helvetiva"/>
                  </a:rPr>
                  <a:t>Percentage points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catAx>
        <c:axId val="220990672"/>
        <c:scaling>
          <c:orientation val="minMax"/>
        </c:scaling>
        <c:delete val="1"/>
        <c:axPos val="b"/>
        <c:numFmt formatCode="mm/dd/yy" sourceLinked="1"/>
        <c:majorTickMark val="out"/>
        <c:minorTickMark val="none"/>
        <c:tickLblPos val="nextTo"/>
        <c:crossAx val="220989360"/>
        <c:crosses val="autoZero"/>
        <c:auto val="0"/>
        <c:lblAlgn val="ctr"/>
        <c:lblOffset val="100"/>
        <c:noMultiLvlLbl val="1"/>
      </c:catAx>
      <c:spPr>
        <a:noFill/>
        <a:ln>
          <a:noFill/>
        </a:ln>
        <a:effectLst/>
      </c:spPr>
    </c:plotArea>
    <c:legend>
      <c:legendPos val="r"/>
      <c:legendEntry>
        <c:idx val="0"/>
        <c:delete val="1"/>
      </c:legendEntry>
      <c:layout>
        <c:manualLayout>
          <c:xMode val="edge"/>
          <c:yMode val="edge"/>
          <c:x val="2.1769702773639783E-2"/>
          <c:y val="0.87097430201577453"/>
          <c:w val="0.36560651202383482"/>
          <c:h val="9.5440498921479822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1</xdr:col>
      <xdr:colOff>228600</xdr:colOff>
      <xdr:row>1</xdr:row>
      <xdr:rowOff>95250</xdr:rowOff>
    </xdr:from>
    <xdr:to>
      <xdr:col>10</xdr:col>
      <xdr:colOff>381000</xdr:colOff>
      <xdr:row>21</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(four-quarter moving average)</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P175" activePane="bottomRight" state="frozen"/>
      <selection pane="topRight" activeCell="C1" sqref="C1"/>
      <selection pane="bottomLeft" activeCell="A7" sqref="A7"/>
      <selection pane="bottomRight" activeCell="R3" sqref="R3"/>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600</v>
      </c>
      <c r="D6" t="s">
        <v>600</v>
      </c>
      <c r="E6" t="s">
        <v>600</v>
      </c>
      <c r="F6" t="s">
        <v>600</v>
      </c>
      <c r="G6" t="s">
        <v>600</v>
      </c>
      <c r="H6" t="s">
        <v>600</v>
      </c>
      <c r="I6" t="s">
        <v>600</v>
      </c>
      <c r="J6" t="s">
        <v>600</v>
      </c>
      <c r="K6" t="s">
        <v>601</v>
      </c>
      <c r="L6" t="s">
        <v>601</v>
      </c>
      <c r="M6" t="s">
        <v>601</v>
      </c>
      <c r="N6" t="s">
        <v>600</v>
      </c>
      <c r="O6" t="s">
        <v>601</v>
      </c>
      <c r="P6" t="s">
        <v>601</v>
      </c>
      <c r="Q6" t="s">
        <v>588</v>
      </c>
      <c r="R6" t="s">
        <v>600</v>
      </c>
      <c r="S6" t="s">
        <v>602</v>
      </c>
      <c r="T6" t="s">
        <v>601</v>
      </c>
      <c r="U6" s="58" t="s">
        <v>601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405</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587</v>
      </c>
      <c r="B196" s="4">
        <v>42916</v>
      </c>
      <c r="C196" s="5">
        <v>671.5</v>
      </c>
      <c r="D196" s="5">
        <v>577.4</v>
      </c>
      <c r="E196" s="5">
        <v>2777.8</v>
      </c>
      <c r="F196" s="5">
        <v>2012.9</v>
      </c>
      <c r="G196" s="5">
        <v>1321.3</v>
      </c>
      <c r="H196" s="5">
        <v>468.8</v>
      </c>
      <c r="I196" s="5">
        <v>88.6</v>
      </c>
      <c r="J196" s="5">
        <v>1302.9000000000001</v>
      </c>
      <c r="K196" s="5">
        <v>17031.099999999999</v>
      </c>
      <c r="L196" s="5">
        <v>11853</v>
      </c>
      <c r="M196" s="5">
        <v>13307</v>
      </c>
      <c r="N196" s="7">
        <v>1.1226799999999999</v>
      </c>
      <c r="O196" s="5">
        <v>19250</v>
      </c>
      <c r="P196" s="11">
        <v>-0.03</v>
      </c>
      <c r="Q196" s="5">
        <v>17058.2</v>
      </c>
      <c r="R196" s="5">
        <v>3332.1</v>
      </c>
      <c r="S196" s="48">
        <v>0</v>
      </c>
      <c r="T196" s="11">
        <v>0.13</v>
      </c>
      <c r="U196" s="59">
        <v>-0.16</v>
      </c>
      <c r="V196" s="26"/>
      <c r="W196" s="5"/>
    </row>
    <row r="197" spans="1:23" x14ac:dyDescent="0.25">
      <c r="A197" t="s">
        <v>598</v>
      </c>
      <c r="B197" s="4">
        <v>43008</v>
      </c>
      <c r="C197" s="5">
        <v>676.4</v>
      </c>
      <c r="D197" s="5">
        <v>578.79999999999995</v>
      </c>
      <c r="E197" s="5">
        <v>2792.1</v>
      </c>
      <c r="F197" s="5">
        <v>2053</v>
      </c>
      <c r="G197" s="5">
        <v>1336.4</v>
      </c>
      <c r="H197" s="5" t="e">
        <v>#N/A</v>
      </c>
      <c r="I197" s="5" t="e">
        <v>#N/A</v>
      </c>
      <c r="J197" s="5">
        <v>1316.2</v>
      </c>
      <c r="K197" s="5">
        <v>17156.900000000001</v>
      </c>
      <c r="L197" s="5">
        <v>11922.1</v>
      </c>
      <c r="M197" s="5">
        <v>13434.7</v>
      </c>
      <c r="N197" s="7">
        <v>1.12687</v>
      </c>
      <c r="O197" s="5">
        <v>19495.5</v>
      </c>
      <c r="P197" s="11">
        <v>-0.02</v>
      </c>
      <c r="Q197" s="5">
        <v>17125.5</v>
      </c>
      <c r="R197" s="5">
        <v>3351.5</v>
      </c>
      <c r="S197" s="48">
        <v>0</v>
      </c>
      <c r="T197" s="11">
        <v>0.08</v>
      </c>
      <c r="U197" s="59">
        <v>-0.09</v>
      </c>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M63" activePane="bottomRight" state="frozen"/>
      <selection pane="topRight" activeCell="C1" sqref="C1"/>
      <selection pane="bottomLeft" activeCell="A11" sqref="A11"/>
      <selection pane="bottomRight" activeCell="B68" sqref="B68"/>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f>INDEX(HaverPull!$B:$XZ,MATCH(Calculations!GK$9,HaverPull!$B:$B,0),MATCH(Calculations!$B11,HaverPull!$B$1:$XZ$1,0))</f>
        <v>676.4</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577.4</v>
      </c>
      <c r="GK12">
        <f>INDEX(HaverPull!$B:$XZ,MATCH(Calculations!GK$9,HaverPull!$B:$B,0),MATCH(Calculations!$B12,HaverPull!$B$1:$XZ$1,0))</f>
        <v>578.79999999999995</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2777.8</v>
      </c>
      <c r="GK13">
        <f>INDEX(HaverPull!$B:$XZ,MATCH(Calculations!GK$9,HaverPull!$B:$B,0),MATCH(Calculations!$B13,HaverPull!$B$1:$XZ$1,0))</f>
        <v>2792.1</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1302.9000000000001</v>
      </c>
      <c r="GK14">
        <f>INDEX(HaverPull!$B:$XZ,MATCH(Calculations!GK$9,HaverPull!$B:$B,0),MATCH(Calculations!$B14,HaverPull!$B$1:$XZ$1,0))</f>
        <v>1316.2</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2012.9</v>
      </c>
      <c r="GK15">
        <f>INDEX(HaverPull!$B:$XZ,MATCH(Calculations!GK$9,HaverPull!$B:$B,0),MATCH(Calculations!$B15,HaverPull!$B$1:$XZ$1,0))</f>
        <v>2053</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1321.3</v>
      </c>
      <c r="GK16">
        <f>INDEX(HaverPull!$B:$XZ,MATCH(Calculations!GK$9,HaverPull!$B:$B,0),MATCH(Calculations!$B16,HaverPull!$B$1:$XZ$1,0))</f>
        <v>1336.4</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468.8</v>
      </c>
      <c r="GK17">
        <f>IFERROR(INDEX(HaverPull!$B:$XZ,MATCH(Calculations!GK$9,HaverPull!$B:$B,0),MATCH(Calculations!$B17,HaverPull!$B$1:$XZ$1,0)),INDEX(HaverPull!$B:$XZ,MATCH(Calculations!GJ$9,HaverPull!$B:$B,0),MATCH(Calculations!$B17,HaverPull!$B$1:$XZ$1,0)))</f>
        <v>468.8</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17031.099999999999</v>
      </c>
      <c r="GK19">
        <f>INDEX(HaverPull!$B:$XZ,MATCH(Calculations!GK$9,HaverPull!$B:$B,0),MATCH(Calculations!$B19,HaverPull!$B$1:$XZ$1,0))</f>
        <v>17156.900000000001</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f>INDEX(HaverPull!$B:$XZ,MATCH(Calculations!GK$9,HaverPull!$B:$B,0),MATCH(Calculations!$B20,HaverPull!$B$1:$XZ$1,0))</f>
        <v>17125.5</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11853</v>
      </c>
      <c r="GK21">
        <f>INDEX(HaverPull!$B:$XZ,MATCH(Calculations!GK$9,HaverPull!$B:$B,0),MATCH(Calculations!$B21,HaverPull!$B$1:$XZ$1,0))</f>
        <v>11922.1</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13307</v>
      </c>
      <c r="GK22">
        <f>INDEX(HaverPull!$B:$XZ,MATCH(Calculations!GK$9,HaverPull!$B:$B,0),MATCH(Calculations!$B22,HaverPull!$B$1:$XZ$1,0))</f>
        <v>13434.7</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1.1226799999999999</v>
      </c>
      <c r="GK23">
        <f>INDEX(HaverPull!$B:$XZ,MATCH(Calculations!GK$9,HaverPull!$B:$B,0),MATCH(Calculations!$B23,HaverPull!$B$1:$XZ$1,0))</f>
        <v>1.12687</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19250</v>
      </c>
      <c r="GK24">
        <f>INDEX(HaverPull!$B:$XZ,MATCH(Calculations!GK$9,HaverPull!$B:$B,0),MATCH(Calculations!$B24,HaverPull!$B$1:$XZ$1,0))</f>
        <v>19495.5</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-0.03</v>
      </c>
      <c r="GK25">
        <f>INDEX(HaverPull!$B:$XZ,MATCH(Calculations!GK$9,HaverPull!$B:$B,0),MATCH(Calculations!$B25,HaverPull!$B$1:$XZ$1,0))</f>
        <v>-0.02</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3332.1</v>
      </c>
      <c r="GK26">
        <f>INDEX(HaverPull!$B:$XZ,MATCH(Calculations!GK$9,HaverPull!$B:$B,0),MATCH(Calculations!$B26,HaverPull!$B$1:$XZ$1,0))</f>
        <v>3351.5</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f>INDEX(HaverPull!$B:$XZ,MATCH(Calculations!GK$9,HaverPull!$B:$B,0),MATCH(Calculations!$B27,HaverPull!$B$1:$XZ$1,0))</f>
        <v>0</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f t="shared" si="2"/>
        <v>0</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f t="shared" si="6"/>
        <v>0</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1248.9000000000001</v>
      </c>
      <c r="GK32">
        <f t="shared" si="10"/>
        <v>1255.1999999999998</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1528.9</v>
      </c>
      <c r="GK33">
        <f t="shared" si="14"/>
        <v>1536.9</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4637.1000000000004</v>
      </c>
      <c r="GK34">
        <f t="shared" si="18"/>
        <v>4705.6000000000004</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380.20000000000005</v>
      </c>
      <c r="GK35">
        <f t="shared" si="22"/>
        <v>380.20000000000005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1116.7649999999999</v>
      </c>
      <c r="GK38">
        <f ca="1">IF(ISERROR(INDIRECT(ADDRESS(ROW(GK32),COLUMN(GK32)-3))),"n/a",IF(ISNUMBER(INDIRECT(ADDRESS(ROW(GK32),COLUMN(GK32)-3))),Calculations!$C$3*AVERAGE(GH32:GK32),"n/a"))</f>
        <v>1123.5600000000002</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e">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f ca="1">IF(ISERROR(INDIRECT(ADDRESS(ROW(GK33),COLUMN(GK33)-3))),"n/a",IF(ISNUMBER(INDIRECT(ADDRESS(ROW(GK33),COLUMN(GK33)-3))),Calculations!$C$4*AVERAGE(GH33:GK33),"n/a"))</f>
        <v>1369.71</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e">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-2723.9279999999999</v>
      </c>
      <c r="GK40">
        <f t="shared" ref="GK40" ca="1" si="42">IF(ISERROR(INDIRECT(ADDRESS(ROW(GK34),COLUMN(GK34)-7))),"n/a",IF(ISNUMBER(INDIRECT(ADDRESS(ROW(GK34),COLUMN(GK34)-7))),$C$5*($D$5*GK34+$E$5*GJ34+$F$5*AVERAGE(GD34:GI34)),"n/a"))</f>
        <v>-2746.8659999999995</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e">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-151.34</v>
      </c>
      <c r="GK41">
        <f ca="1">IF(ISERROR(INDIRECT(ADDRESS(ROW(GK35),COLUMN(GK35)-11))),"n/a",IF(ISNUMBER(INDIRECT(ADDRESS(ROW(GK35),COLUMN(GK35)-11))),Calculations!$C$6*AVERAGE(FZ35:GK35),"n/a"))</f>
        <v>-150.82999999999996</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-398.28800000000035</v>
      </c>
      <c r="GK45">
        <f t="shared" ca="1" si="60"/>
        <v>-404.42599999999902</v>
      </c>
      <c r="GL45" t="e">
        <f t="shared" ca="1" si="60"/>
        <v>#N/A</v>
      </c>
      <c r="GM45" t="e">
        <f t="shared" ca="1" si="60"/>
        <v>#N/A</v>
      </c>
      <c r="GN45" t="e">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-354.76538283393342</v>
      </c>
      <c r="GK46">
        <f t="shared" ca="1" si="63"/>
        <v>-358.8932174962498</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12207.765382833933</v>
      </c>
      <c r="GK47">
        <f t="shared" ca="1" si="67"/>
        <v>12280.993217496251</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3.2712215647136667</v>
      </c>
      <c r="GK50">
        <f t="shared" si="71"/>
        <v>2.352370039855578</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3.2459184996181278</v>
      </c>
      <c r="GK51">
        <f t="shared" ref="GK51" ca="1" si="91">IFERROR(((GK47/GJ47)^4-1)*100, "n/a")</f>
        <v>2.4210607882743762</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2.5303065095538813E-2</v>
      </c>
      <c r="GK52">
        <f t="shared" ca="1" si="109"/>
        <v>-6.8690748418798186E-2</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f t="shared" si="112"/>
        <v>1.587490551311066E-2</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3.0611716505002162E-2</v>
      </c>
      <c r="GK54">
        <f t="shared" si="116"/>
        <v>2.9874924451731122E-2</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0.69127272727272726</v>
      </c>
      <c r="GK57">
        <f t="shared" si="120"/>
        <v>0.68911800159011061</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1.7491318816952466E-2</v>
      </c>
      <c r="GK58">
        <f t="shared" ca="1" si="128"/>
        <v>-4.7336031278091259E-2</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-1.2508681183047533E-2</v>
      </c>
      <c r="GK59" s="35">
        <f t="shared" ca="1" si="131"/>
        <v>-6.7336031278091263E-2</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0.17309610389610389</v>
      </c>
      <c r="GK62">
        <f t="shared" si="135"/>
        <v>0.17191146674873689</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f t="shared" ref="GK63" si="152">IFERROR(GJ62*GK53*100, "n/a")</f>
        <v>0.27478842940382353</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0.53331210555265418</v>
      </c>
      <c r="GK64" s="30">
        <f t="shared" ref="GK64" si="179">IFERROR(GJ62*GK54*100, "n/a")</f>
        <v>0.51712330267851048</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-7.8981833515198857E-3</v>
      </c>
      <c r="GK67" s="6">
        <f t="shared" ref="GK67" ca="1" si="211">IF(ISTEXT(GH59), "n/a", AVERAGE(GH59:GK59))</f>
        <v>-7.7493387626970875E-3</v>
      </c>
      <c r="GL67" s="6">
        <f t="shared" ref="GL67" ca="1" si="212">IF(ISTEXT(GI59), "n/a", AVERAGE(GI59:GL59))</f>
        <v>-3.4343595116932024E-2</v>
      </c>
      <c r="GM67" s="6">
        <f t="shared" ref="GM67" ca="1" si="213">IF(ISTEXT(GJ59), "n/a", AVERAGE(GJ59:GM59))</f>
        <v>-3.9922356230569396E-2</v>
      </c>
      <c r="GN67" s="6">
        <f t="shared" ref="GN67" ca="1" si="214">IF(ISTEXT(GK59), "n/a", AVERAGE(GK59:GN59))</f>
        <v>-6.7336031278091263E-2</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0.2694861340459157</v>
      </c>
      <c r="GL68" s="6">
        <f t="shared" ref="GL68" si="240">IF(ISTEXT(GI63), "n/a", AVERAGE(GI63:GL63))</f>
        <v>0.27117966502431851</v>
      </c>
      <c r="GM68" s="6">
        <f t="shared" ref="GM68" si="241">IF(ISTEXT(GJ63), "n/a", AVERAGE(GJ63:GM63))</f>
        <v>0.27352224001570935</v>
      </c>
      <c r="GN68" s="6">
        <f t="shared" ref="GN68" si="242">IF(ISTEXT(GK63), "n/a", AVERAGE(GK63:GN63))</f>
        <v>0.27478842940382353</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-0.27503005927466234</v>
      </c>
      <c r="GK69" s="6">
        <f t="shared" ca="1" si="258"/>
        <v>-0.27723547280861277</v>
      </c>
      <c r="GL69" s="6">
        <f t="shared" ca="1" si="258"/>
        <v>-0.30552326014125053</v>
      </c>
      <c r="GM69" s="6">
        <f t="shared" ca="1" si="258"/>
        <v>-0.31344459624627874</v>
      </c>
      <c r="GN69" s="6">
        <f t="shared" ca="1" si="258"/>
        <v>-0.34212446068191482</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-0.54582078673570167</v>
      </c>
      <c r="GK70" s="6">
        <f t="shared" ca="1" si="265"/>
        <v>-0.58445933395660177</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115" zoomScaleNormal="100" zoomScaleSheetLayoutView="115" zoomScalePageLayoutView="85" workbookViewId="0">
      <selection activeCell="M25" sqref="M25"/>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404</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402</v>
      </c>
      <c r="C47" s="89"/>
      <c r="D47" s="89"/>
      <c r="E47" s="90" t="s">
        <v>403</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workbookViewId="0">
      <pane ySplit="1" topLeftCell="A2" activePane="bottomLeft" state="frozen"/>
      <selection pane="bottomLeft" activeCell="H1" sqref="H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396</v>
      </c>
      <c r="C1" t="s">
        <v>397</v>
      </c>
      <c r="D1" t="s">
        <v>398</v>
      </c>
      <c r="E1" s="9" t="s">
        <v>399</v>
      </c>
      <c r="F1" s="9" t="s">
        <v>400</v>
      </c>
      <c r="G1" s="9" t="s">
        <v>401</v>
      </c>
      <c r="H1" s="9" t="s">
        <v>248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65">
        <f>INDEX(Calculations!$1:$80, MATCH("Neutral, Four-Quarter Moving Average", Calculations!$B:$B, 0), MATCH(fiscal_ifinal!$A2, Calculations!$9:$9, 0))</f>
        <v>0.72477904806328919</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H3" s="65">
        <f>INDEX(Calculations!$1:$80, MATCH("Neutral, Four-Quarter Moving Average", Calculations!$B:$B, 0), MATCH(fiscal_ifinal!$A3, Calculations!$9:$9, 0))</f>
        <v>0.71936350077518929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H4" s="65">
        <f>INDEX(Calculations!$1:$80, MATCH("Neutral, Four-Quarter Moving Average", Calculations!$B:$B, 0), MATCH(fiscal_ifinal!$A4, Calculations!$9:$9, 0))</f>
        <v>0.71025869686907961</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H5" s="65">
        <f>INDEX(Calculations!$1:$80, MATCH("Neutral, Four-Quarter Moving Average", Calculations!$B:$B, 0), MATCH(fiscal_ifinal!$A5, Calculations!$9:$9, 0))</f>
        <v>0.69811497297132441</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H6" s="65">
        <f>INDEX(Calculations!$1:$80, MATCH("Neutral, Four-Quarter Moving Average", Calculations!$B:$B, 0), MATCH(fiscal_ifinal!$A6, Calculations!$9:$9, 0))</f>
        <v>0.68440842216827202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H7" s="65">
        <f>INDEX(Calculations!$1:$80, MATCH("Neutral, Four-Quarter Moving Average", Calculations!$B:$B, 0), MATCH(fiscal_ifinal!$A7, Calculations!$9:$9, 0))</f>
        <v>0.66529760097282908</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H8" s="65">
        <f>INDEX(Calculations!$1:$80, MATCH("Neutral, Four-Quarter Moving Average", Calculations!$B:$B, 0), MATCH(fiscal_ifinal!$A8, Calculations!$9:$9, 0))</f>
        <v>0.64561389119238399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H9" s="65">
        <f>INDEX(Calculations!$1:$80, MATCH("Neutral, Four-Quarter Moving Average", Calculations!$B:$B, 0), MATCH(fiscal_ifinal!$A9, Calculations!$9:$9, 0))</f>
        <v>0.62344817665163599</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H10" s="65">
        <f>INDEX(Calculations!$1:$80, MATCH("Neutral, Four-Quarter Moving Average", Calculations!$B:$B, 0), MATCH(fiscal_ifinal!$A10, Calculations!$9:$9, 0))</f>
        <v>0.59715985754834899</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H11" s="65">
        <f>INDEX(Calculations!$1:$80, MATCH("Neutral, Four-Quarter Moving Average", Calculations!$B:$B, 0), MATCH(fiscal_ifinal!$A11, Calculations!$9:$9, 0))</f>
        <v>0.56994836810970628</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H12" s="65">
        <f>INDEX(Calculations!$1:$80, MATCH("Neutral, Four-Quarter Moving Average", Calculations!$B:$B, 0), MATCH(fiscal_ifinal!$A12, Calculations!$9:$9, 0))</f>
        <v>0.54336184769436746</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H13" s="65">
        <f>INDEX(Calculations!$1:$80, MATCH("Neutral, Four-Quarter Moving Average", Calculations!$B:$B, 0), MATCH(fiscal_ifinal!$A13, Calculations!$9:$9, 0))</f>
        <v>0.51992540660952202</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H14" s="65">
        <f>INDEX(Calculations!$1:$80, MATCH("Neutral, Four-Quarter Moving Average", Calculations!$B:$B, 0), MATCH(fiscal_ifinal!$A14, Calculations!$9:$9, 0))</f>
        <v>0.50592449988454602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H15" s="65">
        <f>INDEX(Calculations!$1:$80, MATCH("Neutral, Four-Quarter Moving Average", Calculations!$B:$B, 0), MATCH(fiscal_ifinal!$A15, Calculations!$9:$9, 0))</f>
        <v>0.4959618539753432</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H16" s="65">
        <f>INDEX(Calculations!$1:$80, MATCH("Neutral, Four-Quarter Moving Average", Calculations!$B:$B, 0), MATCH(fiscal_ifinal!$A16, Calculations!$9:$9, 0))</f>
        <v>0.48962469137314235</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H17" s="65">
        <f>INDEX(Calculations!$1:$80, MATCH("Neutral, Four-Quarter Moving Average", Calculations!$B:$B, 0), MATCH(fiscal_ifinal!$A17, Calculations!$9:$9, 0))</f>
        <v>0.48456986372998689</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H18" s="65">
        <f>INDEX(Calculations!$1:$80, MATCH("Neutral, Four-Quarter Moving Average", Calculations!$B:$B, 0), MATCH(fiscal_ifinal!$A18, Calculations!$9:$9, 0))</f>
        <v>0.47999196799582861</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H19" s="65">
        <f>INDEX(Calculations!$1:$80, MATCH("Neutral, Four-Quarter Moving Average", Calculations!$B:$B, 0), MATCH(fiscal_ifinal!$A19, Calculations!$9:$9, 0))</f>
        <v>0.48156854588512948</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H20" s="65">
        <f>INDEX(Calculations!$1:$80, MATCH("Neutral, Four-Quarter Moving Average", Calculations!$B:$B, 0), MATCH(fiscal_ifinal!$A20, Calculations!$9:$9, 0))</f>
        <v>0.48381659183830528</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H21" s="65">
        <f>INDEX(Calculations!$1:$80, MATCH("Neutral, Four-Quarter Moving Average", Calculations!$B:$B, 0), MATCH(fiscal_ifinal!$A21, Calculations!$9:$9, 0))</f>
        <v>0.48772953161675398</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H22" s="65">
        <f>INDEX(Calculations!$1:$80, MATCH("Neutral, Four-Quarter Moving Average", Calculations!$B:$B, 0), MATCH(fiscal_ifinal!$A22, Calculations!$9:$9, 0))</f>
        <v>0.48883826327339208</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H23" s="65">
        <f>INDEX(Calculations!$1:$80, MATCH("Neutral, Four-Quarter Moving Average", Calculations!$B:$B, 0), MATCH(fiscal_ifinal!$A23, Calculations!$9:$9, 0))</f>
        <v>0.48288283910084961</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H24" s="65">
        <f>INDEX(Calculations!$1:$80, MATCH("Neutral, Four-Quarter Moving Average", Calculations!$B:$B, 0), MATCH(fiscal_ifinal!$A24, Calculations!$9:$9, 0))</f>
        <v>0.4735247963004503</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H25" s="65">
        <f>INDEX(Calculations!$1:$80, MATCH("Neutral, Four-Quarter Moving Average", Calculations!$B:$B, 0), MATCH(fiscal_ifinal!$A25, Calculations!$9:$9, 0))</f>
        <v>0.46084199503432427</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H26" s="65">
        <f>INDEX(Calculations!$1:$80, MATCH("Neutral, Four-Quarter Moving Average", Calculations!$B:$B, 0), MATCH(fiscal_ifinal!$A26, Calculations!$9:$9, 0))</f>
        <v>0.44192217275906631</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H27" s="65">
        <f>INDEX(Calculations!$1:$80, MATCH("Neutral, Four-Quarter Moving Average", Calculations!$B:$B, 0), MATCH(fiscal_ifinal!$A27, Calculations!$9:$9, 0))</f>
        <v>0.41949678216185671</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H28" s="65">
        <f>INDEX(Calculations!$1:$80, MATCH("Neutral, Four-Quarter Moving Average", Calculations!$B:$B, 0), MATCH(fiscal_ifinal!$A28, Calculations!$9:$9, 0))</f>
        <v>0.39694909819623897</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c r="H29" s="65">
        <f>INDEX(Calculations!$1:$80, MATCH("Neutral, Four-Quarter Moving Average", Calculations!$B:$B, 0), MATCH(fiscal_ifinal!$A29, Calculations!$9:$9, 0))</f>
        <v>0.37530733066784777</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c r="H30" s="65">
        <f>INDEX(Calculations!$1:$80, MATCH("Neutral, Four-Quarter Moving Average", Calculations!$B:$B, 0), MATCH(fiscal_ifinal!$A30, Calculations!$9:$9, 0))</f>
        <v>0.35963919579749176</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c r="H31" s="65">
        <f>INDEX(Calculations!$1:$80, MATCH("Neutral, Four-Quarter Moving Average", Calculations!$B:$B, 0), MATCH(fiscal_ifinal!$A31, Calculations!$9:$9, 0))</f>
        <v>0.35039744083742058</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c r="H32" s="65">
        <f>INDEX(Calculations!$1:$80, MATCH("Neutral, Four-Quarter Moving Average", Calculations!$B:$B, 0), MATCH(fiscal_ifinal!$A32, Calculations!$9:$9, 0))</f>
        <v>0.34362000226302719</v>
      </c>
    </row>
    <row r="33" spans="1:8"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c r="H33" s="65">
        <f>INDEX(Calculations!$1:$80, MATCH("Neutral, Four-Quarter Moving Average", Calculations!$B:$B, 0), MATCH(fiscal_ifinal!$A33, Calculations!$9:$9, 0))</f>
        <v>0.33889775461423</v>
      </c>
    </row>
    <row r="34" spans="1:8"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c r="H34" s="65">
        <f>INDEX(Calculations!$1:$80, MATCH("Neutral, Four-Quarter Moving Average", Calculations!$B:$B, 0), MATCH(fiscal_ifinal!$A34, Calculations!$9:$9, 0))</f>
        <v>0.33724195749949165</v>
      </c>
    </row>
    <row r="35" spans="1:8"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c r="H35" s="65">
        <f>INDEX(Calculations!$1:$80, MATCH("Neutral, Four-Quarter Moving Average", Calculations!$B:$B, 0), MATCH(fiscal_ifinal!$A35, Calculations!$9:$9, 0))</f>
        <v>0.33807740429984284</v>
      </c>
    </row>
    <row r="36" spans="1:8"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c r="H36" s="65">
        <f>INDEX(Calculations!$1:$80, MATCH("Neutral, Four-Quarter Moving Average", Calculations!$B:$B, 0), MATCH(fiscal_ifinal!$A36, Calculations!$9:$9, 0))</f>
        <v>0.33797190645695108</v>
      </c>
    </row>
    <row r="37" spans="1:8"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c r="H37" s="65">
        <f>INDEX(Calculations!$1:$80, MATCH("Neutral, Four-Quarter Moving Average", Calculations!$B:$B, 0), MATCH(fiscal_ifinal!$A37, Calculations!$9:$9, 0))</f>
        <v>0.33613420014836243</v>
      </c>
    </row>
    <row r="38" spans="1:8"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c r="H38" s="65">
        <f>INDEX(Calculations!$1:$80, MATCH("Neutral, Four-Quarter Moving Average", Calculations!$B:$B, 0), MATCH(fiscal_ifinal!$A38, Calculations!$9:$9, 0))</f>
        <v>0.32747847872628766</v>
      </c>
    </row>
    <row r="39" spans="1:8"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c r="H39" s="65">
        <f>INDEX(Calculations!$1:$80, MATCH("Neutral, Four-Quarter Moving Average", Calculations!$B:$B, 0), MATCH(fiscal_ifinal!$A39, Calculations!$9:$9, 0))</f>
        <v>0.30548431494009926</v>
      </c>
    </row>
    <row r="40" spans="1:8"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c r="H40" s="65">
        <f>INDEX(Calculations!$1:$80, MATCH("Neutral, Four-Quarter Moving Average", Calculations!$B:$B, 0), MATCH(fiscal_ifinal!$A40, Calculations!$9:$9, 0))</f>
        <v>0.28079313664946315</v>
      </c>
    </row>
    <row r="41" spans="1:8"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c r="H41" s="65">
        <f>INDEX(Calculations!$1:$80, MATCH("Neutral, Four-Quarter Moving Average", Calculations!$B:$B, 0), MATCH(fiscal_ifinal!$A41, Calculations!$9:$9, 0))</f>
        <v>0.25431790952340505</v>
      </c>
    </row>
    <row r="42" spans="1:8"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c r="H42" s="65">
        <f>INDEX(Calculations!$1:$80, MATCH("Neutral, Four-Quarter Moving Average", Calculations!$B:$B, 0), MATCH(fiscal_ifinal!$A42, Calculations!$9:$9, 0))</f>
        <v>0.22697474319424218</v>
      </c>
    </row>
    <row r="43" spans="1:8"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c r="H43" s="65">
        <f>INDEX(Calculations!$1:$80, MATCH("Neutral, Four-Quarter Moving Average", Calculations!$B:$B, 0), MATCH(fiscal_ifinal!$A43, Calculations!$9:$9, 0))</f>
        <v>0.20918557745488367</v>
      </c>
    </row>
    <row r="44" spans="1:8"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c r="H44" s="65">
        <f>INDEX(Calculations!$1:$80, MATCH("Neutral, Four-Quarter Moving Average", Calculations!$B:$B, 0), MATCH(fiscal_ifinal!$A44, Calculations!$9:$9, 0))</f>
        <v>0.19619705410337501</v>
      </c>
    </row>
    <row r="45" spans="1:8"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c r="H45" s="65">
        <f>INDEX(Calculations!$1:$80, MATCH("Neutral, Four-Quarter Moving Average", Calculations!$B:$B, 0), MATCH(fiscal_ifinal!$A45, Calculations!$9:$9, 0))</f>
        <v>0.18911095413534426</v>
      </c>
    </row>
    <row r="46" spans="1:8"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c r="H46" s="65">
        <f>INDEX(Calculations!$1:$80, MATCH("Neutral, Four-Quarter Moving Average", Calculations!$B:$B, 0), MATCH(fiscal_ifinal!$A46, Calculations!$9:$9, 0))</f>
        <v>0.19620812401736204</v>
      </c>
    </row>
    <row r="47" spans="1:8"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c r="H47" s="65">
        <f>INDEX(Calculations!$1:$80, MATCH("Neutral, Four-Quarter Moving Average", Calculations!$B:$B, 0), MATCH(fiscal_ifinal!$A47, Calculations!$9:$9, 0))</f>
        <v>0.20695202876929247</v>
      </c>
    </row>
    <row r="48" spans="1:8"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c r="H48" s="65">
        <f>INDEX(Calculations!$1:$80, MATCH("Neutral, Four-Quarter Moving Average", Calculations!$B:$B, 0), MATCH(fiscal_ifinal!$A48, Calculations!$9:$9, 0))</f>
        <v>0.22052720892831362</v>
      </c>
    </row>
    <row r="49" spans="1:8"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c r="H49" s="65">
        <f>INDEX(Calculations!$1:$80, MATCH("Neutral, Four-Quarter Moving Average", Calculations!$B:$B, 0), MATCH(fiscal_ifinal!$A49, Calculations!$9:$9, 0))</f>
        <v>0.23510538412175674</v>
      </c>
    </row>
    <row r="50" spans="1:8"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c r="H50" s="65">
        <f>INDEX(Calculations!$1:$80, MATCH("Neutral, Four-Quarter Moving Average", Calculations!$B:$B, 0), MATCH(fiscal_ifinal!$A50, Calculations!$9:$9, 0))</f>
        <v>0.24349744224724684</v>
      </c>
    </row>
    <row r="51" spans="1:8"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c r="H51" s="65">
        <f>INDEX(Calculations!$1:$80, MATCH("Neutral, Four-Quarter Moving Average", Calculations!$B:$B, 0), MATCH(fiscal_ifinal!$A51, Calculations!$9:$9, 0))</f>
        <v>0.25273937773058186</v>
      </c>
    </row>
    <row r="52" spans="1:8"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c r="H52" s="65">
        <f>INDEX(Calculations!$1:$80, MATCH("Neutral, Four-Quarter Moving Average", Calculations!$B:$B, 0), MATCH(fiscal_ifinal!$A52, Calculations!$9:$9, 0))</f>
        <v>0.2610338206793259</v>
      </c>
    </row>
    <row r="53" spans="1:8"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c r="H53" s="65">
        <f>INDEX(Calculations!$1:$80, MATCH("Neutral, Four-Quarter Moving Average", Calculations!$B:$B, 0), MATCH(fiscal_ifinal!$A53, Calculations!$9:$9, 0))</f>
        <v>0.26876402791370507</v>
      </c>
    </row>
    <row r="54" spans="1:8"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c r="H54" s="65">
        <f>INDEX(Calculations!$1:$80, MATCH("Neutral, Four-Quarter Moving Average", Calculations!$B:$B, 0), MATCH(fiscal_ifinal!$A54, Calculations!$9:$9, 0))</f>
        <v>0.27688458697984564</v>
      </c>
    </row>
    <row r="55" spans="1:8"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c r="H55" s="65">
        <f>INDEX(Calculations!$1:$80, MATCH("Neutral, Four-Quarter Moving Average", Calculations!$B:$B, 0), MATCH(fiscal_ifinal!$A55, Calculations!$9:$9, 0))</f>
        <v>0.28240753967254884</v>
      </c>
    </row>
    <row r="56" spans="1:8"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c r="H56" s="65">
        <f>INDEX(Calculations!$1:$80, MATCH("Neutral, Four-Quarter Moving Average", Calculations!$B:$B, 0), MATCH(fiscal_ifinal!$A56, Calculations!$9:$9, 0))</f>
        <v>0.28718195971147142</v>
      </c>
    </row>
    <row r="57" spans="1:8"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c r="H57" s="65">
        <f>INDEX(Calculations!$1:$80, MATCH("Neutral, Four-Quarter Moving Average", Calculations!$B:$B, 0), MATCH(fiscal_ifinal!$A57, Calculations!$9:$9, 0))</f>
        <v>0.29034485299110419</v>
      </c>
    </row>
    <row r="58" spans="1:8"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c r="H58" s="65">
        <f>INDEX(Calculations!$1:$80, MATCH("Neutral, Four-Quarter Moving Average", Calculations!$B:$B, 0), MATCH(fiscal_ifinal!$A58, Calculations!$9:$9, 0))</f>
        <v>0.29140869555118665</v>
      </c>
    </row>
    <row r="59" spans="1:8"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c r="H59" s="65">
        <f>INDEX(Calculations!$1:$80, MATCH("Neutral, Four-Quarter Moving Average", Calculations!$B:$B, 0), MATCH(fiscal_ifinal!$A59, Calculations!$9:$9, 0))</f>
        <v>0.29407345591407758</v>
      </c>
    </row>
    <row r="60" spans="1:8"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c r="H60" s="65">
        <f>INDEX(Calculations!$1:$80, MATCH("Neutral, Four-Quarter Moving Average", Calculations!$B:$B, 0), MATCH(fiscal_ifinal!$A60, Calculations!$9:$9, 0))</f>
        <v>0.29561283020821055</v>
      </c>
    </row>
    <row r="61" spans="1:8"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c r="H61" s="65">
        <f>INDEX(Calculations!$1:$80, MATCH("Neutral, Four-Quarter Moving Average", Calculations!$B:$B, 0), MATCH(fiscal_ifinal!$A61, Calculations!$9:$9, 0))</f>
        <v>0.2967890318065991</v>
      </c>
    </row>
    <row r="62" spans="1:8"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c r="H62" s="65">
        <f>INDEX(Calculations!$1:$80, MATCH("Neutral, Four-Quarter Moving Average", Calculations!$B:$B, 0), MATCH(fiscal_ifinal!$A62, Calculations!$9:$9, 0))</f>
        <v>0.29802607268746617</v>
      </c>
    </row>
    <row r="63" spans="1:8"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c r="H63" s="65">
        <f>INDEX(Calculations!$1:$80, MATCH("Neutral, Four-Quarter Moving Average", Calculations!$B:$B, 0), MATCH(fiscal_ifinal!$A63, Calculations!$9:$9, 0))</f>
        <v>0.29608095000912965</v>
      </c>
    </row>
    <row r="64" spans="1:8"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c r="H64" s="65">
        <f>INDEX(Calculations!$1:$80, MATCH("Neutral, Four-Quarter Moving Average", Calculations!$B:$B, 0), MATCH(fiscal_ifinal!$A64, Calculations!$9:$9, 0))</f>
        <v>0.29368951012929051</v>
      </c>
    </row>
    <row r="65" spans="1:8"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c r="H65" s="65">
        <f>INDEX(Calculations!$1:$80, MATCH("Neutral, Four-Quarter Moving Average", Calculations!$B:$B, 0), MATCH(fiscal_ifinal!$A65, Calculations!$9:$9, 0))</f>
        <v>0.29044421842275803</v>
      </c>
    </row>
    <row r="66" spans="1:8"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c r="H66" s="65">
        <f>INDEX(Calculations!$1:$80, MATCH("Neutral, Four-Quarter Moving Average", Calculations!$B:$B, 0), MATCH(fiscal_ifinal!$A66, Calculations!$9:$9, 0))</f>
        <v>0.28566213815742164</v>
      </c>
    </row>
    <row r="67" spans="1:8"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c r="H67" s="65">
        <f>INDEX(Calculations!$1:$80, MATCH("Neutral, Four-Quarter Moving Average", Calculations!$B:$B, 0), MATCH(fiscal_ifinal!$A67, Calculations!$9:$9, 0))</f>
        <v>0.28025623780780834</v>
      </c>
    </row>
    <row r="68" spans="1:8"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c r="H68" s="65">
        <f>INDEX(Calculations!$1:$80, MATCH("Neutral, Four-Quarter Moving Average", Calculations!$B:$B, 0), MATCH(fiscal_ifinal!$A68, Calculations!$9:$9, 0))</f>
        <v>0.27429226553313601</v>
      </c>
    </row>
    <row r="69" spans="1:8"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c r="H69" s="65">
        <f>INDEX(Calculations!$1:$80, MATCH("Neutral, Four-Quarter Moving Average", Calculations!$B:$B, 0), MATCH(fiscal_ifinal!$A69, Calculations!$9:$9, 0))</f>
        <v>0.26911415275853878</v>
      </c>
    </row>
    <row r="70" spans="1:8"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c r="H70" s="65">
        <f>INDEX(Calculations!$1:$80, MATCH("Neutral, Four-Quarter Moving Average", Calculations!$B:$B, 0), MATCH(fiscal_ifinal!$A70, Calculations!$9:$9, 0))</f>
        <v>0.26648501609715597</v>
      </c>
    </row>
    <row r="71" spans="1:8" x14ac:dyDescent="0.25">
      <c r="A71" s="64">
        <f>INDEX(Calculations!$9:$9, , ROW()+121)</f>
        <v>42916</v>
      </c>
      <c r="B71" s="70">
        <f ca="1">INDEX(Calculations!$1:$80, MATCH("Fiscal_Impact", Calculations!$B:$B, 0), MATCH(fiscal_ifinal!$A71, Calculations!$9:$9, 0))</f>
        <v>-7.8981833515198857E-3</v>
      </c>
      <c r="C71" s="66">
        <f>INDEX(Calculations!$1:$80, MATCH("RecessionDummy", Calculations!$B:$B, 0), MATCH(fiscal_ifinal!$A71, Calculations!$9:$9, 0))</f>
        <v>0</v>
      </c>
      <c r="D71" s="70">
        <f ca="1">INDEX(Calculations!$1:$80, MATCH("Fiscal_Impact_bars", Calculations!$B:$B, 0), MATCH(fiscal_ifinal!$A71, Calculations!$9:$9, 0))</f>
        <v>-1.2508681183047533E-2</v>
      </c>
      <c r="E71" s="65">
        <f>INDEX(HaverPull!$B:$XZ,MATCH($A71,HaverPull!$B:$B,0),MATCH("Contribution to %Ch in Real GDP from ""Federal G""",HaverPull!$B$1:$XZ$1,0))</f>
        <v>0.13</v>
      </c>
      <c r="F71" s="65">
        <f>INDEX(HaverPull!$B:$XZ,MATCH($A71,HaverPull!$B:$B,0),MATCH("Contribution to %Ch in Real GDP from ""S+L G""",HaverPull!$B$1:$XZ$1,0))</f>
        <v>-0.16</v>
      </c>
      <c r="G71" s="65">
        <f ca="1">INDEX(Calculations!$A:$GV,MATCH("Contribution of Consumption Growth to Real GDP",Calculations!B$1:B$71,0),MATCH($A71,Calculations!A$9:GV$9))</f>
        <v>1.7491318816952466E-2</v>
      </c>
      <c r="H71" s="65">
        <f>INDEX(Calculations!$1:$80, MATCH("Neutral, Four-Quarter Moving Average", Calculations!$B:$B, 0), MATCH(fiscal_ifinal!$A71, Calculations!$9:$9, 0))</f>
        <v>0.26713187592314247</v>
      </c>
    </row>
    <row r="72" spans="1:8" x14ac:dyDescent="0.25">
      <c r="A72" s="64">
        <f>INDEX(Calculations!$9:$9, , ROW()+121)</f>
        <v>43008</v>
      </c>
      <c r="B72" s="70">
        <f ca="1">INDEX(Calculations!$1:$80, MATCH("Fiscal_Impact", Calculations!$B:$B, 0), MATCH(fiscal_ifinal!$A72, Calculations!$9:$9, 0))</f>
        <v>-7.7493387626970875E-3</v>
      </c>
      <c r="C72" s="66">
        <f>INDEX(Calculations!$1:$80, MATCH("RecessionDummy", Calculations!$B:$B, 0), MATCH(fiscal_ifinal!$A72, Calculations!$9:$9, 0))</f>
        <v>0</v>
      </c>
      <c r="D72" s="70">
        <f ca="1">INDEX(Calculations!$1:$80, MATCH("Fiscal_Impact_bars", Calculations!$B:$B, 0), MATCH(fiscal_ifinal!$A72, Calculations!$9:$9, 0))</f>
        <v>-6.7336031278091263E-2</v>
      </c>
      <c r="E72" s="65">
        <f>INDEX(HaverPull!$B:$XZ,MATCH($A72,HaverPull!$B:$B,0),MATCH("Contribution to %Ch in Real GDP from ""Federal G""",HaverPull!$B$1:$XZ$1,0))</f>
        <v>0.08</v>
      </c>
      <c r="F72" s="65">
        <f>INDEX(HaverPull!$B:$XZ,MATCH($A72,HaverPull!$B:$B,0),MATCH("Contribution to %Ch in Real GDP from ""S+L G""",HaverPull!$B$1:$XZ$1,0))</f>
        <v>-0.09</v>
      </c>
      <c r="G72" s="65">
        <f ca="1">INDEX(Calculations!$A:$GV,MATCH("Contribution of Consumption Growth to Real GDP",Calculations!B$1:B$71,0),MATCH($A72,Calculations!A$9:GV$9))</f>
        <v>-4.7336031278091259E-2</v>
      </c>
      <c r="H72" s="65">
        <f>INDEX(Calculations!$1:$80, MATCH("Neutral, Four-Quarter Moving Average", Calculations!$B:$B, 0), MATCH(fiscal_ifinal!$A72, Calculations!$9:$9, 0))</f>
        <v>0.2694861340459157</v>
      </c>
    </row>
    <row r="73" spans="1:8" x14ac:dyDescent="0.25">
      <c r="A73" s="64"/>
      <c r="B73" s="65"/>
      <c r="C73" s="66"/>
      <c r="D73" s="65"/>
      <c r="E73" s="65"/>
      <c r="F73" s="65"/>
      <c r="G73" s="65"/>
    </row>
    <row r="74" spans="1:8" x14ac:dyDescent="0.25">
      <c r="A74" s="64"/>
      <c r="B74" s="65"/>
      <c r="C74" s="66"/>
      <c r="D74" s="65"/>
      <c r="E74" s="65"/>
      <c r="F74" s="65"/>
      <c r="G74" s="65"/>
    </row>
    <row r="75" spans="1:8" x14ac:dyDescent="0.25">
      <c r="A75" s="64"/>
      <c r="B75" s="65"/>
      <c r="C75" s="66"/>
      <c r="D75" s="65"/>
      <c r="E75" s="65"/>
      <c r="F75" s="65"/>
      <c r="G75" s="65"/>
    </row>
    <row r="76" spans="1:8" x14ac:dyDescent="0.25">
      <c r="A76" s="64"/>
      <c r="B76" s="65"/>
      <c r="C76" s="66"/>
      <c r="D76" s="65"/>
      <c r="E76" s="65"/>
      <c r="F76" s="65"/>
      <c r="G76" s="65"/>
    </row>
    <row r="77" spans="1:8" x14ac:dyDescent="0.25">
      <c r="A77" s="64"/>
      <c r="B77" s="65"/>
      <c r="C77" s="66"/>
      <c r="D77" s="65"/>
      <c r="E77" s="65"/>
      <c r="F77" s="65"/>
      <c r="G77" s="65"/>
    </row>
    <row r="78" spans="1:8" x14ac:dyDescent="0.25">
      <c r="A78" s="64"/>
      <c r="B78" s="65"/>
      <c r="C78" s="66"/>
      <c r="D78" s="65"/>
      <c r="E78" s="65"/>
      <c r="F78" s="65"/>
      <c r="G78" s="65"/>
    </row>
    <row r="79" spans="1:8" x14ac:dyDescent="0.25">
      <c r="A79" s="64"/>
      <c r="B79" s="65"/>
      <c r="C79" s="66"/>
      <c r="D79" s="65"/>
      <c r="E79" s="65"/>
      <c r="F79" s="65"/>
      <c r="G79" s="65"/>
    </row>
    <row r="80" spans="1:8"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6"/>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412</v>
      </c>
      <c r="B1" s="15" t="s">
        <v>61</v>
      </c>
      <c r="C1" t="s">
        <v>406</v>
      </c>
      <c r="D1" s="15" t="s">
        <v>412</v>
      </c>
      <c r="E1" s="15" t="s">
        <v>61</v>
      </c>
      <c r="F1" t="s">
        <v>407</v>
      </c>
      <c r="G1" s="15" t="s">
        <v>412</v>
      </c>
      <c r="H1" s="15" t="s">
        <v>61</v>
      </c>
      <c r="I1" t="s">
        <v>408</v>
      </c>
      <c r="J1" s="15" t="s">
        <v>412</v>
      </c>
      <c r="K1" s="15" t="s">
        <v>61</v>
      </c>
      <c r="L1" t="s">
        <v>409</v>
      </c>
      <c r="M1" s="15" t="s">
        <v>412</v>
      </c>
      <c r="N1" s="15" t="s">
        <v>61</v>
      </c>
      <c r="O1" t="s">
        <v>410</v>
      </c>
      <c r="Q1" s="93" t="s">
        <v>542</v>
      </c>
      <c r="R1" s="93" t="s">
        <v>543</v>
      </c>
      <c r="S1" s="92" t="s">
        <v>544</v>
      </c>
      <c r="T1" s="92" t="s">
        <v>545</v>
      </c>
      <c r="V1" s="15" t="s">
        <v>549</v>
      </c>
      <c r="W1" s="15" t="s">
        <v>61</v>
      </c>
      <c r="X1" t="s">
        <v>546</v>
      </c>
      <c r="Y1" t="s">
        <v>411</v>
      </c>
    </row>
    <row r="2" spans="1:25" x14ac:dyDescent="0.25">
      <c r="A2" t="s">
        <v>57</v>
      </c>
      <c r="C2" t="s">
        <v>420</v>
      </c>
      <c r="D2" t="s">
        <v>57</v>
      </c>
      <c r="F2" t="s">
        <v>534</v>
      </c>
      <c r="G2" t="s">
        <v>57</v>
      </c>
      <c r="I2" t="s">
        <v>536</v>
      </c>
      <c r="J2" t="s">
        <v>57</v>
      </c>
      <c r="L2" t="s">
        <v>538</v>
      </c>
      <c r="M2" t="s">
        <v>57</v>
      </c>
      <c r="O2" t="s">
        <v>541</v>
      </c>
      <c r="Q2" s="93"/>
      <c r="R2" s="93"/>
      <c r="S2" s="92"/>
      <c r="T2" s="92"/>
      <c r="V2" t="s">
        <v>57</v>
      </c>
      <c r="X2" t="s">
        <v>548</v>
      </c>
      <c r="Y2" t="s">
        <v>411</v>
      </c>
    </row>
    <row r="3" spans="1:25" x14ac:dyDescent="0.25">
      <c r="A3" t="s">
        <v>59</v>
      </c>
      <c r="C3" t="s">
        <v>419</v>
      </c>
      <c r="D3" t="s">
        <v>59</v>
      </c>
      <c r="F3" t="s">
        <v>419</v>
      </c>
      <c r="G3" t="s">
        <v>59</v>
      </c>
      <c r="I3" t="s">
        <v>535</v>
      </c>
      <c r="J3" t="s">
        <v>59</v>
      </c>
      <c r="L3" t="s">
        <v>537</v>
      </c>
      <c r="M3" t="s">
        <v>59</v>
      </c>
      <c r="O3" t="s">
        <v>540</v>
      </c>
      <c r="Q3" s="93"/>
      <c r="R3" s="93"/>
      <c r="S3" s="92"/>
      <c r="T3" s="92"/>
      <c r="V3" t="s">
        <v>59</v>
      </c>
      <c r="X3" t="s">
        <v>369</v>
      </c>
    </row>
    <row r="4" spans="1:25" ht="15" customHeight="1" x14ac:dyDescent="0.25">
      <c r="A4" t="s">
        <v>416</v>
      </c>
      <c r="C4" t="s">
        <v>593</v>
      </c>
      <c r="D4" t="s">
        <v>416</v>
      </c>
      <c r="F4" t="s">
        <v>593</v>
      </c>
      <c r="G4" t="s">
        <v>416</v>
      </c>
      <c r="I4" t="s">
        <v>593</v>
      </c>
      <c r="J4" t="s">
        <v>416</v>
      </c>
      <c r="L4" t="s">
        <v>593</v>
      </c>
      <c r="M4" t="s">
        <v>416</v>
      </c>
      <c r="O4" t="s">
        <v>593</v>
      </c>
      <c r="Q4" s="93"/>
      <c r="R4" s="93"/>
      <c r="S4" s="92"/>
      <c r="T4" s="92"/>
      <c r="V4" t="s">
        <v>416</v>
      </c>
      <c r="X4" t="s">
        <v>598</v>
      </c>
    </row>
    <row r="5" spans="1:25" ht="15" customHeight="1" x14ac:dyDescent="0.25">
      <c r="A5" t="s">
        <v>415</v>
      </c>
      <c r="C5" t="s">
        <v>418</v>
      </c>
      <c r="D5" t="s">
        <v>415</v>
      </c>
      <c r="F5" t="s">
        <v>418</v>
      </c>
      <c r="G5" t="s">
        <v>415</v>
      </c>
      <c r="I5" t="s">
        <v>418</v>
      </c>
      <c r="J5" t="s">
        <v>415</v>
      </c>
      <c r="L5" t="s">
        <v>418</v>
      </c>
      <c r="M5" t="s">
        <v>415</v>
      </c>
      <c r="O5" t="s">
        <v>539</v>
      </c>
      <c r="Q5" s="93"/>
      <c r="R5" s="93"/>
      <c r="S5" s="92"/>
      <c r="T5" s="92"/>
      <c r="V5" t="s">
        <v>415</v>
      </c>
      <c r="X5" t="s">
        <v>418</v>
      </c>
    </row>
    <row r="6" spans="1:25" ht="15" customHeight="1" x14ac:dyDescent="0.25">
      <c r="A6" t="s">
        <v>60</v>
      </c>
      <c r="C6" t="s">
        <v>592</v>
      </c>
      <c r="D6" t="s">
        <v>60</v>
      </c>
      <c r="F6" t="s">
        <v>592</v>
      </c>
      <c r="G6" t="s">
        <v>60</v>
      </c>
      <c r="I6" t="s">
        <v>592</v>
      </c>
      <c r="J6" t="s">
        <v>60</v>
      </c>
      <c r="L6" t="s">
        <v>595</v>
      </c>
      <c r="M6" t="s">
        <v>60</v>
      </c>
      <c r="O6" t="s">
        <v>596</v>
      </c>
      <c r="Q6" s="93"/>
      <c r="R6" s="93"/>
      <c r="S6" s="92"/>
      <c r="T6" s="92"/>
      <c r="V6" t="s">
        <v>60</v>
      </c>
      <c r="X6" t="s">
        <v>597</v>
      </c>
      <c r="Y6" t="s">
        <v>411</v>
      </c>
    </row>
    <row r="7" spans="1:25" x14ac:dyDescent="0.25">
      <c r="A7" t="s">
        <v>414</v>
      </c>
      <c r="C7" t="s">
        <v>417</v>
      </c>
      <c r="D7" t="s">
        <v>414</v>
      </c>
      <c r="F7" t="s">
        <v>417</v>
      </c>
      <c r="G7" t="s">
        <v>414</v>
      </c>
      <c r="I7" t="s">
        <v>417</v>
      </c>
      <c r="J7" t="s">
        <v>414</v>
      </c>
      <c r="L7" t="s">
        <v>417</v>
      </c>
      <c r="M7" t="s">
        <v>414</v>
      </c>
      <c r="O7" t="s">
        <v>417</v>
      </c>
      <c r="Q7" s="93"/>
      <c r="R7" s="93"/>
      <c r="S7" s="92"/>
      <c r="T7" s="92"/>
      <c r="V7" t="s">
        <v>414</v>
      </c>
      <c r="X7" t="s">
        <v>547</v>
      </c>
    </row>
    <row r="8" spans="1:25" x14ac:dyDescent="0.25">
      <c r="A8" t="s">
        <v>413</v>
      </c>
      <c r="B8" s="71">
        <v>39478</v>
      </c>
      <c r="C8" s="48">
        <v>5148</v>
      </c>
      <c r="D8" t="s">
        <v>413</v>
      </c>
      <c r="E8" s="71">
        <v>39478</v>
      </c>
      <c r="F8" s="48">
        <v>14502</v>
      </c>
      <c r="G8" t="s">
        <v>413</v>
      </c>
      <c r="H8" s="71">
        <v>39478</v>
      </c>
      <c r="I8" s="5">
        <v>1981</v>
      </c>
      <c r="J8" t="s">
        <v>413</v>
      </c>
      <c r="K8" s="71">
        <v>39478</v>
      </c>
      <c r="L8" s="48">
        <v>0</v>
      </c>
      <c r="M8" t="s">
        <v>413</v>
      </c>
      <c r="N8" s="71">
        <v>39478</v>
      </c>
      <c r="O8" s="48">
        <v>1</v>
      </c>
      <c r="Q8" s="93"/>
      <c r="V8" t="s">
        <v>550</v>
      </c>
      <c r="W8" s="71">
        <v>39538</v>
      </c>
      <c r="X8" s="5">
        <v>290.10000000000002</v>
      </c>
    </row>
    <row r="9" spans="1:25" x14ac:dyDescent="0.25">
      <c r="A9" t="s">
        <v>421</v>
      </c>
      <c r="B9" s="71">
        <v>39507</v>
      </c>
      <c r="C9" s="48">
        <v>5145</v>
      </c>
      <c r="D9" t="s">
        <v>421</v>
      </c>
      <c r="E9" s="71">
        <v>39507</v>
      </c>
      <c r="F9" s="48">
        <v>14525</v>
      </c>
      <c r="G9" t="s">
        <v>421</v>
      </c>
      <c r="H9" s="71">
        <v>39507</v>
      </c>
      <c r="I9" s="5">
        <v>1986.9</v>
      </c>
      <c r="J9" t="s">
        <v>421</v>
      </c>
      <c r="K9" s="71">
        <v>39507</v>
      </c>
      <c r="L9" s="48">
        <v>0</v>
      </c>
      <c r="M9" t="s">
        <v>421</v>
      </c>
      <c r="N9" s="71">
        <v>39507</v>
      </c>
      <c r="O9" s="48">
        <v>1</v>
      </c>
      <c r="Q9" s="6">
        <f>IF(B9&lt;&gt;"",((C9+F9)-(C8+F8))*1000,"")</f>
        <v>20000</v>
      </c>
      <c r="R9" s="78"/>
      <c r="S9" s="72">
        <f>IF(B9&lt;&gt;"",((I9-L9)-(I8-L8))*1000,"")</f>
        <v>5900.0000000000909</v>
      </c>
      <c r="V9" t="s">
        <v>551</v>
      </c>
      <c r="W9" s="71">
        <v>39629</v>
      </c>
      <c r="X9" s="5">
        <v>294</v>
      </c>
    </row>
    <row r="10" spans="1:25" x14ac:dyDescent="0.25">
      <c r="A10" t="s">
        <v>422</v>
      </c>
      <c r="B10" s="71">
        <v>39538</v>
      </c>
      <c r="C10" s="48">
        <v>5153</v>
      </c>
      <c r="D10" t="s">
        <v>422</v>
      </c>
      <c r="E10" s="71">
        <v>39538</v>
      </c>
      <c r="F10" s="48">
        <v>14538</v>
      </c>
      <c r="G10" t="s">
        <v>422</v>
      </c>
      <c r="H10" s="71">
        <v>39538</v>
      </c>
      <c r="I10" s="5">
        <v>1991.4</v>
      </c>
      <c r="J10" t="s">
        <v>422</v>
      </c>
      <c r="K10" s="71">
        <v>39538</v>
      </c>
      <c r="L10" s="48">
        <v>0</v>
      </c>
      <c r="M10" t="s">
        <v>422</v>
      </c>
      <c r="N10" s="71">
        <v>39538</v>
      </c>
      <c r="O10" s="48">
        <v>1</v>
      </c>
      <c r="Q10" s="6">
        <f t="shared" ref="Q10:Q73" si="0">IF(B10&lt;&gt;"",((C10+F10)-(C9+F9))*1000,"")</f>
        <v>21000</v>
      </c>
      <c r="S10" s="72">
        <f t="shared" ref="S10:S73" si="1">IF(B10&lt;&gt;"",((I10-L10)-(I9-L9))*1000,"")</f>
        <v>4500</v>
      </c>
      <c r="V10" t="s">
        <v>552</v>
      </c>
      <c r="W10" s="71">
        <v>39721</v>
      </c>
      <c r="X10" s="5">
        <v>294.2</v>
      </c>
    </row>
    <row r="11" spans="1:25" x14ac:dyDescent="0.25">
      <c r="A11" t="s">
        <v>423</v>
      </c>
      <c r="B11" s="71">
        <v>39568</v>
      </c>
      <c r="C11" s="48">
        <v>5157</v>
      </c>
      <c r="D11" t="s">
        <v>423</v>
      </c>
      <c r="E11" s="71">
        <v>39568</v>
      </c>
      <c r="F11" s="48">
        <v>14538</v>
      </c>
      <c r="G11" t="s">
        <v>423</v>
      </c>
      <c r="H11" s="71">
        <v>39568</v>
      </c>
      <c r="I11" s="5">
        <v>1997.1</v>
      </c>
      <c r="J11" t="s">
        <v>423</v>
      </c>
      <c r="K11" s="71">
        <v>39568</v>
      </c>
      <c r="L11" s="48">
        <v>0</v>
      </c>
      <c r="M11" t="s">
        <v>423</v>
      </c>
      <c r="N11" s="71">
        <v>39568</v>
      </c>
      <c r="O11" s="48">
        <v>1</v>
      </c>
      <c r="Q11" s="6">
        <f t="shared" si="0"/>
        <v>4000</v>
      </c>
      <c r="R11" s="79">
        <f>IF(B11&lt;&gt;"",AVERAGE(Q9:Q11),"")</f>
        <v>15000</v>
      </c>
      <c r="S11" s="72">
        <f t="shared" si="1"/>
        <v>5699.9999999998181</v>
      </c>
      <c r="T11" s="80">
        <f>IF(B11&lt;&gt;"",AVERAGE(S9:S11),"")</f>
        <v>5366.666666666636</v>
      </c>
      <c r="V11" t="s">
        <v>553</v>
      </c>
      <c r="W11" s="71">
        <v>39813</v>
      </c>
      <c r="X11" s="5">
        <v>289.2</v>
      </c>
    </row>
    <row r="12" spans="1:25" x14ac:dyDescent="0.25">
      <c r="A12" t="s">
        <v>424</v>
      </c>
      <c r="B12" s="71">
        <v>39599</v>
      </c>
      <c r="C12" s="48">
        <v>5162</v>
      </c>
      <c r="D12" t="s">
        <v>424</v>
      </c>
      <c r="E12" s="71">
        <v>39599</v>
      </c>
      <c r="F12" s="48">
        <v>14564</v>
      </c>
      <c r="G12" t="s">
        <v>424</v>
      </c>
      <c r="H12" s="71">
        <v>39599</v>
      </c>
      <c r="I12" s="5">
        <v>2002.8</v>
      </c>
      <c r="J12" t="s">
        <v>424</v>
      </c>
      <c r="K12" s="71">
        <v>39599</v>
      </c>
      <c r="L12" s="48">
        <v>0</v>
      </c>
      <c r="M12" t="s">
        <v>424</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554</v>
      </c>
      <c r="W12" s="71">
        <v>39903</v>
      </c>
      <c r="X12" s="5">
        <v>288.7</v>
      </c>
    </row>
    <row r="13" spans="1:25" x14ac:dyDescent="0.25">
      <c r="A13" t="s">
        <v>425</v>
      </c>
      <c r="B13" s="71">
        <v>39629</v>
      </c>
      <c r="C13" s="48">
        <v>5179</v>
      </c>
      <c r="D13" t="s">
        <v>425</v>
      </c>
      <c r="E13" s="71">
        <v>39629</v>
      </c>
      <c r="F13" s="48">
        <v>14579</v>
      </c>
      <c r="G13" t="s">
        <v>425</v>
      </c>
      <c r="H13" s="71">
        <v>39629</v>
      </c>
      <c r="I13" s="5">
        <v>2007.7</v>
      </c>
      <c r="J13" t="s">
        <v>425</v>
      </c>
      <c r="K13" s="71">
        <v>39629</v>
      </c>
      <c r="L13" s="48">
        <v>0</v>
      </c>
      <c r="M13" t="s">
        <v>425</v>
      </c>
      <c r="N13" s="71">
        <v>39629</v>
      </c>
      <c r="O13" s="48">
        <v>1</v>
      </c>
      <c r="Q13" s="6">
        <f t="shared" si="0"/>
        <v>32000</v>
      </c>
      <c r="R13" s="79">
        <f t="shared" si="2"/>
        <v>22333.333333333332</v>
      </c>
      <c r="S13" s="72">
        <f t="shared" si="1"/>
        <v>4900.0000000000909</v>
      </c>
      <c r="T13" s="80">
        <f t="shared" si="3"/>
        <v>5433.3333333333185</v>
      </c>
      <c r="V13" t="s">
        <v>555</v>
      </c>
      <c r="W13" s="71">
        <v>39994</v>
      </c>
      <c r="X13" s="5">
        <v>294.7</v>
      </c>
    </row>
    <row r="14" spans="1:25" x14ac:dyDescent="0.25">
      <c r="A14" t="s">
        <v>426</v>
      </c>
      <c r="B14" s="71">
        <v>39660</v>
      </c>
      <c r="C14" s="48">
        <v>5191</v>
      </c>
      <c r="D14" t="s">
        <v>426</v>
      </c>
      <c r="E14" s="71">
        <v>39660</v>
      </c>
      <c r="F14" s="48">
        <v>14610</v>
      </c>
      <c r="G14" t="s">
        <v>426</v>
      </c>
      <c r="H14" s="71">
        <v>39660</v>
      </c>
      <c r="I14" s="5">
        <v>2016.7</v>
      </c>
      <c r="J14" t="s">
        <v>426</v>
      </c>
      <c r="K14" s="71">
        <v>39660</v>
      </c>
      <c r="L14" s="48">
        <v>0</v>
      </c>
      <c r="M14" t="s">
        <v>426</v>
      </c>
      <c r="N14" s="71">
        <v>39660</v>
      </c>
      <c r="O14" s="48">
        <v>1</v>
      </c>
      <c r="Q14" s="6">
        <f t="shared" si="0"/>
        <v>43000</v>
      </c>
      <c r="R14" s="79">
        <f t="shared" si="2"/>
        <v>35333.333333333336</v>
      </c>
      <c r="S14" s="72">
        <f t="shared" si="1"/>
        <v>9000</v>
      </c>
      <c r="T14" s="80">
        <f t="shared" si="3"/>
        <v>6533.3333333333794</v>
      </c>
      <c r="V14" t="s">
        <v>556</v>
      </c>
      <c r="W14" s="71">
        <v>40086</v>
      </c>
      <c r="X14" s="5">
        <v>293.3</v>
      </c>
    </row>
    <row r="15" spans="1:25" x14ac:dyDescent="0.25">
      <c r="A15" t="s">
        <v>427</v>
      </c>
      <c r="B15" s="71">
        <v>39691</v>
      </c>
      <c r="C15" s="48">
        <v>5214</v>
      </c>
      <c r="D15" t="s">
        <v>427</v>
      </c>
      <c r="E15" s="71">
        <v>39691</v>
      </c>
      <c r="F15" s="48">
        <v>14587</v>
      </c>
      <c r="G15" t="s">
        <v>427</v>
      </c>
      <c r="H15" s="71">
        <v>39691</v>
      </c>
      <c r="I15" s="5">
        <v>2023.3</v>
      </c>
      <c r="J15" t="s">
        <v>427</v>
      </c>
      <c r="K15" s="71">
        <v>39691</v>
      </c>
      <c r="L15" s="48">
        <v>0</v>
      </c>
      <c r="M15" t="s">
        <v>427</v>
      </c>
      <c r="N15" s="71">
        <v>39691</v>
      </c>
      <c r="O15" s="48">
        <v>1</v>
      </c>
      <c r="Q15" s="6">
        <f t="shared" si="0"/>
        <v>0</v>
      </c>
      <c r="R15" s="79">
        <f t="shared" si="2"/>
        <v>25000</v>
      </c>
      <c r="S15" s="72">
        <f t="shared" si="1"/>
        <v>6599.9999999999091</v>
      </c>
      <c r="T15" s="80">
        <f t="shared" si="3"/>
        <v>6833.333333333333</v>
      </c>
      <c r="V15" t="s">
        <v>557</v>
      </c>
      <c r="W15" s="71">
        <v>40178</v>
      </c>
      <c r="X15" s="5">
        <v>282.39999999999998</v>
      </c>
    </row>
    <row r="16" spans="1:25" x14ac:dyDescent="0.25">
      <c r="A16" t="s">
        <v>428</v>
      </c>
      <c r="B16" s="71">
        <v>39721</v>
      </c>
      <c r="C16" s="48">
        <v>5184</v>
      </c>
      <c r="D16" t="s">
        <v>428</v>
      </c>
      <c r="E16" s="71">
        <v>39721</v>
      </c>
      <c r="F16" s="48">
        <v>14585</v>
      </c>
      <c r="G16" t="s">
        <v>428</v>
      </c>
      <c r="H16" s="71">
        <v>39721</v>
      </c>
      <c r="I16" s="5">
        <v>2028.4</v>
      </c>
      <c r="J16" t="s">
        <v>428</v>
      </c>
      <c r="K16" s="71">
        <v>39721</v>
      </c>
      <c r="L16" s="48">
        <v>0</v>
      </c>
      <c r="M16" t="s">
        <v>428</v>
      </c>
      <c r="N16" s="71">
        <v>39721</v>
      </c>
      <c r="O16" s="48">
        <v>1</v>
      </c>
      <c r="Q16" s="6">
        <f t="shared" si="0"/>
        <v>-32000</v>
      </c>
      <c r="R16" s="79">
        <f t="shared" si="2"/>
        <v>3666.6666666666665</v>
      </c>
      <c r="S16" s="72">
        <f t="shared" si="1"/>
        <v>5100.0000000001364</v>
      </c>
      <c r="T16" s="80">
        <f t="shared" si="3"/>
        <v>6900.0000000000146</v>
      </c>
      <c r="V16" t="s">
        <v>558</v>
      </c>
      <c r="W16" s="71">
        <v>40268</v>
      </c>
      <c r="X16" s="5">
        <v>273.60000000000002</v>
      </c>
    </row>
    <row r="17" spans="1:24" x14ac:dyDescent="0.25">
      <c r="A17" t="s">
        <v>429</v>
      </c>
      <c r="B17" s="71">
        <v>39752</v>
      </c>
      <c r="C17" s="48">
        <v>5182</v>
      </c>
      <c r="D17" t="s">
        <v>429</v>
      </c>
      <c r="E17" s="71">
        <v>39752</v>
      </c>
      <c r="F17" s="48">
        <v>14595</v>
      </c>
      <c r="G17" t="s">
        <v>429</v>
      </c>
      <c r="H17" s="71">
        <v>39752</v>
      </c>
      <c r="I17" s="5">
        <v>2035</v>
      </c>
      <c r="J17" t="s">
        <v>429</v>
      </c>
      <c r="K17" s="71">
        <v>39752</v>
      </c>
      <c r="L17" s="48">
        <v>0</v>
      </c>
      <c r="M17" t="s">
        <v>429</v>
      </c>
      <c r="N17" s="71">
        <v>39752</v>
      </c>
      <c r="O17" s="48">
        <v>1</v>
      </c>
      <c r="Q17" s="6">
        <f t="shared" si="0"/>
        <v>8000</v>
      </c>
      <c r="R17" s="79">
        <f t="shared" si="2"/>
        <v>-8000</v>
      </c>
      <c r="S17" s="72">
        <f t="shared" si="1"/>
        <v>6599.9999999999091</v>
      </c>
      <c r="T17" s="80">
        <f t="shared" si="3"/>
        <v>6099.9999999999854</v>
      </c>
      <c r="V17" t="s">
        <v>559</v>
      </c>
      <c r="W17" s="71">
        <v>40359</v>
      </c>
      <c r="X17" s="5">
        <v>284.2</v>
      </c>
    </row>
    <row r="18" spans="1:24" x14ac:dyDescent="0.25">
      <c r="A18" t="s">
        <v>430</v>
      </c>
      <c r="B18" s="71">
        <v>39782</v>
      </c>
      <c r="C18" s="48">
        <v>5194</v>
      </c>
      <c r="D18" t="s">
        <v>430</v>
      </c>
      <c r="E18" s="71">
        <v>39782</v>
      </c>
      <c r="F18" s="48">
        <v>14588</v>
      </c>
      <c r="G18" t="s">
        <v>430</v>
      </c>
      <c r="H18" s="71">
        <v>39782</v>
      </c>
      <c r="I18" s="5">
        <v>2044.7</v>
      </c>
      <c r="J18" t="s">
        <v>430</v>
      </c>
      <c r="K18" s="71">
        <v>39782</v>
      </c>
      <c r="L18" s="48">
        <v>1</v>
      </c>
      <c r="M18" t="s">
        <v>430</v>
      </c>
      <c r="N18" s="71">
        <v>39782</v>
      </c>
      <c r="O18" s="48">
        <v>1</v>
      </c>
      <c r="Q18" s="6">
        <f t="shared" si="0"/>
        <v>5000</v>
      </c>
      <c r="R18" s="79">
        <f t="shared" si="2"/>
        <v>-6333.333333333333</v>
      </c>
      <c r="S18" s="72">
        <f t="shared" si="1"/>
        <v>8700.0000000000455</v>
      </c>
      <c r="T18" s="80">
        <f t="shared" si="3"/>
        <v>6800.00000000003</v>
      </c>
      <c r="V18" t="s">
        <v>560</v>
      </c>
      <c r="W18" s="71">
        <v>40451</v>
      </c>
      <c r="X18" s="5">
        <v>285.60000000000002</v>
      </c>
    </row>
    <row r="19" spans="1:24" x14ac:dyDescent="0.25">
      <c r="A19" t="s">
        <v>431</v>
      </c>
      <c r="B19" s="71">
        <v>39813</v>
      </c>
      <c r="C19" s="48">
        <v>5191</v>
      </c>
      <c r="D19" t="s">
        <v>431</v>
      </c>
      <c r="E19" s="71">
        <v>39813</v>
      </c>
      <c r="F19" s="48">
        <v>14590</v>
      </c>
      <c r="G19" t="s">
        <v>431</v>
      </c>
      <c r="H19" s="71">
        <v>39813</v>
      </c>
      <c r="I19" s="5">
        <v>2049.6</v>
      </c>
      <c r="J19" t="s">
        <v>431</v>
      </c>
      <c r="K19" s="71">
        <v>39813</v>
      </c>
      <c r="L19" s="48">
        <v>3</v>
      </c>
      <c r="M19" t="s">
        <v>431</v>
      </c>
      <c r="N19" s="71">
        <v>39813</v>
      </c>
      <c r="O19" s="48">
        <v>1</v>
      </c>
      <c r="Q19" s="6">
        <f t="shared" si="0"/>
        <v>-1000</v>
      </c>
      <c r="R19" s="79">
        <f t="shared" si="2"/>
        <v>4000</v>
      </c>
      <c r="S19" s="72">
        <f t="shared" si="1"/>
        <v>2899.9999999998636</v>
      </c>
      <c r="T19" s="80">
        <f t="shared" si="3"/>
        <v>6066.666666666606</v>
      </c>
      <c r="V19" t="s">
        <v>561</v>
      </c>
      <c r="W19" s="71">
        <v>40543</v>
      </c>
      <c r="X19" s="5">
        <v>274.5</v>
      </c>
    </row>
    <row r="20" spans="1:24" s="73" customFormat="1" x14ac:dyDescent="0.25">
      <c r="A20" s="73" t="s">
        <v>432</v>
      </c>
      <c r="B20" s="74">
        <v>39844</v>
      </c>
      <c r="C20" s="75">
        <v>5206</v>
      </c>
      <c r="D20" s="73" t="s">
        <v>432</v>
      </c>
      <c r="E20" s="74">
        <v>39844</v>
      </c>
      <c r="F20" s="75">
        <v>14587</v>
      </c>
      <c r="G20" s="73" t="s">
        <v>432</v>
      </c>
      <c r="H20" s="74">
        <v>39844</v>
      </c>
      <c r="I20" s="76">
        <v>2059.5</v>
      </c>
      <c r="J20" s="73" t="s">
        <v>432</v>
      </c>
      <c r="K20" s="74">
        <v>39844</v>
      </c>
      <c r="L20" s="75">
        <v>5</v>
      </c>
      <c r="M20" s="73" t="s">
        <v>432</v>
      </c>
      <c r="N20" s="74">
        <v>39844</v>
      </c>
      <c r="O20" s="75">
        <v>1</v>
      </c>
      <c r="Q20" s="77">
        <f t="shared" si="0"/>
        <v>12000</v>
      </c>
      <c r="R20" s="79">
        <f t="shared" si="2"/>
        <v>5333.333333333333</v>
      </c>
      <c r="S20" s="72">
        <f t="shared" si="1"/>
        <v>7900.0000000000909</v>
      </c>
      <c r="T20" s="80">
        <f t="shared" si="3"/>
        <v>6500</v>
      </c>
      <c r="V20" s="73" t="s">
        <v>562</v>
      </c>
      <c r="W20" s="74">
        <v>40633</v>
      </c>
      <c r="X20" s="76">
        <v>265.7</v>
      </c>
    </row>
    <row r="21" spans="1:24" x14ac:dyDescent="0.25">
      <c r="A21" t="s">
        <v>433</v>
      </c>
      <c r="B21" s="71">
        <v>39872</v>
      </c>
      <c r="C21" s="48">
        <v>5190</v>
      </c>
      <c r="D21" t="s">
        <v>433</v>
      </c>
      <c r="E21" s="71">
        <v>39872</v>
      </c>
      <c r="F21" s="48">
        <v>14591</v>
      </c>
      <c r="G21" t="s">
        <v>433</v>
      </c>
      <c r="H21" s="71">
        <v>39872</v>
      </c>
      <c r="I21" s="5">
        <v>2068.1999999999998</v>
      </c>
      <c r="J21" t="s">
        <v>433</v>
      </c>
      <c r="K21" s="71">
        <v>39872</v>
      </c>
      <c r="L21" s="48">
        <v>6</v>
      </c>
      <c r="M21" t="s">
        <v>433</v>
      </c>
      <c r="N21" s="71">
        <v>39872</v>
      </c>
      <c r="O21" s="48">
        <v>1</v>
      </c>
      <c r="Q21" s="6">
        <f t="shared" si="0"/>
        <v>-12000</v>
      </c>
      <c r="R21" s="79">
        <f t="shared" si="2"/>
        <v>-333.33333333333331</v>
      </c>
      <c r="S21" s="72">
        <f t="shared" si="1"/>
        <v>7699.9999999998181</v>
      </c>
      <c r="T21" s="80">
        <f t="shared" si="3"/>
        <v>6166.6666666665915</v>
      </c>
      <c r="V21" t="s">
        <v>563</v>
      </c>
      <c r="W21" s="71">
        <v>40724</v>
      </c>
      <c r="X21" s="5">
        <v>261.39999999999998</v>
      </c>
    </row>
    <row r="22" spans="1:24" x14ac:dyDescent="0.25">
      <c r="A22" t="s">
        <v>434</v>
      </c>
      <c r="B22" s="71">
        <v>39903</v>
      </c>
      <c r="C22" s="48">
        <v>5180</v>
      </c>
      <c r="D22" t="s">
        <v>434</v>
      </c>
      <c r="E22" s="71">
        <v>39903</v>
      </c>
      <c r="F22" s="48">
        <v>14583</v>
      </c>
      <c r="G22" t="s">
        <v>434</v>
      </c>
      <c r="H22" s="71">
        <v>39903</v>
      </c>
      <c r="I22" s="5">
        <v>2075</v>
      </c>
      <c r="J22" t="s">
        <v>434</v>
      </c>
      <c r="K22" s="71">
        <v>39903</v>
      </c>
      <c r="L22" s="48">
        <v>12</v>
      </c>
      <c r="M22" t="s">
        <v>434</v>
      </c>
      <c r="N22" s="71">
        <v>39903</v>
      </c>
      <c r="O22" s="48">
        <v>1</v>
      </c>
      <c r="Q22" s="6">
        <f t="shared" si="0"/>
        <v>-18000</v>
      </c>
      <c r="R22" s="79">
        <f t="shared" si="2"/>
        <v>-6000</v>
      </c>
      <c r="S22" s="72">
        <f t="shared" si="1"/>
        <v>800.0000000001819</v>
      </c>
      <c r="T22" s="80">
        <f t="shared" si="3"/>
        <v>5466.666666666697</v>
      </c>
      <c r="V22" t="s">
        <v>564</v>
      </c>
      <c r="W22" s="71">
        <v>40816</v>
      </c>
      <c r="X22" s="5">
        <v>258.60000000000002</v>
      </c>
    </row>
    <row r="23" spans="1:24" x14ac:dyDescent="0.25">
      <c r="A23" t="s">
        <v>435</v>
      </c>
      <c r="B23" s="71">
        <v>39933</v>
      </c>
      <c r="C23" s="48">
        <v>5182</v>
      </c>
      <c r="D23" t="s">
        <v>435</v>
      </c>
      <c r="E23" s="71">
        <v>39933</v>
      </c>
      <c r="F23" s="48">
        <v>14573</v>
      </c>
      <c r="G23" t="s">
        <v>435</v>
      </c>
      <c r="H23" s="71">
        <v>39933</v>
      </c>
      <c r="I23" s="5">
        <v>2200.8000000000002</v>
      </c>
      <c r="J23" t="s">
        <v>435</v>
      </c>
      <c r="K23" s="71">
        <v>39933</v>
      </c>
      <c r="L23" s="48">
        <v>126</v>
      </c>
      <c r="M23" t="s">
        <v>435</v>
      </c>
      <c r="N23" s="71">
        <v>39933</v>
      </c>
      <c r="O23" s="48">
        <v>1</v>
      </c>
      <c r="Q23" s="6">
        <f t="shared" si="0"/>
        <v>-8000</v>
      </c>
      <c r="R23" s="79">
        <f t="shared" si="2"/>
        <v>-12666.666666666666</v>
      </c>
      <c r="S23" s="72">
        <f t="shared" si="1"/>
        <v>11800.000000000182</v>
      </c>
      <c r="T23" s="80">
        <f t="shared" si="3"/>
        <v>6766.666666666727</v>
      </c>
      <c r="V23" t="s">
        <v>565</v>
      </c>
      <c r="W23" s="71">
        <v>40908</v>
      </c>
      <c r="X23" s="5">
        <v>257.89999999999998</v>
      </c>
    </row>
    <row r="24" spans="1:24" x14ac:dyDescent="0.25">
      <c r="A24" t="s">
        <v>436</v>
      </c>
      <c r="B24" s="71">
        <v>39964</v>
      </c>
      <c r="C24" s="48">
        <v>5187</v>
      </c>
      <c r="D24" t="s">
        <v>436</v>
      </c>
      <c r="E24" s="71">
        <v>39964</v>
      </c>
      <c r="F24" s="48">
        <v>14570</v>
      </c>
      <c r="G24" t="s">
        <v>436</v>
      </c>
      <c r="H24" s="71">
        <v>39964</v>
      </c>
      <c r="I24" s="5">
        <v>2151.6</v>
      </c>
      <c r="J24" t="s">
        <v>436</v>
      </c>
      <c r="K24" s="71">
        <v>39964</v>
      </c>
      <c r="L24" s="48">
        <v>69</v>
      </c>
      <c r="M24" t="s">
        <v>436</v>
      </c>
      <c r="N24" s="71">
        <v>39964</v>
      </c>
      <c r="O24" s="48">
        <v>1</v>
      </c>
      <c r="Q24" s="6">
        <f t="shared" si="0"/>
        <v>2000</v>
      </c>
      <c r="R24" s="79">
        <f t="shared" si="2"/>
        <v>-8000</v>
      </c>
      <c r="S24" s="72">
        <f t="shared" si="1"/>
        <v>7799.9999999997272</v>
      </c>
      <c r="T24" s="80">
        <f t="shared" si="3"/>
        <v>6800.00000000003</v>
      </c>
      <c r="V24" t="s">
        <v>566</v>
      </c>
      <c r="W24" s="71">
        <v>40999</v>
      </c>
      <c r="X24" s="5">
        <v>248.9</v>
      </c>
    </row>
    <row r="25" spans="1:24" x14ac:dyDescent="0.25">
      <c r="A25" t="s">
        <v>437</v>
      </c>
      <c r="B25" s="71">
        <v>39994</v>
      </c>
      <c r="C25" s="48">
        <v>5176</v>
      </c>
      <c r="D25" t="s">
        <v>437</v>
      </c>
      <c r="E25" s="71">
        <v>39994</v>
      </c>
      <c r="F25" s="48">
        <v>14586</v>
      </c>
      <c r="G25" t="s">
        <v>437</v>
      </c>
      <c r="H25" s="71">
        <v>39994</v>
      </c>
      <c r="I25" s="5">
        <v>2109</v>
      </c>
      <c r="J25" t="s">
        <v>437</v>
      </c>
      <c r="K25" s="71">
        <v>39994</v>
      </c>
      <c r="L25" s="48">
        <v>9</v>
      </c>
      <c r="M25" t="s">
        <v>437</v>
      </c>
      <c r="N25" s="71">
        <v>39994</v>
      </c>
      <c r="O25" s="48">
        <v>1</v>
      </c>
      <c r="Q25" s="6">
        <f t="shared" si="0"/>
        <v>5000</v>
      </c>
      <c r="R25" s="79">
        <f t="shared" si="2"/>
        <v>-333.33333333333331</v>
      </c>
      <c r="S25" s="72">
        <f t="shared" si="1"/>
        <v>17400.000000000091</v>
      </c>
      <c r="T25" s="80">
        <f t="shared" si="3"/>
        <v>12333.333333333334</v>
      </c>
      <c r="V25" t="s">
        <v>567</v>
      </c>
      <c r="W25" s="71">
        <v>41090</v>
      </c>
      <c r="X25" s="5">
        <v>246.1</v>
      </c>
    </row>
    <row r="26" spans="1:24" x14ac:dyDescent="0.25">
      <c r="A26" t="s">
        <v>438</v>
      </c>
      <c r="B26" s="71">
        <v>40025</v>
      </c>
      <c r="C26" s="48">
        <v>5122</v>
      </c>
      <c r="D26" t="s">
        <v>438</v>
      </c>
      <c r="E26" s="71">
        <v>40025</v>
      </c>
      <c r="F26" s="48">
        <v>14573</v>
      </c>
      <c r="G26" t="s">
        <v>438</v>
      </c>
      <c r="H26" s="71">
        <v>40025</v>
      </c>
      <c r="I26" s="5">
        <v>2119.8000000000002</v>
      </c>
      <c r="J26" t="s">
        <v>438</v>
      </c>
      <c r="K26" s="71">
        <v>40025</v>
      </c>
      <c r="L26" s="48">
        <v>4</v>
      </c>
      <c r="M26" t="s">
        <v>438</v>
      </c>
      <c r="N26" s="71">
        <v>40025</v>
      </c>
      <c r="O26" s="48">
        <v>0</v>
      </c>
      <c r="Q26" s="6">
        <f t="shared" si="0"/>
        <v>-67000</v>
      </c>
      <c r="R26" s="79">
        <f t="shared" si="2"/>
        <v>-20000</v>
      </c>
      <c r="S26" s="72">
        <f t="shared" si="1"/>
        <v>15800.000000000182</v>
      </c>
      <c r="T26" s="80">
        <f t="shared" si="3"/>
        <v>13666.666666666666</v>
      </c>
      <c r="V26" t="s">
        <v>568</v>
      </c>
      <c r="W26" s="71">
        <v>41182</v>
      </c>
      <c r="X26" s="5">
        <v>238.5</v>
      </c>
    </row>
    <row r="27" spans="1:24" x14ac:dyDescent="0.25">
      <c r="A27" t="s">
        <v>439</v>
      </c>
      <c r="B27" s="71">
        <v>40056</v>
      </c>
      <c r="C27" s="48">
        <v>5170</v>
      </c>
      <c r="D27" t="s">
        <v>439</v>
      </c>
      <c r="E27" s="71">
        <v>40056</v>
      </c>
      <c r="F27" s="48">
        <v>14542</v>
      </c>
      <c r="G27" t="s">
        <v>439</v>
      </c>
      <c r="H27" s="71">
        <v>40056</v>
      </c>
      <c r="I27" s="5">
        <v>2129.6999999999998</v>
      </c>
      <c r="J27" t="s">
        <v>439</v>
      </c>
      <c r="K27" s="71">
        <v>40056</v>
      </c>
      <c r="L27" s="48">
        <v>5</v>
      </c>
      <c r="M27" t="s">
        <v>439</v>
      </c>
      <c r="N27" s="71">
        <v>40056</v>
      </c>
      <c r="O27" s="48">
        <v>0</v>
      </c>
      <c r="Q27" s="6">
        <f t="shared" si="0"/>
        <v>17000</v>
      </c>
      <c r="R27" s="79">
        <f t="shared" si="2"/>
        <v>-15000</v>
      </c>
      <c r="S27" s="72">
        <f t="shared" si="1"/>
        <v>8899.9999999996362</v>
      </c>
      <c r="T27" s="80">
        <f t="shared" si="3"/>
        <v>14033.333333333305</v>
      </c>
      <c r="V27" t="s">
        <v>569</v>
      </c>
      <c r="W27" s="71">
        <v>41274</v>
      </c>
      <c r="X27" s="5">
        <v>230.3</v>
      </c>
    </row>
    <row r="28" spans="1:24" x14ac:dyDescent="0.25">
      <c r="A28" t="s">
        <v>440</v>
      </c>
      <c r="B28" s="71">
        <v>40086</v>
      </c>
      <c r="C28" s="48">
        <v>5144</v>
      </c>
      <c r="D28" t="s">
        <v>440</v>
      </c>
      <c r="E28" s="71">
        <v>40086</v>
      </c>
      <c r="F28" s="48">
        <v>14481</v>
      </c>
      <c r="G28" t="s">
        <v>440</v>
      </c>
      <c r="H28" s="71">
        <v>40086</v>
      </c>
      <c r="I28" s="5">
        <v>2136.6</v>
      </c>
      <c r="J28" t="s">
        <v>440</v>
      </c>
      <c r="K28" s="71">
        <v>40086</v>
      </c>
      <c r="L28" s="48">
        <v>8</v>
      </c>
      <c r="M28" t="s">
        <v>440</v>
      </c>
      <c r="N28" s="71">
        <v>40086</v>
      </c>
      <c r="O28" s="48">
        <v>0</v>
      </c>
      <c r="Q28" s="6">
        <f t="shared" si="0"/>
        <v>-87000</v>
      </c>
      <c r="R28" s="79">
        <f t="shared" si="2"/>
        <v>-45666.666666666664</v>
      </c>
      <c r="S28" s="72">
        <f t="shared" si="1"/>
        <v>3900.0000000000909</v>
      </c>
      <c r="T28" s="80">
        <f t="shared" si="3"/>
        <v>9533.333333333303</v>
      </c>
      <c r="V28" t="s">
        <v>570</v>
      </c>
      <c r="W28" s="71">
        <v>41364</v>
      </c>
      <c r="X28" s="5">
        <v>228.3</v>
      </c>
    </row>
    <row r="29" spans="1:24" x14ac:dyDescent="0.25">
      <c r="A29" t="s">
        <v>441</v>
      </c>
      <c r="B29" s="71">
        <v>40117</v>
      </c>
      <c r="C29" s="48">
        <v>5158</v>
      </c>
      <c r="D29" t="s">
        <v>441</v>
      </c>
      <c r="E29" s="71">
        <v>40117</v>
      </c>
      <c r="F29" s="48">
        <v>14523</v>
      </c>
      <c r="G29" t="s">
        <v>441</v>
      </c>
      <c r="H29" s="71">
        <v>40117</v>
      </c>
      <c r="I29" s="5">
        <v>2156.6</v>
      </c>
      <c r="J29" t="s">
        <v>441</v>
      </c>
      <c r="K29" s="71">
        <v>40117</v>
      </c>
      <c r="L29" s="48">
        <v>17</v>
      </c>
      <c r="M29" t="s">
        <v>441</v>
      </c>
      <c r="N29" s="71">
        <v>40117</v>
      </c>
      <c r="O29" s="48">
        <v>0</v>
      </c>
      <c r="Q29" s="6">
        <f t="shared" si="0"/>
        <v>56000</v>
      </c>
      <c r="R29" s="79">
        <f t="shared" si="2"/>
        <v>-4666.666666666667</v>
      </c>
      <c r="S29" s="72">
        <f t="shared" si="1"/>
        <v>11000</v>
      </c>
      <c r="T29" s="80">
        <f t="shared" si="3"/>
        <v>7933.3333333332421</v>
      </c>
      <c r="V29" t="s">
        <v>571</v>
      </c>
      <c r="W29" s="71">
        <v>41455</v>
      </c>
      <c r="X29" s="5">
        <v>228.8</v>
      </c>
    </row>
    <row r="30" spans="1:24" x14ac:dyDescent="0.25">
      <c r="A30" t="s">
        <v>442</v>
      </c>
      <c r="B30" s="71">
        <v>40147</v>
      </c>
      <c r="C30" s="48">
        <v>5152</v>
      </c>
      <c r="D30" t="s">
        <v>442</v>
      </c>
      <c r="E30" s="71">
        <v>40147</v>
      </c>
      <c r="F30" s="48">
        <v>14539</v>
      </c>
      <c r="G30" t="s">
        <v>442</v>
      </c>
      <c r="H30" s="71">
        <v>40147</v>
      </c>
      <c r="I30" s="5">
        <v>2159</v>
      </c>
      <c r="J30" t="s">
        <v>442</v>
      </c>
      <c r="K30" s="71">
        <v>40147</v>
      </c>
      <c r="L30" s="48">
        <v>13</v>
      </c>
      <c r="M30" t="s">
        <v>442</v>
      </c>
      <c r="N30" s="71">
        <v>40147</v>
      </c>
      <c r="O30" s="48">
        <v>0</v>
      </c>
      <c r="Q30" s="6">
        <f t="shared" si="0"/>
        <v>10000</v>
      </c>
      <c r="R30" s="79">
        <f t="shared" si="2"/>
        <v>-7000</v>
      </c>
      <c r="S30" s="72">
        <f t="shared" si="1"/>
        <v>6400.0000000000909</v>
      </c>
      <c r="T30" s="80">
        <f t="shared" si="3"/>
        <v>7100.0000000000609</v>
      </c>
      <c r="V30" t="s">
        <v>572</v>
      </c>
      <c r="W30" s="71">
        <v>41547</v>
      </c>
      <c r="X30" s="5">
        <v>228.8</v>
      </c>
    </row>
    <row r="31" spans="1:24" x14ac:dyDescent="0.25">
      <c r="A31" t="s">
        <v>443</v>
      </c>
      <c r="B31" s="71">
        <v>40178</v>
      </c>
      <c r="C31" s="48">
        <v>5150</v>
      </c>
      <c r="D31" t="s">
        <v>443</v>
      </c>
      <c r="E31" s="71">
        <v>40178</v>
      </c>
      <c r="F31" s="48">
        <v>14501</v>
      </c>
      <c r="G31" t="s">
        <v>443</v>
      </c>
      <c r="H31" s="71">
        <v>40178</v>
      </c>
      <c r="I31" s="5">
        <v>2170.1999999999998</v>
      </c>
      <c r="J31" t="s">
        <v>443</v>
      </c>
      <c r="K31" s="71">
        <v>40178</v>
      </c>
      <c r="L31" s="48">
        <v>15</v>
      </c>
      <c r="M31" t="s">
        <v>443</v>
      </c>
      <c r="N31" s="71">
        <v>40178</v>
      </c>
      <c r="O31" s="48">
        <v>0</v>
      </c>
      <c r="Q31" s="6">
        <f t="shared" si="0"/>
        <v>-40000</v>
      </c>
      <c r="R31" s="79">
        <f t="shared" si="2"/>
        <v>8666.6666666666661</v>
      </c>
      <c r="S31" s="72">
        <f t="shared" si="1"/>
        <v>9199.9999999998181</v>
      </c>
      <c r="T31" s="80">
        <f t="shared" si="3"/>
        <v>8866.666666666637</v>
      </c>
      <c r="V31" t="s">
        <v>573</v>
      </c>
      <c r="W31" s="71">
        <v>41639</v>
      </c>
      <c r="X31" s="5">
        <v>225.7</v>
      </c>
    </row>
    <row r="32" spans="1:24" x14ac:dyDescent="0.25">
      <c r="A32" t="s">
        <v>444</v>
      </c>
      <c r="B32" s="71">
        <v>40209</v>
      </c>
      <c r="C32" s="48">
        <v>5145</v>
      </c>
      <c r="D32" t="s">
        <v>444</v>
      </c>
      <c r="E32" s="71">
        <v>40209</v>
      </c>
      <c r="F32" s="48">
        <v>14486</v>
      </c>
      <c r="G32" t="s">
        <v>444</v>
      </c>
      <c r="H32" s="71">
        <v>40209</v>
      </c>
      <c r="I32" s="5">
        <v>2183.6999999999998</v>
      </c>
      <c r="J32" t="s">
        <v>444</v>
      </c>
      <c r="K32" s="71">
        <v>40209</v>
      </c>
      <c r="L32" s="48">
        <v>24</v>
      </c>
      <c r="M32" t="s">
        <v>444</v>
      </c>
      <c r="N32" s="71">
        <v>40209</v>
      </c>
      <c r="O32" s="48">
        <v>0</v>
      </c>
      <c r="Q32" s="6">
        <f t="shared" si="0"/>
        <v>-20000</v>
      </c>
      <c r="R32" s="79">
        <f t="shared" si="2"/>
        <v>-16666.666666666668</v>
      </c>
      <c r="S32" s="72">
        <f t="shared" si="1"/>
        <v>4500</v>
      </c>
      <c r="T32" s="80">
        <f t="shared" si="3"/>
        <v>6699.99999999997</v>
      </c>
      <c r="V32" t="s">
        <v>574</v>
      </c>
      <c r="W32" s="71">
        <v>41729</v>
      </c>
      <c r="X32" s="5">
        <v>222.8</v>
      </c>
    </row>
    <row r="33" spans="1:24" x14ac:dyDescent="0.25">
      <c r="A33" t="s">
        <v>445</v>
      </c>
      <c r="B33" s="71">
        <v>40237</v>
      </c>
      <c r="C33" s="48">
        <v>5147</v>
      </c>
      <c r="D33" t="s">
        <v>445</v>
      </c>
      <c r="E33" s="71">
        <v>40237</v>
      </c>
      <c r="F33" s="48">
        <v>14457</v>
      </c>
      <c r="G33" t="s">
        <v>445</v>
      </c>
      <c r="H33" s="71">
        <v>40237</v>
      </c>
      <c r="I33" s="5">
        <v>2203.8000000000002</v>
      </c>
      <c r="J33" t="s">
        <v>445</v>
      </c>
      <c r="K33" s="71">
        <v>40237</v>
      </c>
      <c r="L33" s="48">
        <v>39</v>
      </c>
      <c r="M33" t="s">
        <v>445</v>
      </c>
      <c r="N33" s="71">
        <v>40237</v>
      </c>
      <c r="O33" s="48">
        <v>0</v>
      </c>
      <c r="Q33" s="6">
        <f t="shared" si="0"/>
        <v>-27000</v>
      </c>
      <c r="R33" s="79">
        <f t="shared" si="2"/>
        <v>-29000</v>
      </c>
      <c r="S33" s="72">
        <f t="shared" si="1"/>
        <v>5100.0000000003638</v>
      </c>
      <c r="T33" s="80">
        <f t="shared" si="3"/>
        <v>6266.666666666727</v>
      </c>
      <c r="V33" t="s">
        <v>575</v>
      </c>
      <c r="W33" s="71">
        <v>41820</v>
      </c>
      <c r="X33" s="5">
        <v>227.6</v>
      </c>
    </row>
    <row r="34" spans="1:24" x14ac:dyDescent="0.25">
      <c r="A34" t="s">
        <v>446</v>
      </c>
      <c r="B34" s="71">
        <v>40268</v>
      </c>
      <c r="C34" s="48">
        <v>5140</v>
      </c>
      <c r="D34" t="s">
        <v>446</v>
      </c>
      <c r="E34" s="71">
        <v>40268</v>
      </c>
      <c r="F34" s="48">
        <v>14455</v>
      </c>
      <c r="G34" t="s">
        <v>446</v>
      </c>
      <c r="H34" s="71">
        <v>40268</v>
      </c>
      <c r="I34" s="5">
        <v>2258.5</v>
      </c>
      <c r="J34" t="s">
        <v>446</v>
      </c>
      <c r="K34" s="71">
        <v>40268</v>
      </c>
      <c r="L34" s="48">
        <v>87</v>
      </c>
      <c r="M34" t="s">
        <v>446</v>
      </c>
      <c r="N34" s="71">
        <v>40268</v>
      </c>
      <c r="O34" s="48">
        <v>0</v>
      </c>
      <c r="Q34" s="6">
        <f t="shared" si="0"/>
        <v>-9000</v>
      </c>
      <c r="R34" s="79">
        <f t="shared" si="2"/>
        <v>-18666.666666666668</v>
      </c>
      <c r="S34" s="72">
        <f t="shared" si="1"/>
        <v>6699.9999999998181</v>
      </c>
      <c r="T34" s="80">
        <f t="shared" si="3"/>
        <v>5433.333333333394</v>
      </c>
      <c r="V34" t="s">
        <v>576</v>
      </c>
      <c r="W34" s="71">
        <v>41912</v>
      </c>
      <c r="X34" s="5">
        <v>228.3</v>
      </c>
    </row>
    <row r="35" spans="1:24" x14ac:dyDescent="0.25">
      <c r="A35" t="s">
        <v>447</v>
      </c>
      <c r="B35" s="71">
        <v>40298</v>
      </c>
      <c r="C35" s="48">
        <v>5136</v>
      </c>
      <c r="D35" t="s">
        <v>447</v>
      </c>
      <c r="E35" s="71">
        <v>40298</v>
      </c>
      <c r="F35" s="48">
        <v>14449</v>
      </c>
      <c r="G35" t="s">
        <v>447</v>
      </c>
      <c r="H35" s="71">
        <v>40298</v>
      </c>
      <c r="I35" s="5">
        <v>2323.3000000000002</v>
      </c>
      <c r="J35" t="s">
        <v>447</v>
      </c>
      <c r="K35" s="71">
        <v>40298</v>
      </c>
      <c r="L35" s="48">
        <v>154</v>
      </c>
      <c r="M35" t="s">
        <v>447</v>
      </c>
      <c r="N35" s="71">
        <v>40298</v>
      </c>
      <c r="O35" s="48">
        <v>0</v>
      </c>
      <c r="Q35" s="6">
        <f t="shared" si="0"/>
        <v>-10000</v>
      </c>
      <c r="R35" s="79">
        <f t="shared" si="2"/>
        <v>-15333.333333333334</v>
      </c>
      <c r="S35" s="72">
        <f t="shared" si="1"/>
        <v>-2199.9999999998181</v>
      </c>
      <c r="T35" s="80">
        <f t="shared" si="3"/>
        <v>3200.0000000001214</v>
      </c>
      <c r="V35" t="s">
        <v>577</v>
      </c>
      <c r="W35" s="71">
        <v>42004</v>
      </c>
      <c r="X35" s="5">
        <v>229.9</v>
      </c>
    </row>
    <row r="36" spans="1:24" x14ac:dyDescent="0.25">
      <c r="A36" t="s">
        <v>448</v>
      </c>
      <c r="B36" s="71">
        <v>40329</v>
      </c>
      <c r="C36" s="48">
        <v>5135</v>
      </c>
      <c r="D36" t="s">
        <v>448</v>
      </c>
      <c r="E36" s="71">
        <v>40329</v>
      </c>
      <c r="F36" s="48">
        <v>14445</v>
      </c>
      <c r="G36" t="s">
        <v>448</v>
      </c>
      <c r="H36" s="71">
        <v>40329</v>
      </c>
      <c r="I36" s="5">
        <v>2757.1</v>
      </c>
      <c r="J36" t="s">
        <v>448</v>
      </c>
      <c r="K36" s="71">
        <v>40329</v>
      </c>
      <c r="L36" s="48">
        <v>564</v>
      </c>
      <c r="M36" t="s">
        <v>448</v>
      </c>
      <c r="N36" s="71">
        <v>40329</v>
      </c>
      <c r="O36" s="48">
        <v>0</v>
      </c>
      <c r="Q36" s="6">
        <f t="shared" si="0"/>
        <v>-5000</v>
      </c>
      <c r="R36" s="79">
        <f t="shared" si="2"/>
        <v>-8000</v>
      </c>
      <c r="S36" s="72">
        <f t="shared" si="1"/>
        <v>23799.999999999727</v>
      </c>
      <c r="T36" s="80">
        <f t="shared" si="3"/>
        <v>9433.333333333243</v>
      </c>
      <c r="V36" t="s">
        <v>578</v>
      </c>
      <c r="W36" s="71">
        <v>42094</v>
      </c>
      <c r="X36" s="5">
        <v>228.4</v>
      </c>
    </row>
    <row r="37" spans="1:24" x14ac:dyDescent="0.25">
      <c r="A37" t="s">
        <v>449</v>
      </c>
      <c r="B37" s="71">
        <v>40359</v>
      </c>
      <c r="C37" s="48">
        <v>5139</v>
      </c>
      <c r="D37" t="s">
        <v>449</v>
      </c>
      <c r="E37" s="71">
        <v>40359</v>
      </c>
      <c r="F37" s="48">
        <v>14408</v>
      </c>
      <c r="G37" t="s">
        <v>449</v>
      </c>
      <c r="H37" s="71">
        <v>40359</v>
      </c>
      <c r="I37" s="5">
        <v>2533.8000000000002</v>
      </c>
      <c r="J37" t="s">
        <v>449</v>
      </c>
      <c r="K37" s="71">
        <v>40359</v>
      </c>
      <c r="L37" s="48">
        <v>339</v>
      </c>
      <c r="M37" t="s">
        <v>449</v>
      </c>
      <c r="N37" s="71">
        <v>40359</v>
      </c>
      <c r="O37" s="48">
        <v>0</v>
      </c>
      <c r="Q37" s="6">
        <f t="shared" si="0"/>
        <v>-33000</v>
      </c>
      <c r="R37" s="79">
        <f t="shared" si="2"/>
        <v>-16000</v>
      </c>
      <c r="S37" s="72">
        <f t="shared" si="1"/>
        <v>1700.0000000002728</v>
      </c>
      <c r="T37" s="80">
        <f t="shared" si="3"/>
        <v>7766.666666666727</v>
      </c>
      <c r="V37" t="s">
        <v>579</v>
      </c>
      <c r="W37" s="71">
        <v>42185</v>
      </c>
      <c r="X37" s="5">
        <v>239.2</v>
      </c>
    </row>
    <row r="38" spans="1:24" x14ac:dyDescent="0.25">
      <c r="A38" t="s">
        <v>450</v>
      </c>
      <c r="B38" s="71">
        <v>40390</v>
      </c>
      <c r="C38" s="48">
        <v>5136</v>
      </c>
      <c r="D38" t="s">
        <v>450</v>
      </c>
      <c r="E38" s="71">
        <v>40390</v>
      </c>
      <c r="F38" s="48">
        <v>14382</v>
      </c>
      <c r="G38" t="s">
        <v>450</v>
      </c>
      <c r="H38" s="71">
        <v>40390</v>
      </c>
      <c r="I38" s="5">
        <v>2396.4</v>
      </c>
      <c r="J38" t="s">
        <v>450</v>
      </c>
      <c r="K38" s="71">
        <v>40390</v>
      </c>
      <c r="L38" s="48">
        <v>196</v>
      </c>
      <c r="M38" t="s">
        <v>450</v>
      </c>
      <c r="N38" s="71">
        <v>40390</v>
      </c>
      <c r="O38" s="48">
        <v>0</v>
      </c>
      <c r="Q38" s="6">
        <f t="shared" si="0"/>
        <v>-29000</v>
      </c>
      <c r="R38" s="79">
        <f t="shared" si="2"/>
        <v>-22333.333333333332</v>
      </c>
      <c r="S38" s="72">
        <f t="shared" si="1"/>
        <v>5599.9999999999091</v>
      </c>
      <c r="T38" s="80">
        <f t="shared" si="3"/>
        <v>10366.666666666637</v>
      </c>
      <c r="V38" t="s">
        <v>580</v>
      </c>
      <c r="W38" s="71">
        <v>42277</v>
      </c>
      <c r="X38" s="5">
        <v>239.8</v>
      </c>
    </row>
    <row r="39" spans="1:24" x14ac:dyDescent="0.25">
      <c r="A39" t="s">
        <v>451</v>
      </c>
      <c r="B39" s="71">
        <v>40421</v>
      </c>
      <c r="C39" s="48">
        <v>5130</v>
      </c>
      <c r="D39" t="s">
        <v>451</v>
      </c>
      <c r="E39" s="71">
        <v>40421</v>
      </c>
      <c r="F39" s="48">
        <v>14345</v>
      </c>
      <c r="G39" t="s">
        <v>451</v>
      </c>
      <c r="H39" s="71">
        <v>40421</v>
      </c>
      <c r="I39" s="5">
        <v>2288.5</v>
      </c>
      <c r="J39" t="s">
        <v>451</v>
      </c>
      <c r="K39" s="71">
        <v>40421</v>
      </c>
      <c r="L39" s="48">
        <v>82</v>
      </c>
      <c r="M39" t="s">
        <v>451</v>
      </c>
      <c r="N39" s="71">
        <v>40421</v>
      </c>
      <c r="O39" s="48">
        <v>0</v>
      </c>
      <c r="Q39" s="6">
        <f t="shared" si="0"/>
        <v>-43000</v>
      </c>
      <c r="R39" s="79">
        <f t="shared" si="2"/>
        <v>-35000</v>
      </c>
      <c r="S39" s="72">
        <f t="shared" si="1"/>
        <v>6099.9999999999091</v>
      </c>
      <c r="T39" s="80">
        <f t="shared" si="3"/>
        <v>4466.666666666697</v>
      </c>
      <c r="V39" t="s">
        <v>581</v>
      </c>
      <c r="W39" s="71">
        <v>42369</v>
      </c>
      <c r="X39" s="5">
        <v>229.9</v>
      </c>
    </row>
    <row r="40" spans="1:24" x14ac:dyDescent="0.25">
      <c r="A40" t="s">
        <v>452</v>
      </c>
      <c r="B40" s="71">
        <v>40451</v>
      </c>
      <c r="C40" s="48">
        <v>5122</v>
      </c>
      <c r="D40" t="s">
        <v>452</v>
      </c>
      <c r="E40" s="71">
        <v>40451</v>
      </c>
      <c r="F40" s="48">
        <v>14256</v>
      </c>
      <c r="G40" t="s">
        <v>452</v>
      </c>
      <c r="H40" s="71">
        <v>40451</v>
      </c>
      <c r="I40" s="5">
        <v>2214.4</v>
      </c>
      <c r="J40" t="s">
        <v>452</v>
      </c>
      <c r="K40" s="71">
        <v>40451</v>
      </c>
      <c r="L40" s="48">
        <v>6</v>
      </c>
      <c r="M40" t="s">
        <v>452</v>
      </c>
      <c r="N40" s="71">
        <v>40451</v>
      </c>
      <c r="O40" s="48">
        <v>0</v>
      </c>
      <c r="Q40" s="6">
        <f t="shared" si="0"/>
        <v>-97000</v>
      </c>
      <c r="R40" s="79">
        <f t="shared" si="2"/>
        <v>-56333.333333333336</v>
      </c>
      <c r="S40" s="72">
        <f t="shared" si="1"/>
        <v>1900.0000000000909</v>
      </c>
      <c r="T40" s="80">
        <f t="shared" si="3"/>
        <v>4533.333333333303</v>
      </c>
      <c r="V40" t="s">
        <v>582</v>
      </c>
      <c r="W40" s="71">
        <v>42460</v>
      </c>
      <c r="X40" s="5">
        <v>239.5</v>
      </c>
    </row>
    <row r="41" spans="1:24" x14ac:dyDescent="0.25">
      <c r="A41" t="s">
        <v>453</v>
      </c>
      <c r="B41" s="71">
        <v>40482</v>
      </c>
      <c r="C41" s="48">
        <v>5139</v>
      </c>
      <c r="D41" t="s">
        <v>453</v>
      </c>
      <c r="E41" s="71">
        <v>40482</v>
      </c>
      <c r="F41" s="48">
        <v>14292</v>
      </c>
      <c r="G41" t="s">
        <v>453</v>
      </c>
      <c r="H41" s="71">
        <v>40482</v>
      </c>
      <c r="I41" s="5">
        <v>2214</v>
      </c>
      <c r="J41" t="s">
        <v>453</v>
      </c>
      <c r="K41" s="71">
        <v>40482</v>
      </c>
      <c r="L41" s="48">
        <v>1</v>
      </c>
      <c r="M41" t="s">
        <v>453</v>
      </c>
      <c r="N41" s="71">
        <v>40482</v>
      </c>
      <c r="O41" s="48">
        <v>0</v>
      </c>
      <c r="Q41" s="6">
        <f t="shared" si="0"/>
        <v>53000</v>
      </c>
      <c r="R41" s="79">
        <f t="shared" si="2"/>
        <v>-29000</v>
      </c>
      <c r="S41" s="72">
        <f t="shared" si="1"/>
        <v>4599.9999999999091</v>
      </c>
      <c r="T41" s="80">
        <f t="shared" si="3"/>
        <v>4199.99999999997</v>
      </c>
      <c r="V41" t="s">
        <v>583</v>
      </c>
      <c r="W41" s="71">
        <v>42551</v>
      </c>
      <c r="X41" s="5">
        <v>229.4</v>
      </c>
    </row>
    <row r="42" spans="1:24" x14ac:dyDescent="0.25">
      <c r="A42" t="s">
        <v>454</v>
      </c>
      <c r="B42" s="71">
        <v>40512</v>
      </c>
      <c r="C42" s="48">
        <v>5139</v>
      </c>
      <c r="D42" t="s">
        <v>454</v>
      </c>
      <c r="E42" s="71">
        <v>40512</v>
      </c>
      <c r="F42" s="48">
        <v>14282</v>
      </c>
      <c r="G42" t="s">
        <v>454</v>
      </c>
      <c r="H42" s="71">
        <v>40512</v>
      </c>
      <c r="I42" s="5">
        <v>2215.5</v>
      </c>
      <c r="J42" t="s">
        <v>454</v>
      </c>
      <c r="K42" s="71">
        <v>40512</v>
      </c>
      <c r="L42" s="48">
        <v>0</v>
      </c>
      <c r="M42" t="s">
        <v>454</v>
      </c>
      <c r="N42" s="71">
        <v>40512</v>
      </c>
      <c r="O42" s="48">
        <v>0</v>
      </c>
      <c r="Q42" s="6">
        <f t="shared" si="0"/>
        <v>-10000</v>
      </c>
      <c r="R42" s="79">
        <f t="shared" si="2"/>
        <v>-18000</v>
      </c>
      <c r="S42" s="72">
        <f t="shared" si="1"/>
        <v>2500</v>
      </c>
      <c r="T42" s="80">
        <f t="shared" si="3"/>
        <v>3000</v>
      </c>
      <c r="V42" t="s">
        <v>584</v>
      </c>
      <c r="W42" s="71">
        <v>42643</v>
      </c>
      <c r="X42" s="5">
        <v>222.2</v>
      </c>
    </row>
    <row r="43" spans="1:24" x14ac:dyDescent="0.25">
      <c r="A43" t="s">
        <v>455</v>
      </c>
      <c r="B43" s="71">
        <v>40543</v>
      </c>
      <c r="C43" s="48">
        <v>5133</v>
      </c>
      <c r="D43" t="s">
        <v>455</v>
      </c>
      <c r="E43" s="71">
        <v>40543</v>
      </c>
      <c r="F43" s="48">
        <v>14263</v>
      </c>
      <c r="G43" t="s">
        <v>455</v>
      </c>
      <c r="H43" s="71">
        <v>40543</v>
      </c>
      <c r="I43" s="5">
        <v>2221</v>
      </c>
      <c r="J43" t="s">
        <v>455</v>
      </c>
      <c r="K43" s="71">
        <v>40543</v>
      </c>
      <c r="L43" s="48">
        <v>0</v>
      </c>
      <c r="M43" t="s">
        <v>455</v>
      </c>
      <c r="N43" s="71">
        <v>40543</v>
      </c>
      <c r="O43" s="48">
        <v>0</v>
      </c>
      <c r="Q43" s="6">
        <f t="shared" si="0"/>
        <v>-25000</v>
      </c>
      <c r="R43" s="79">
        <f t="shared" si="2"/>
        <v>6000</v>
      </c>
      <c r="S43" s="72">
        <f t="shared" si="1"/>
        <v>5500</v>
      </c>
      <c r="T43" s="80">
        <f t="shared" si="3"/>
        <v>4199.99999999997</v>
      </c>
      <c r="V43" t="s">
        <v>585</v>
      </c>
      <c r="W43" s="71">
        <v>42735</v>
      </c>
      <c r="X43" s="5">
        <v>224.7</v>
      </c>
    </row>
    <row r="44" spans="1:24" x14ac:dyDescent="0.25">
      <c r="A44" t="s">
        <v>456</v>
      </c>
      <c r="B44" s="71">
        <v>40574</v>
      </c>
      <c r="C44" s="48">
        <v>5138</v>
      </c>
      <c r="D44" t="s">
        <v>456</v>
      </c>
      <c r="E44" s="71">
        <v>40574</v>
      </c>
      <c r="F44" s="48">
        <v>14246</v>
      </c>
      <c r="G44" t="s">
        <v>456</v>
      </c>
      <c r="H44" s="71">
        <v>40574</v>
      </c>
      <c r="I44" s="5">
        <v>2229.1</v>
      </c>
      <c r="J44" t="s">
        <v>456</v>
      </c>
      <c r="K44" s="71">
        <v>40574</v>
      </c>
      <c r="L44" s="48">
        <v>1</v>
      </c>
      <c r="M44" t="s">
        <v>456</v>
      </c>
      <c r="N44" s="71">
        <v>40574</v>
      </c>
      <c r="O44" s="48">
        <v>0</v>
      </c>
      <c r="Q44" s="6">
        <f t="shared" si="0"/>
        <v>-12000</v>
      </c>
      <c r="R44" s="79">
        <f t="shared" si="2"/>
        <v>-15666.666666666666</v>
      </c>
      <c r="S44" s="72">
        <f t="shared" si="1"/>
        <v>7099.9999999999091</v>
      </c>
      <c r="T44" s="80">
        <f t="shared" si="3"/>
        <v>5033.333333333303</v>
      </c>
      <c r="V44" t="s">
        <v>586</v>
      </c>
      <c r="W44" s="71">
        <v>42825</v>
      </c>
      <c r="X44" s="5">
        <v>223.4</v>
      </c>
    </row>
    <row r="45" spans="1:24" x14ac:dyDescent="0.25">
      <c r="A45" t="s">
        <v>457</v>
      </c>
      <c r="B45" s="71">
        <v>40602</v>
      </c>
      <c r="C45" s="48">
        <v>5106</v>
      </c>
      <c r="D45" t="s">
        <v>457</v>
      </c>
      <c r="E45" s="71">
        <v>40602</v>
      </c>
      <c r="F45" s="48">
        <v>14233</v>
      </c>
      <c r="G45" t="s">
        <v>457</v>
      </c>
      <c r="H45" s="71">
        <v>40602</v>
      </c>
      <c r="I45" s="5">
        <v>2232.6999999999998</v>
      </c>
      <c r="J45" t="s">
        <v>457</v>
      </c>
      <c r="K45" s="71">
        <v>40602</v>
      </c>
      <c r="L45" s="48">
        <v>3</v>
      </c>
      <c r="M45" t="s">
        <v>457</v>
      </c>
      <c r="N45" s="71">
        <v>40602</v>
      </c>
      <c r="O45" s="48">
        <v>0</v>
      </c>
      <c r="Q45" s="6">
        <f t="shared" si="0"/>
        <v>-45000</v>
      </c>
      <c r="R45" s="79">
        <f t="shared" si="2"/>
        <v>-27333.333333333332</v>
      </c>
      <c r="S45" s="72">
        <f t="shared" si="1"/>
        <v>1599.9999999999091</v>
      </c>
      <c r="T45" s="80">
        <f t="shared" si="3"/>
        <v>4733.333333333273</v>
      </c>
      <c r="V45" t="s">
        <v>589</v>
      </c>
      <c r="W45" s="71">
        <v>42916</v>
      </c>
      <c r="X45" s="5">
        <v>212.8</v>
      </c>
    </row>
    <row r="46" spans="1:24" x14ac:dyDescent="0.25">
      <c r="A46" t="s">
        <v>458</v>
      </c>
      <c r="B46" s="71">
        <v>40633</v>
      </c>
      <c r="C46" s="48">
        <v>5096</v>
      </c>
      <c r="D46" t="s">
        <v>458</v>
      </c>
      <c r="E46" s="71">
        <v>40633</v>
      </c>
      <c r="F46" s="48">
        <v>14219</v>
      </c>
      <c r="G46" t="s">
        <v>458</v>
      </c>
      <c r="H46" s="71">
        <v>40633</v>
      </c>
      <c r="I46" s="5">
        <v>2236.8000000000002</v>
      </c>
      <c r="J46" t="s">
        <v>458</v>
      </c>
      <c r="K46" s="71">
        <v>40633</v>
      </c>
      <c r="L46" s="48">
        <v>3</v>
      </c>
      <c r="M46" t="s">
        <v>458</v>
      </c>
      <c r="N46" s="71">
        <v>40633</v>
      </c>
      <c r="O46" s="48">
        <v>0</v>
      </c>
      <c r="Q46" s="6">
        <f t="shared" si="0"/>
        <v>-24000</v>
      </c>
      <c r="R46" s="79">
        <f t="shared" si="2"/>
        <v>-27000</v>
      </c>
      <c r="S46" s="72">
        <f t="shared" si="1"/>
        <v>4100.0000000003638</v>
      </c>
      <c r="T46" s="80">
        <f t="shared" si="3"/>
        <v>4266.666666666727</v>
      </c>
      <c r="V46" t="s">
        <v>599</v>
      </c>
      <c r="W46" s="71">
        <v>43008</v>
      </c>
      <c r="X46" s="5">
        <v>205.2</v>
      </c>
    </row>
    <row r="47" spans="1:24" x14ac:dyDescent="0.25">
      <c r="A47" t="s">
        <v>459</v>
      </c>
      <c r="B47" s="71">
        <v>40663</v>
      </c>
      <c r="C47" s="48">
        <v>5091</v>
      </c>
      <c r="D47" t="s">
        <v>459</v>
      </c>
      <c r="E47" s="71">
        <v>40663</v>
      </c>
      <c r="F47" s="48">
        <v>14223</v>
      </c>
      <c r="G47" t="s">
        <v>459</v>
      </c>
      <c r="H47" s="71">
        <v>40663</v>
      </c>
      <c r="I47" s="5">
        <v>2233.9</v>
      </c>
      <c r="J47" t="s">
        <v>459</v>
      </c>
      <c r="K47" s="71">
        <v>40663</v>
      </c>
      <c r="L47" s="48">
        <v>0</v>
      </c>
      <c r="M47" t="s">
        <v>459</v>
      </c>
      <c r="N47" s="71">
        <v>40663</v>
      </c>
      <c r="O47" s="48">
        <v>0</v>
      </c>
      <c r="Q47" s="6">
        <f t="shared" si="0"/>
        <v>-1000</v>
      </c>
      <c r="R47" s="79">
        <f t="shared" si="2"/>
        <v>-23333.333333333332</v>
      </c>
      <c r="S47" s="72">
        <f t="shared" si="1"/>
        <v>99.999999999909051</v>
      </c>
      <c r="T47" s="80">
        <f t="shared" si="3"/>
        <v>1933.333333333394</v>
      </c>
    </row>
    <row r="48" spans="1:24" x14ac:dyDescent="0.25">
      <c r="A48" t="s">
        <v>460</v>
      </c>
      <c r="B48" s="71">
        <v>40694</v>
      </c>
      <c r="C48" s="48">
        <v>5083</v>
      </c>
      <c r="D48" t="s">
        <v>460</v>
      </c>
      <c r="E48" s="71">
        <v>40694</v>
      </c>
      <c r="F48" s="48">
        <v>14175</v>
      </c>
      <c r="G48" t="s">
        <v>460</v>
      </c>
      <c r="H48" s="71">
        <v>40694</v>
      </c>
      <c r="I48" s="5">
        <v>2235.1</v>
      </c>
      <c r="J48" t="s">
        <v>460</v>
      </c>
      <c r="K48" s="71">
        <v>40694</v>
      </c>
      <c r="L48" s="48">
        <v>0</v>
      </c>
      <c r="M48" t="s">
        <v>460</v>
      </c>
      <c r="N48" s="71">
        <v>40694</v>
      </c>
      <c r="O48" s="48">
        <v>0</v>
      </c>
      <c r="Q48" s="6">
        <f t="shared" si="0"/>
        <v>-56000</v>
      </c>
      <c r="R48" s="79">
        <f t="shared" si="2"/>
        <v>-27000</v>
      </c>
      <c r="S48" s="72">
        <f t="shared" si="1"/>
        <v>1199.9999999998181</v>
      </c>
      <c r="T48" s="80">
        <f t="shared" si="3"/>
        <v>1800.0000000000302</v>
      </c>
    </row>
    <row r="49" spans="1:20" x14ac:dyDescent="0.25">
      <c r="A49" t="s">
        <v>461</v>
      </c>
      <c r="B49" s="71">
        <v>40724</v>
      </c>
      <c r="C49" s="48">
        <v>5079</v>
      </c>
      <c r="D49" t="s">
        <v>461</v>
      </c>
      <c r="E49" s="71">
        <v>40724</v>
      </c>
      <c r="F49" s="48">
        <v>14225</v>
      </c>
      <c r="G49" t="s">
        <v>461</v>
      </c>
      <c r="H49" s="71">
        <v>40724</v>
      </c>
      <c r="I49" s="5">
        <v>2229</v>
      </c>
      <c r="J49" t="s">
        <v>461</v>
      </c>
      <c r="K49" s="71">
        <v>40724</v>
      </c>
      <c r="L49" s="48">
        <v>0</v>
      </c>
      <c r="M49" t="s">
        <v>461</v>
      </c>
      <c r="N49" s="71">
        <v>40724</v>
      </c>
      <c r="O49" s="48">
        <v>0</v>
      </c>
      <c r="Q49" s="6">
        <f t="shared" si="0"/>
        <v>46000</v>
      </c>
      <c r="R49" s="79">
        <f t="shared" si="2"/>
        <v>-3666.6666666666665</v>
      </c>
      <c r="S49" s="72">
        <f t="shared" si="1"/>
        <v>-6099.9999999999091</v>
      </c>
      <c r="T49" s="80">
        <f t="shared" si="3"/>
        <v>-1600.0000000000607</v>
      </c>
    </row>
    <row r="50" spans="1:20" x14ac:dyDescent="0.25">
      <c r="A50" t="s">
        <v>462</v>
      </c>
      <c r="B50" s="71">
        <v>40755</v>
      </c>
      <c r="C50" s="48">
        <v>5058</v>
      </c>
      <c r="D50" t="s">
        <v>462</v>
      </c>
      <c r="E50" s="71">
        <v>40755</v>
      </c>
      <c r="F50" s="48">
        <v>14129</v>
      </c>
      <c r="G50" t="s">
        <v>462</v>
      </c>
      <c r="H50" s="71">
        <v>40755</v>
      </c>
      <c r="I50" s="5">
        <v>2226.3000000000002</v>
      </c>
      <c r="J50" t="s">
        <v>462</v>
      </c>
      <c r="K50" s="71">
        <v>40755</v>
      </c>
      <c r="L50" s="48">
        <v>0</v>
      </c>
      <c r="M50" t="s">
        <v>462</v>
      </c>
      <c r="N50" s="71">
        <v>40755</v>
      </c>
      <c r="O50" s="48">
        <v>0</v>
      </c>
      <c r="Q50" s="6">
        <f t="shared" si="0"/>
        <v>-117000</v>
      </c>
      <c r="R50" s="79">
        <f t="shared" si="2"/>
        <v>-42333.333333333336</v>
      </c>
      <c r="S50" s="72">
        <f t="shared" si="1"/>
        <v>-2699.9999999998181</v>
      </c>
      <c r="T50" s="80">
        <f t="shared" si="3"/>
        <v>-2533.333333333303</v>
      </c>
    </row>
    <row r="51" spans="1:20" x14ac:dyDescent="0.25">
      <c r="A51" t="s">
        <v>463</v>
      </c>
      <c r="B51" s="71">
        <v>40786</v>
      </c>
      <c r="C51" s="48">
        <v>5079</v>
      </c>
      <c r="D51" t="s">
        <v>463</v>
      </c>
      <c r="E51" s="71">
        <v>40786</v>
      </c>
      <c r="F51" s="48">
        <v>14088</v>
      </c>
      <c r="G51" t="s">
        <v>463</v>
      </c>
      <c r="H51" s="71">
        <v>40786</v>
      </c>
      <c r="I51" s="5">
        <v>2222.8000000000002</v>
      </c>
      <c r="J51" t="s">
        <v>463</v>
      </c>
      <c r="K51" s="71">
        <v>40786</v>
      </c>
      <c r="L51" s="48">
        <v>0</v>
      </c>
      <c r="M51" t="s">
        <v>463</v>
      </c>
      <c r="N51" s="71">
        <v>40786</v>
      </c>
      <c r="O51" s="48">
        <v>0</v>
      </c>
      <c r="Q51" s="6">
        <f t="shared" si="0"/>
        <v>-20000</v>
      </c>
      <c r="R51" s="79">
        <f t="shared" si="2"/>
        <v>-30333.333333333332</v>
      </c>
      <c r="S51" s="72">
        <f t="shared" si="1"/>
        <v>-3500</v>
      </c>
      <c r="T51" s="80">
        <f t="shared" si="3"/>
        <v>-4099.9999999999091</v>
      </c>
    </row>
    <row r="52" spans="1:20" x14ac:dyDescent="0.25">
      <c r="A52" t="s">
        <v>464</v>
      </c>
      <c r="B52" s="71">
        <v>40816</v>
      </c>
      <c r="C52" s="48">
        <v>5072</v>
      </c>
      <c r="D52" t="s">
        <v>464</v>
      </c>
      <c r="E52" s="71">
        <v>40816</v>
      </c>
      <c r="F52" s="48">
        <v>14065</v>
      </c>
      <c r="G52" t="s">
        <v>464</v>
      </c>
      <c r="H52" s="71">
        <v>40816</v>
      </c>
      <c r="I52" s="5">
        <v>2223.9</v>
      </c>
      <c r="J52" t="s">
        <v>464</v>
      </c>
      <c r="K52" s="71">
        <v>40816</v>
      </c>
      <c r="L52" s="48">
        <v>0</v>
      </c>
      <c r="M52" t="s">
        <v>464</v>
      </c>
      <c r="N52" s="71">
        <v>40816</v>
      </c>
      <c r="O52" s="48">
        <v>0</v>
      </c>
      <c r="Q52" s="6">
        <f t="shared" si="0"/>
        <v>-30000</v>
      </c>
      <c r="R52" s="79">
        <f t="shared" si="2"/>
        <v>-55666.666666666664</v>
      </c>
      <c r="S52" s="72">
        <f t="shared" si="1"/>
        <v>1099.9999999999091</v>
      </c>
      <c r="T52" s="80">
        <f t="shared" si="3"/>
        <v>-1699.9999999999698</v>
      </c>
    </row>
    <row r="53" spans="1:20" x14ac:dyDescent="0.25">
      <c r="A53" t="s">
        <v>465</v>
      </c>
      <c r="B53" s="71">
        <v>40847</v>
      </c>
      <c r="C53" s="48">
        <v>5056</v>
      </c>
      <c r="D53" t="s">
        <v>465</v>
      </c>
      <c r="E53" s="71">
        <v>40847</v>
      </c>
      <c r="F53" s="48">
        <v>14092</v>
      </c>
      <c r="G53" t="s">
        <v>465</v>
      </c>
      <c r="H53" s="71">
        <v>40847</v>
      </c>
      <c r="I53" s="5">
        <v>2223.6999999999998</v>
      </c>
      <c r="J53" t="s">
        <v>465</v>
      </c>
      <c r="K53" s="71">
        <v>40847</v>
      </c>
      <c r="L53" s="48">
        <v>0</v>
      </c>
      <c r="M53" t="s">
        <v>465</v>
      </c>
      <c r="N53" s="71">
        <v>40847</v>
      </c>
      <c r="O53" s="48">
        <v>0</v>
      </c>
      <c r="Q53" s="6">
        <f t="shared" si="0"/>
        <v>11000</v>
      </c>
      <c r="R53" s="79">
        <f t="shared" si="2"/>
        <v>-13000</v>
      </c>
      <c r="S53" s="72">
        <f t="shared" si="1"/>
        <v>-200.00000000027285</v>
      </c>
      <c r="T53" s="80">
        <f t="shared" si="3"/>
        <v>-866.66666666678793</v>
      </c>
    </row>
    <row r="54" spans="1:20" x14ac:dyDescent="0.25">
      <c r="A54" t="s">
        <v>466</v>
      </c>
      <c r="B54" s="71">
        <v>40877</v>
      </c>
      <c r="C54" s="48">
        <v>5050</v>
      </c>
      <c r="D54" t="s">
        <v>466</v>
      </c>
      <c r="E54" s="71">
        <v>40877</v>
      </c>
      <c r="F54" s="48">
        <v>14079</v>
      </c>
      <c r="G54" t="s">
        <v>466</v>
      </c>
      <c r="H54" s="71">
        <v>40877</v>
      </c>
      <c r="I54" s="5">
        <v>2220.9</v>
      </c>
      <c r="J54" t="s">
        <v>466</v>
      </c>
      <c r="K54" s="71">
        <v>40877</v>
      </c>
      <c r="L54" s="48">
        <v>0</v>
      </c>
      <c r="M54" t="s">
        <v>466</v>
      </c>
      <c r="N54" s="71">
        <v>40877</v>
      </c>
      <c r="O54" s="48">
        <v>0</v>
      </c>
      <c r="Q54" s="6">
        <f t="shared" si="0"/>
        <v>-19000</v>
      </c>
      <c r="R54" s="79">
        <f t="shared" si="2"/>
        <v>-12666.666666666666</v>
      </c>
      <c r="S54" s="72">
        <f t="shared" si="1"/>
        <v>-2799.9999999997272</v>
      </c>
      <c r="T54" s="80">
        <f t="shared" si="3"/>
        <v>-633.33333333336361</v>
      </c>
    </row>
    <row r="55" spans="1:20" x14ac:dyDescent="0.25">
      <c r="A55" t="s">
        <v>467</v>
      </c>
      <c r="B55" s="71">
        <v>40908</v>
      </c>
      <c r="C55" s="48">
        <v>5047</v>
      </c>
      <c r="D55" t="s">
        <v>467</v>
      </c>
      <c r="E55" s="71">
        <v>40908</v>
      </c>
      <c r="F55" s="48">
        <v>14071</v>
      </c>
      <c r="G55" t="s">
        <v>467</v>
      </c>
      <c r="H55" s="71">
        <v>40908</v>
      </c>
      <c r="I55" s="5">
        <v>2218</v>
      </c>
      <c r="J55" t="s">
        <v>467</v>
      </c>
      <c r="K55" s="71">
        <v>40908</v>
      </c>
      <c r="L55" s="48">
        <v>0</v>
      </c>
      <c r="M55" t="s">
        <v>467</v>
      </c>
      <c r="N55" s="71">
        <v>40908</v>
      </c>
      <c r="O55" s="48">
        <v>0</v>
      </c>
      <c r="Q55" s="6">
        <f t="shared" si="0"/>
        <v>-11000</v>
      </c>
      <c r="R55" s="79">
        <f t="shared" si="2"/>
        <v>-6333.333333333333</v>
      </c>
      <c r="S55" s="72">
        <f t="shared" si="1"/>
        <v>-2900.0000000000909</v>
      </c>
      <c r="T55" s="80">
        <f t="shared" si="3"/>
        <v>-1966.666666666697</v>
      </c>
    </row>
    <row r="56" spans="1:20" x14ac:dyDescent="0.25">
      <c r="A56" t="s">
        <v>468</v>
      </c>
      <c r="B56" s="71">
        <v>40939</v>
      </c>
      <c r="C56" s="48">
        <v>5045</v>
      </c>
      <c r="D56" t="s">
        <v>468</v>
      </c>
      <c r="E56" s="71">
        <v>40939</v>
      </c>
      <c r="F56" s="48">
        <v>14068</v>
      </c>
      <c r="G56" t="s">
        <v>468</v>
      </c>
      <c r="H56" s="71">
        <v>40939</v>
      </c>
      <c r="I56" s="5">
        <v>2212.8000000000002</v>
      </c>
      <c r="J56" t="s">
        <v>468</v>
      </c>
      <c r="K56" s="71">
        <v>40939</v>
      </c>
      <c r="L56" s="48">
        <v>0</v>
      </c>
      <c r="M56" t="s">
        <v>468</v>
      </c>
      <c r="N56" s="71">
        <v>40939</v>
      </c>
      <c r="O56" s="48">
        <v>0</v>
      </c>
      <c r="Q56" s="6">
        <f t="shared" si="0"/>
        <v>-5000</v>
      </c>
      <c r="R56" s="79">
        <f t="shared" si="2"/>
        <v>-11666.666666666666</v>
      </c>
      <c r="S56" s="72">
        <f t="shared" si="1"/>
        <v>-5199.9999999998181</v>
      </c>
      <c r="T56" s="80">
        <f t="shared" si="3"/>
        <v>-3633.3333333332121</v>
      </c>
    </row>
    <row r="57" spans="1:20" x14ac:dyDescent="0.25">
      <c r="A57" t="s">
        <v>469</v>
      </c>
      <c r="B57" s="71">
        <v>40968</v>
      </c>
      <c r="C57" s="48">
        <v>5048</v>
      </c>
      <c r="D57" t="s">
        <v>469</v>
      </c>
      <c r="E57" s="71">
        <v>40968</v>
      </c>
      <c r="F57" s="48">
        <v>14071</v>
      </c>
      <c r="G57" t="s">
        <v>469</v>
      </c>
      <c r="H57" s="71">
        <v>40968</v>
      </c>
      <c r="I57" s="5">
        <v>2210.8000000000002</v>
      </c>
      <c r="J57" t="s">
        <v>469</v>
      </c>
      <c r="K57" s="71">
        <v>40968</v>
      </c>
      <c r="L57" s="48">
        <v>0</v>
      </c>
      <c r="M57" t="s">
        <v>469</v>
      </c>
      <c r="N57" s="71">
        <v>40968</v>
      </c>
      <c r="O57" s="48">
        <v>0</v>
      </c>
      <c r="Q57" s="6">
        <f t="shared" si="0"/>
        <v>6000</v>
      </c>
      <c r="R57" s="79">
        <f t="shared" si="2"/>
        <v>-3333.3333333333335</v>
      </c>
      <c r="S57" s="72">
        <f t="shared" si="1"/>
        <v>-2000</v>
      </c>
      <c r="T57" s="80">
        <f t="shared" si="3"/>
        <v>-3366.6666666666365</v>
      </c>
    </row>
    <row r="58" spans="1:20" x14ac:dyDescent="0.25">
      <c r="A58" t="s">
        <v>470</v>
      </c>
      <c r="B58" s="71">
        <v>40999</v>
      </c>
      <c r="C58" s="48">
        <v>5051</v>
      </c>
      <c r="D58" t="s">
        <v>470</v>
      </c>
      <c r="E58" s="71">
        <v>40999</v>
      </c>
      <c r="F58" s="48">
        <v>14064</v>
      </c>
      <c r="G58" t="s">
        <v>470</v>
      </c>
      <c r="H58" s="71">
        <v>40999</v>
      </c>
      <c r="I58" s="5">
        <v>2211.8000000000002</v>
      </c>
      <c r="J58" t="s">
        <v>470</v>
      </c>
      <c r="K58" s="71">
        <v>40999</v>
      </c>
      <c r="L58" s="48">
        <v>0</v>
      </c>
      <c r="M58" t="s">
        <v>470</v>
      </c>
      <c r="N58" s="71">
        <v>40999</v>
      </c>
      <c r="O58" s="48">
        <v>0</v>
      </c>
      <c r="Q58" s="6">
        <f t="shared" si="0"/>
        <v>-4000</v>
      </c>
      <c r="R58" s="79">
        <f t="shared" si="2"/>
        <v>-1000</v>
      </c>
      <c r="S58" s="72">
        <f t="shared" si="1"/>
        <v>1000</v>
      </c>
      <c r="T58" s="80">
        <f t="shared" si="3"/>
        <v>-2066.666666666606</v>
      </c>
    </row>
    <row r="59" spans="1:20" x14ac:dyDescent="0.25">
      <c r="A59" t="s">
        <v>471</v>
      </c>
      <c r="B59" s="71">
        <v>41029</v>
      </c>
      <c r="C59" s="48">
        <v>5055</v>
      </c>
      <c r="D59" t="s">
        <v>471</v>
      </c>
      <c r="E59" s="71">
        <v>41029</v>
      </c>
      <c r="F59" s="48">
        <v>14050</v>
      </c>
      <c r="G59" t="s">
        <v>471</v>
      </c>
      <c r="H59" s="71">
        <v>41029</v>
      </c>
      <c r="I59" s="5">
        <v>2210.3000000000002</v>
      </c>
      <c r="J59" t="s">
        <v>471</v>
      </c>
      <c r="K59" s="71">
        <v>41029</v>
      </c>
      <c r="L59" s="48">
        <v>0</v>
      </c>
      <c r="M59" t="s">
        <v>471</v>
      </c>
      <c r="N59" s="71">
        <v>41029</v>
      </c>
      <c r="O59" s="48">
        <v>0</v>
      </c>
      <c r="Q59" s="6">
        <f t="shared" si="0"/>
        <v>-10000</v>
      </c>
      <c r="R59" s="79">
        <f t="shared" si="2"/>
        <v>-2666.6666666666665</v>
      </c>
      <c r="S59" s="72">
        <f t="shared" si="1"/>
        <v>-1500</v>
      </c>
      <c r="T59" s="80">
        <f t="shared" si="3"/>
        <v>-833.33333333333337</v>
      </c>
    </row>
    <row r="60" spans="1:20" x14ac:dyDescent="0.25">
      <c r="A60" t="s">
        <v>472</v>
      </c>
      <c r="B60" s="71">
        <v>41060</v>
      </c>
      <c r="C60" s="48">
        <v>5052</v>
      </c>
      <c r="D60" t="s">
        <v>472</v>
      </c>
      <c r="E60" s="71">
        <v>41060</v>
      </c>
      <c r="F60" s="48">
        <v>14036</v>
      </c>
      <c r="G60" t="s">
        <v>472</v>
      </c>
      <c r="H60" s="71">
        <v>41060</v>
      </c>
      <c r="I60" s="5">
        <v>2209.1999999999998</v>
      </c>
      <c r="J60" t="s">
        <v>472</v>
      </c>
      <c r="K60" s="71">
        <v>41060</v>
      </c>
      <c r="L60" s="48">
        <v>0</v>
      </c>
      <c r="M60" t="s">
        <v>472</v>
      </c>
      <c r="N60" s="71">
        <v>41060</v>
      </c>
      <c r="O60" s="48">
        <v>0</v>
      </c>
      <c r="Q60" s="6">
        <f t="shared" si="0"/>
        <v>-17000</v>
      </c>
      <c r="R60" s="79">
        <f t="shared" si="2"/>
        <v>-10333.333333333334</v>
      </c>
      <c r="S60" s="72">
        <f t="shared" si="1"/>
        <v>-1100.0000000003638</v>
      </c>
      <c r="T60" s="80">
        <f t="shared" si="3"/>
        <v>-533.33333333345456</v>
      </c>
    </row>
    <row r="61" spans="1:20" x14ac:dyDescent="0.25">
      <c r="A61" t="s">
        <v>473</v>
      </c>
      <c r="B61" s="71">
        <v>41090</v>
      </c>
      <c r="C61" s="48">
        <v>5059</v>
      </c>
      <c r="D61" t="s">
        <v>473</v>
      </c>
      <c r="E61" s="71">
        <v>41090</v>
      </c>
      <c r="F61" s="48">
        <v>14047</v>
      </c>
      <c r="G61" t="s">
        <v>473</v>
      </c>
      <c r="H61" s="71">
        <v>41090</v>
      </c>
      <c r="I61" s="5">
        <v>2210.9</v>
      </c>
      <c r="J61" t="s">
        <v>473</v>
      </c>
      <c r="K61" s="71">
        <v>41090</v>
      </c>
      <c r="L61" s="48">
        <v>0</v>
      </c>
      <c r="M61" t="s">
        <v>473</v>
      </c>
      <c r="N61" s="71">
        <v>41090</v>
      </c>
      <c r="O61" s="48">
        <v>0</v>
      </c>
      <c r="Q61" s="6">
        <f t="shared" si="0"/>
        <v>18000</v>
      </c>
      <c r="R61" s="79">
        <f t="shared" si="2"/>
        <v>-3000</v>
      </c>
      <c r="S61" s="72">
        <f t="shared" si="1"/>
        <v>1700.0000000002728</v>
      </c>
      <c r="T61" s="80">
        <f t="shared" si="3"/>
        <v>-300.0000000000303</v>
      </c>
    </row>
    <row r="62" spans="1:20" x14ac:dyDescent="0.25">
      <c r="A62" t="s">
        <v>474</v>
      </c>
      <c r="B62" s="71">
        <v>41121</v>
      </c>
      <c r="C62" s="48">
        <v>5055</v>
      </c>
      <c r="D62" t="s">
        <v>474</v>
      </c>
      <c r="E62" s="71">
        <v>41121</v>
      </c>
      <c r="F62" s="48">
        <v>14043</v>
      </c>
      <c r="G62" t="s">
        <v>474</v>
      </c>
      <c r="H62" s="71">
        <v>41121</v>
      </c>
      <c r="I62" s="5">
        <v>2202.8000000000002</v>
      </c>
      <c r="J62" t="s">
        <v>474</v>
      </c>
      <c r="K62" s="71">
        <v>41121</v>
      </c>
      <c r="L62" s="48">
        <v>0</v>
      </c>
      <c r="M62" t="s">
        <v>474</v>
      </c>
      <c r="N62" s="71">
        <v>41121</v>
      </c>
      <c r="O62" s="48">
        <v>0</v>
      </c>
      <c r="Q62" s="6">
        <f t="shared" si="0"/>
        <v>-8000</v>
      </c>
      <c r="R62" s="79">
        <f t="shared" si="2"/>
        <v>-2333.3333333333335</v>
      </c>
      <c r="S62" s="72">
        <f t="shared" si="1"/>
        <v>-8099.9999999999091</v>
      </c>
      <c r="T62" s="80">
        <f t="shared" si="3"/>
        <v>-2500</v>
      </c>
    </row>
    <row r="63" spans="1:20" x14ac:dyDescent="0.25">
      <c r="A63" t="s">
        <v>475</v>
      </c>
      <c r="B63" s="71">
        <v>41152</v>
      </c>
      <c r="C63" s="48">
        <v>5063</v>
      </c>
      <c r="D63" t="s">
        <v>475</v>
      </c>
      <c r="E63" s="71">
        <v>41152</v>
      </c>
      <c r="F63" s="48">
        <v>14033</v>
      </c>
      <c r="G63" t="s">
        <v>475</v>
      </c>
      <c r="H63" s="71">
        <v>41152</v>
      </c>
      <c r="I63" s="5">
        <v>2210.6</v>
      </c>
      <c r="J63" t="s">
        <v>475</v>
      </c>
      <c r="K63" s="71">
        <v>41152</v>
      </c>
      <c r="L63" s="48">
        <v>0</v>
      </c>
      <c r="M63" t="s">
        <v>475</v>
      </c>
      <c r="N63" s="71">
        <v>41152</v>
      </c>
      <c r="O63" s="48">
        <v>0</v>
      </c>
      <c r="Q63" s="6">
        <f t="shared" si="0"/>
        <v>-2000</v>
      </c>
      <c r="R63" s="79">
        <f t="shared" si="2"/>
        <v>2666.6666666666665</v>
      </c>
      <c r="S63" s="72">
        <f t="shared" si="1"/>
        <v>7799.9999999997272</v>
      </c>
      <c r="T63" s="80">
        <f t="shared" si="3"/>
        <v>466.66666666669698</v>
      </c>
    </row>
    <row r="64" spans="1:20" x14ac:dyDescent="0.25">
      <c r="A64" t="s">
        <v>476</v>
      </c>
      <c r="B64" s="71">
        <v>41182</v>
      </c>
      <c r="C64" s="48">
        <v>5076</v>
      </c>
      <c r="D64" t="s">
        <v>476</v>
      </c>
      <c r="E64" s="71">
        <v>41182</v>
      </c>
      <c r="F64" s="48">
        <v>14027</v>
      </c>
      <c r="G64" t="s">
        <v>476</v>
      </c>
      <c r="H64" s="71">
        <v>41182</v>
      </c>
      <c r="I64" s="5">
        <v>2216.3000000000002</v>
      </c>
      <c r="J64" t="s">
        <v>476</v>
      </c>
      <c r="K64" s="71">
        <v>41182</v>
      </c>
      <c r="L64" s="48">
        <v>0</v>
      </c>
      <c r="M64" t="s">
        <v>476</v>
      </c>
      <c r="N64" s="71">
        <v>41182</v>
      </c>
      <c r="O64" s="48">
        <v>0</v>
      </c>
      <c r="Q64" s="6">
        <f t="shared" si="0"/>
        <v>7000</v>
      </c>
      <c r="R64" s="79">
        <f t="shared" si="2"/>
        <v>-1000</v>
      </c>
      <c r="S64" s="72">
        <f t="shared" si="1"/>
        <v>5700.0000000002728</v>
      </c>
      <c r="T64" s="80">
        <f t="shared" si="3"/>
        <v>1800.0000000000302</v>
      </c>
    </row>
    <row r="65" spans="1:20" x14ac:dyDescent="0.25">
      <c r="A65" t="s">
        <v>477</v>
      </c>
      <c r="B65" s="71">
        <v>41213</v>
      </c>
      <c r="C65" s="48">
        <v>5055</v>
      </c>
      <c r="D65" t="s">
        <v>477</v>
      </c>
      <c r="E65" s="71">
        <v>41213</v>
      </c>
      <c r="F65" s="48">
        <v>14024</v>
      </c>
      <c r="G65" t="s">
        <v>477</v>
      </c>
      <c r="H65" s="71">
        <v>41213</v>
      </c>
      <c r="I65" s="5">
        <v>2213.6</v>
      </c>
      <c r="J65" t="s">
        <v>477</v>
      </c>
      <c r="K65" s="71">
        <v>41213</v>
      </c>
      <c r="L65" s="48">
        <v>0</v>
      </c>
      <c r="M65" t="s">
        <v>477</v>
      </c>
      <c r="N65" s="71">
        <v>41213</v>
      </c>
      <c r="O65" s="48">
        <v>0</v>
      </c>
      <c r="Q65" s="6">
        <f t="shared" si="0"/>
        <v>-24000</v>
      </c>
      <c r="R65" s="79">
        <f t="shared" si="2"/>
        <v>-6333.333333333333</v>
      </c>
      <c r="S65" s="72">
        <f t="shared" si="1"/>
        <v>-2700.0000000002728</v>
      </c>
      <c r="T65" s="80">
        <f t="shared" si="3"/>
        <v>3599.9999999999091</v>
      </c>
    </row>
    <row r="66" spans="1:20" x14ac:dyDescent="0.25">
      <c r="A66" t="s">
        <v>478</v>
      </c>
      <c r="B66" s="71">
        <v>41243</v>
      </c>
      <c r="C66" s="48">
        <v>5052</v>
      </c>
      <c r="D66" t="s">
        <v>478</v>
      </c>
      <c r="E66" s="71">
        <v>41243</v>
      </c>
      <c r="F66" s="48">
        <v>14022</v>
      </c>
      <c r="G66" t="s">
        <v>478</v>
      </c>
      <c r="H66" s="71">
        <v>41243</v>
      </c>
      <c r="I66" s="5">
        <v>2209.1</v>
      </c>
      <c r="J66" t="s">
        <v>478</v>
      </c>
      <c r="K66" s="71">
        <v>41243</v>
      </c>
      <c r="L66" s="48">
        <v>0</v>
      </c>
      <c r="M66" t="s">
        <v>478</v>
      </c>
      <c r="N66" s="71">
        <v>41243</v>
      </c>
      <c r="O66" s="48">
        <v>0</v>
      </c>
      <c r="Q66" s="6">
        <f t="shared" si="0"/>
        <v>-5000</v>
      </c>
      <c r="R66" s="79">
        <f t="shared" si="2"/>
        <v>-7333.333333333333</v>
      </c>
      <c r="S66" s="72">
        <f t="shared" si="1"/>
        <v>-4500</v>
      </c>
      <c r="T66" s="80">
        <f t="shared" si="3"/>
        <v>-500</v>
      </c>
    </row>
    <row r="67" spans="1:20" x14ac:dyDescent="0.25">
      <c r="A67" t="s">
        <v>479</v>
      </c>
      <c r="B67" s="71">
        <v>41274</v>
      </c>
      <c r="C67" s="48">
        <v>5048</v>
      </c>
      <c r="D67" t="s">
        <v>479</v>
      </c>
      <c r="E67" s="71">
        <v>41274</v>
      </c>
      <c r="F67" s="48">
        <v>14033</v>
      </c>
      <c r="G67" t="s">
        <v>479</v>
      </c>
      <c r="H67" s="71">
        <v>41274</v>
      </c>
      <c r="I67" s="5">
        <v>2207.9</v>
      </c>
      <c r="J67" t="s">
        <v>479</v>
      </c>
      <c r="K67" s="71">
        <v>41274</v>
      </c>
      <c r="L67" s="48">
        <v>0</v>
      </c>
      <c r="M67" t="s">
        <v>479</v>
      </c>
      <c r="N67" s="71">
        <v>41274</v>
      </c>
      <c r="O67" s="48">
        <v>0</v>
      </c>
      <c r="Q67" s="6">
        <f t="shared" si="0"/>
        <v>7000</v>
      </c>
      <c r="R67" s="79">
        <f t="shared" si="2"/>
        <v>-7333.333333333333</v>
      </c>
      <c r="S67" s="72">
        <f t="shared" si="1"/>
        <v>-1199.9999999998181</v>
      </c>
      <c r="T67" s="80">
        <f t="shared" si="3"/>
        <v>-2800.0000000000305</v>
      </c>
    </row>
    <row r="68" spans="1:20" x14ac:dyDescent="0.25">
      <c r="A68" t="s">
        <v>480</v>
      </c>
      <c r="B68" s="71">
        <v>41305</v>
      </c>
      <c r="C68" s="48">
        <v>5030</v>
      </c>
      <c r="D68" t="s">
        <v>480</v>
      </c>
      <c r="E68" s="71">
        <v>41305</v>
      </c>
      <c r="F68" s="48">
        <v>14034</v>
      </c>
      <c r="G68" t="s">
        <v>480</v>
      </c>
      <c r="H68" s="71">
        <v>41305</v>
      </c>
      <c r="I68" s="5">
        <v>2203.8000000000002</v>
      </c>
      <c r="J68" t="s">
        <v>480</v>
      </c>
      <c r="K68" s="71">
        <v>41305</v>
      </c>
      <c r="L68" s="48">
        <v>0</v>
      </c>
      <c r="M68" t="s">
        <v>480</v>
      </c>
      <c r="N68" s="71">
        <v>41305</v>
      </c>
      <c r="O68" s="48">
        <v>0</v>
      </c>
      <c r="Q68" s="6">
        <f t="shared" si="0"/>
        <v>-17000</v>
      </c>
      <c r="R68" s="79">
        <f t="shared" si="2"/>
        <v>-5000</v>
      </c>
      <c r="S68" s="72">
        <f t="shared" si="1"/>
        <v>-4099.9999999999091</v>
      </c>
      <c r="T68" s="80">
        <f t="shared" si="3"/>
        <v>-3266.6666666665756</v>
      </c>
    </row>
    <row r="69" spans="1:20" x14ac:dyDescent="0.25">
      <c r="A69" t="s">
        <v>481</v>
      </c>
      <c r="B69" s="71">
        <v>41333</v>
      </c>
      <c r="C69" s="48">
        <v>5046</v>
      </c>
      <c r="D69" t="s">
        <v>481</v>
      </c>
      <c r="E69" s="71">
        <v>41333</v>
      </c>
      <c r="F69" s="48">
        <v>14034</v>
      </c>
      <c r="G69" t="s">
        <v>481</v>
      </c>
      <c r="H69" s="71">
        <v>41333</v>
      </c>
      <c r="I69" s="5">
        <v>2204.5</v>
      </c>
      <c r="J69" t="s">
        <v>481</v>
      </c>
      <c r="K69" s="71">
        <v>41333</v>
      </c>
      <c r="L69" s="48">
        <v>0</v>
      </c>
      <c r="M69" t="s">
        <v>481</v>
      </c>
      <c r="N69" s="71">
        <v>41333</v>
      </c>
      <c r="O69" s="48">
        <v>0</v>
      </c>
      <c r="Q69" s="6">
        <f t="shared" si="0"/>
        <v>16000</v>
      </c>
      <c r="R69" s="79">
        <f t="shared" si="2"/>
        <v>2000</v>
      </c>
      <c r="S69" s="72">
        <f t="shared" si="1"/>
        <v>699.9999999998181</v>
      </c>
      <c r="T69" s="80">
        <f t="shared" si="3"/>
        <v>-1533.333333333303</v>
      </c>
    </row>
    <row r="70" spans="1:20" x14ac:dyDescent="0.25">
      <c r="A70" t="s">
        <v>482</v>
      </c>
      <c r="B70" s="71">
        <v>41364</v>
      </c>
      <c r="C70" s="48">
        <v>5052</v>
      </c>
      <c r="D70" t="s">
        <v>482</v>
      </c>
      <c r="E70" s="71">
        <v>41364</v>
      </c>
      <c r="F70" s="48">
        <v>14024</v>
      </c>
      <c r="G70" t="s">
        <v>482</v>
      </c>
      <c r="H70" s="71">
        <v>41364</v>
      </c>
      <c r="I70" s="5">
        <v>2201.9</v>
      </c>
      <c r="J70" t="s">
        <v>482</v>
      </c>
      <c r="K70" s="71">
        <v>41364</v>
      </c>
      <c r="L70" s="48">
        <v>0</v>
      </c>
      <c r="M70" t="s">
        <v>482</v>
      </c>
      <c r="N70" s="71">
        <v>41364</v>
      </c>
      <c r="O70" s="48">
        <v>0</v>
      </c>
      <c r="Q70" s="6">
        <f t="shared" si="0"/>
        <v>-4000</v>
      </c>
      <c r="R70" s="79">
        <f t="shared" si="2"/>
        <v>-1666.6666666666667</v>
      </c>
      <c r="S70" s="72">
        <f t="shared" si="1"/>
        <v>-2599.9999999999091</v>
      </c>
      <c r="T70" s="80">
        <f t="shared" si="3"/>
        <v>-2000</v>
      </c>
    </row>
    <row r="71" spans="1:20" x14ac:dyDescent="0.25">
      <c r="A71" t="s">
        <v>483</v>
      </c>
      <c r="B71" s="71">
        <v>41394</v>
      </c>
      <c r="C71" s="48">
        <v>5047</v>
      </c>
      <c r="D71" t="s">
        <v>483</v>
      </c>
      <c r="E71" s="71">
        <v>41394</v>
      </c>
      <c r="F71" s="48">
        <v>14032</v>
      </c>
      <c r="G71" t="s">
        <v>483</v>
      </c>
      <c r="H71" s="71">
        <v>41394</v>
      </c>
      <c r="I71" s="5">
        <v>2192.3000000000002</v>
      </c>
      <c r="J71" t="s">
        <v>483</v>
      </c>
      <c r="K71" s="71">
        <v>41394</v>
      </c>
      <c r="L71" s="48">
        <v>0</v>
      </c>
      <c r="M71" t="s">
        <v>483</v>
      </c>
      <c r="N71" s="71">
        <v>41394</v>
      </c>
      <c r="O71" s="48">
        <v>0</v>
      </c>
      <c r="Q71" s="6">
        <f t="shared" si="0"/>
        <v>3000</v>
      </c>
      <c r="R71" s="79">
        <f t="shared" si="2"/>
        <v>5000</v>
      </c>
      <c r="S71" s="72">
        <f t="shared" si="1"/>
        <v>-9599.9999999999091</v>
      </c>
      <c r="T71" s="80">
        <f t="shared" si="3"/>
        <v>-3833.3333333333335</v>
      </c>
    </row>
    <row r="72" spans="1:20" x14ac:dyDescent="0.25">
      <c r="A72" t="s">
        <v>484</v>
      </c>
      <c r="B72" s="71">
        <v>41425</v>
      </c>
      <c r="C72" s="48">
        <v>5047</v>
      </c>
      <c r="D72" t="s">
        <v>484</v>
      </c>
      <c r="E72" s="71">
        <v>41425</v>
      </c>
      <c r="F72" s="48">
        <v>14033</v>
      </c>
      <c r="G72" t="s">
        <v>484</v>
      </c>
      <c r="H72" s="71">
        <v>41425</v>
      </c>
      <c r="I72" s="5">
        <v>2182.9</v>
      </c>
      <c r="J72" t="s">
        <v>484</v>
      </c>
      <c r="K72" s="71">
        <v>41425</v>
      </c>
      <c r="L72" s="48">
        <v>0</v>
      </c>
      <c r="M72" t="s">
        <v>484</v>
      </c>
      <c r="N72" s="71">
        <v>41425</v>
      </c>
      <c r="O72" s="48">
        <v>0</v>
      </c>
      <c r="Q72" s="6">
        <f t="shared" si="0"/>
        <v>1000</v>
      </c>
      <c r="R72" s="79">
        <f t="shared" si="2"/>
        <v>0</v>
      </c>
      <c r="S72" s="72">
        <f t="shared" si="1"/>
        <v>-9400.0000000000909</v>
      </c>
      <c r="T72" s="80">
        <f t="shared" si="3"/>
        <v>-7199.99999999997</v>
      </c>
    </row>
    <row r="73" spans="1:20" x14ac:dyDescent="0.25">
      <c r="A73" t="s">
        <v>485</v>
      </c>
      <c r="B73" s="71">
        <v>41455</v>
      </c>
      <c r="C73" s="48">
        <v>5038</v>
      </c>
      <c r="D73" t="s">
        <v>485</v>
      </c>
      <c r="E73" s="71">
        <v>41455</v>
      </c>
      <c r="F73" s="48">
        <v>14031</v>
      </c>
      <c r="G73" t="s">
        <v>485</v>
      </c>
      <c r="H73" s="71">
        <v>41455</v>
      </c>
      <c r="I73" s="5">
        <v>2176.1</v>
      </c>
      <c r="J73" t="s">
        <v>485</v>
      </c>
      <c r="K73" s="71">
        <v>41455</v>
      </c>
      <c r="L73" s="48">
        <v>0</v>
      </c>
      <c r="M73" t="s">
        <v>485</v>
      </c>
      <c r="N73" s="71">
        <v>41455</v>
      </c>
      <c r="O73" s="48">
        <v>0</v>
      </c>
      <c r="Q73" s="6">
        <f t="shared" si="0"/>
        <v>-11000</v>
      </c>
      <c r="R73" s="79">
        <f t="shared" si="2"/>
        <v>-2333.3333333333335</v>
      </c>
      <c r="S73" s="72">
        <f t="shared" si="1"/>
        <v>-6800.0000000001819</v>
      </c>
      <c r="T73" s="80">
        <f t="shared" si="3"/>
        <v>-8600.00000000006</v>
      </c>
    </row>
    <row r="74" spans="1:20" x14ac:dyDescent="0.25">
      <c r="A74" t="s">
        <v>486</v>
      </c>
      <c r="B74" s="71">
        <v>41486</v>
      </c>
      <c r="C74" s="48">
        <v>5029</v>
      </c>
      <c r="D74" t="s">
        <v>486</v>
      </c>
      <c r="E74" s="71">
        <v>41486</v>
      </c>
      <c r="F74" s="48">
        <v>14024</v>
      </c>
      <c r="G74" t="s">
        <v>486</v>
      </c>
      <c r="H74" s="71">
        <v>41486</v>
      </c>
      <c r="I74" s="5">
        <v>2168.6</v>
      </c>
      <c r="J74" t="s">
        <v>486</v>
      </c>
      <c r="K74" s="71">
        <v>41486</v>
      </c>
      <c r="L74" s="48">
        <v>0</v>
      </c>
      <c r="M74" t="s">
        <v>486</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487</v>
      </c>
      <c r="B75" s="71">
        <v>41517</v>
      </c>
      <c r="C75" s="48">
        <v>5046</v>
      </c>
      <c r="D75" t="s">
        <v>487</v>
      </c>
      <c r="E75" s="71">
        <v>41517</v>
      </c>
      <c r="F75" s="48">
        <v>14033</v>
      </c>
      <c r="G75" t="s">
        <v>487</v>
      </c>
      <c r="H75" s="71">
        <v>41517</v>
      </c>
      <c r="I75" s="5">
        <v>2161.9</v>
      </c>
      <c r="J75" t="s">
        <v>487</v>
      </c>
      <c r="K75" s="71">
        <v>41517</v>
      </c>
      <c r="L75" s="48">
        <v>0</v>
      </c>
      <c r="M75" t="s">
        <v>487</v>
      </c>
      <c r="N75" s="71">
        <v>41517</v>
      </c>
      <c r="O75" s="48">
        <v>0</v>
      </c>
      <c r="Q75" s="6">
        <f t="shared" si="4"/>
        <v>26000</v>
      </c>
      <c r="R75" s="79">
        <f t="shared" si="2"/>
        <v>-333.33333333333331</v>
      </c>
      <c r="S75" s="72">
        <f t="shared" si="5"/>
        <v>-6699.9999999998181</v>
      </c>
      <c r="T75" s="80">
        <f t="shared" si="3"/>
        <v>-7000</v>
      </c>
    </row>
    <row r="76" spans="1:20" x14ac:dyDescent="0.25">
      <c r="A76" t="s">
        <v>488</v>
      </c>
      <c r="B76" s="71">
        <v>41547</v>
      </c>
      <c r="C76" s="48">
        <v>5049</v>
      </c>
      <c r="D76" t="s">
        <v>488</v>
      </c>
      <c r="E76" s="71">
        <v>41547</v>
      </c>
      <c r="F76" s="48">
        <v>14038</v>
      </c>
      <c r="G76" t="s">
        <v>488</v>
      </c>
      <c r="H76" s="71">
        <v>41547</v>
      </c>
      <c r="I76" s="5">
        <v>2159.1</v>
      </c>
      <c r="J76" t="s">
        <v>488</v>
      </c>
      <c r="K76" s="71">
        <v>41547</v>
      </c>
      <c r="L76" s="48">
        <v>0</v>
      </c>
      <c r="M76" t="s">
        <v>488</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489</v>
      </c>
      <c r="B77" s="71">
        <v>41578</v>
      </c>
      <c r="C77" s="48">
        <v>5056</v>
      </c>
      <c r="D77" t="s">
        <v>489</v>
      </c>
      <c r="E77" s="71">
        <v>41578</v>
      </c>
      <c r="F77" s="48">
        <v>14037</v>
      </c>
      <c r="G77" t="s">
        <v>489</v>
      </c>
      <c r="H77" s="71">
        <v>41578</v>
      </c>
      <c r="I77" s="5">
        <v>2151.6999999999998</v>
      </c>
      <c r="J77" t="s">
        <v>489</v>
      </c>
      <c r="K77" s="71">
        <v>41578</v>
      </c>
      <c r="L77" s="48">
        <v>0</v>
      </c>
      <c r="M77" t="s">
        <v>489</v>
      </c>
      <c r="N77" s="71">
        <v>41578</v>
      </c>
      <c r="O77" s="48">
        <v>0</v>
      </c>
      <c r="Q77" s="6">
        <f t="shared" si="4"/>
        <v>6000</v>
      </c>
      <c r="R77" s="79">
        <f t="shared" si="6"/>
        <v>13333.333333333334</v>
      </c>
      <c r="S77" s="72">
        <f t="shared" si="5"/>
        <v>-7400.0000000000909</v>
      </c>
      <c r="T77" s="80">
        <f t="shared" si="7"/>
        <v>-5633.333333333364</v>
      </c>
    </row>
    <row r="78" spans="1:20" x14ac:dyDescent="0.25">
      <c r="A78" t="s">
        <v>490</v>
      </c>
      <c r="B78" s="71">
        <v>41608</v>
      </c>
      <c r="C78" s="48">
        <v>5059</v>
      </c>
      <c r="D78" t="s">
        <v>490</v>
      </c>
      <c r="E78" s="71">
        <v>41608</v>
      </c>
      <c r="F78" s="48">
        <v>14043</v>
      </c>
      <c r="G78" t="s">
        <v>490</v>
      </c>
      <c r="H78" s="71">
        <v>41608</v>
      </c>
      <c r="I78" s="5">
        <v>2152.6999999999998</v>
      </c>
      <c r="J78" t="s">
        <v>490</v>
      </c>
      <c r="K78" s="71">
        <v>41608</v>
      </c>
      <c r="L78" s="48">
        <v>0</v>
      </c>
      <c r="M78" t="s">
        <v>490</v>
      </c>
      <c r="N78" s="71">
        <v>41608</v>
      </c>
      <c r="O78" s="48">
        <v>0</v>
      </c>
      <c r="Q78" s="6">
        <f t="shared" si="4"/>
        <v>9000</v>
      </c>
      <c r="R78" s="79">
        <f t="shared" si="6"/>
        <v>7666.666666666667</v>
      </c>
      <c r="S78" s="72">
        <f t="shared" si="5"/>
        <v>1000</v>
      </c>
      <c r="T78" s="80">
        <f t="shared" si="7"/>
        <v>-3066.6666666667575</v>
      </c>
    </row>
    <row r="79" spans="1:20" x14ac:dyDescent="0.25">
      <c r="A79" t="s">
        <v>491</v>
      </c>
      <c r="B79" s="71">
        <v>41639</v>
      </c>
      <c r="C79" s="48">
        <v>5053</v>
      </c>
      <c r="D79" t="s">
        <v>491</v>
      </c>
      <c r="E79" s="71">
        <v>41639</v>
      </c>
      <c r="F79" s="48">
        <v>14028</v>
      </c>
      <c r="G79" t="s">
        <v>491</v>
      </c>
      <c r="H79" s="71">
        <v>41639</v>
      </c>
      <c r="I79" s="5">
        <v>2147</v>
      </c>
      <c r="J79" t="s">
        <v>491</v>
      </c>
      <c r="K79" s="71">
        <v>41639</v>
      </c>
      <c r="L79" s="48">
        <v>0</v>
      </c>
      <c r="M79" t="s">
        <v>491</v>
      </c>
      <c r="N79" s="71">
        <v>41639</v>
      </c>
      <c r="O79" s="48">
        <v>0</v>
      </c>
      <c r="Q79" s="6">
        <f t="shared" si="4"/>
        <v>-21000</v>
      </c>
      <c r="R79" s="79">
        <f t="shared" si="6"/>
        <v>-2000</v>
      </c>
      <c r="S79" s="72">
        <f t="shared" si="5"/>
        <v>-5699.9999999998181</v>
      </c>
      <c r="T79" s="80">
        <f t="shared" si="7"/>
        <v>-4033.333333333303</v>
      </c>
    </row>
    <row r="80" spans="1:20" x14ac:dyDescent="0.25">
      <c r="A80" t="s">
        <v>492</v>
      </c>
      <c r="B80" s="71">
        <v>41670</v>
      </c>
      <c r="C80" s="48">
        <v>5047</v>
      </c>
      <c r="D80" t="s">
        <v>492</v>
      </c>
      <c r="E80" s="71">
        <v>41670</v>
      </c>
      <c r="F80" s="48">
        <v>14025</v>
      </c>
      <c r="G80" t="s">
        <v>492</v>
      </c>
      <c r="H80" s="71">
        <v>41670</v>
      </c>
      <c r="I80" s="5">
        <v>2143.5</v>
      </c>
      <c r="J80" t="s">
        <v>492</v>
      </c>
      <c r="K80" s="71">
        <v>41670</v>
      </c>
      <c r="L80" s="48">
        <v>0</v>
      </c>
      <c r="M80" t="s">
        <v>492</v>
      </c>
      <c r="N80" s="71">
        <v>41670</v>
      </c>
      <c r="O80" s="48">
        <v>0</v>
      </c>
      <c r="Q80" s="6">
        <f t="shared" si="4"/>
        <v>-9000</v>
      </c>
      <c r="R80" s="79">
        <f t="shared" si="6"/>
        <v>-7000</v>
      </c>
      <c r="S80" s="72">
        <f t="shared" si="5"/>
        <v>-3500</v>
      </c>
      <c r="T80" s="80">
        <f t="shared" si="7"/>
        <v>-2733.3333333332725</v>
      </c>
    </row>
    <row r="81" spans="1:20" x14ac:dyDescent="0.25">
      <c r="A81" t="s">
        <v>493</v>
      </c>
      <c r="B81" s="71">
        <v>41698</v>
      </c>
      <c r="C81" s="48">
        <v>5058</v>
      </c>
      <c r="D81" t="s">
        <v>493</v>
      </c>
      <c r="E81" s="71">
        <v>41698</v>
      </c>
      <c r="F81" s="48">
        <v>14030</v>
      </c>
      <c r="G81" t="s">
        <v>493</v>
      </c>
      <c r="H81" s="71">
        <v>41698</v>
      </c>
      <c r="I81" s="5">
        <v>2139.5</v>
      </c>
      <c r="J81" t="s">
        <v>493</v>
      </c>
      <c r="K81" s="71">
        <v>41698</v>
      </c>
      <c r="L81" s="48">
        <v>0</v>
      </c>
      <c r="M81" t="s">
        <v>493</v>
      </c>
      <c r="N81" s="71">
        <v>41698</v>
      </c>
      <c r="O81" s="48">
        <v>0</v>
      </c>
      <c r="Q81" s="6">
        <f t="shared" si="4"/>
        <v>16000</v>
      </c>
      <c r="R81" s="79">
        <f t="shared" si="6"/>
        <v>-4666.666666666667</v>
      </c>
      <c r="S81" s="72">
        <f t="shared" si="5"/>
        <v>-4000</v>
      </c>
      <c r="T81" s="80">
        <f t="shared" si="7"/>
        <v>-4399.9999999999391</v>
      </c>
    </row>
    <row r="82" spans="1:20" x14ac:dyDescent="0.25">
      <c r="A82" t="s">
        <v>494</v>
      </c>
      <c r="B82" s="71">
        <v>41729</v>
      </c>
      <c r="C82" s="48">
        <v>5055</v>
      </c>
      <c r="D82" t="s">
        <v>494</v>
      </c>
      <c r="E82" s="71">
        <v>41729</v>
      </c>
      <c r="F82" s="48">
        <v>14045</v>
      </c>
      <c r="G82" t="s">
        <v>494</v>
      </c>
      <c r="H82" s="71">
        <v>41729</v>
      </c>
      <c r="I82" s="5">
        <v>2137.6999999999998</v>
      </c>
      <c r="J82" t="s">
        <v>494</v>
      </c>
      <c r="K82" s="71">
        <v>41729</v>
      </c>
      <c r="L82" s="48">
        <v>0</v>
      </c>
      <c r="M82" t="s">
        <v>494</v>
      </c>
      <c r="N82" s="71">
        <v>41729</v>
      </c>
      <c r="O82" s="48">
        <v>0</v>
      </c>
      <c r="Q82" s="6">
        <f t="shared" si="4"/>
        <v>12000</v>
      </c>
      <c r="R82" s="79">
        <f t="shared" si="6"/>
        <v>6333.333333333333</v>
      </c>
      <c r="S82" s="72">
        <f t="shared" si="5"/>
        <v>-1800.0000000001819</v>
      </c>
      <c r="T82" s="80">
        <f t="shared" si="7"/>
        <v>-3100.0000000000605</v>
      </c>
    </row>
    <row r="83" spans="1:20" x14ac:dyDescent="0.25">
      <c r="A83" t="s">
        <v>495</v>
      </c>
      <c r="B83" s="71">
        <v>41759</v>
      </c>
      <c r="C83" s="48">
        <v>5058</v>
      </c>
      <c r="D83" t="s">
        <v>495</v>
      </c>
      <c r="E83" s="71">
        <v>41759</v>
      </c>
      <c r="F83" s="48">
        <v>14075</v>
      </c>
      <c r="G83" t="s">
        <v>495</v>
      </c>
      <c r="H83" s="71">
        <v>41759</v>
      </c>
      <c r="I83" s="5">
        <v>2134.3000000000002</v>
      </c>
      <c r="J83" t="s">
        <v>495</v>
      </c>
      <c r="K83" s="71">
        <v>41759</v>
      </c>
      <c r="L83" s="48">
        <v>0</v>
      </c>
      <c r="M83" t="s">
        <v>495</v>
      </c>
      <c r="N83" s="71">
        <v>41759</v>
      </c>
      <c r="O83" s="48">
        <v>0</v>
      </c>
      <c r="Q83" s="6">
        <f t="shared" si="4"/>
        <v>33000</v>
      </c>
      <c r="R83" s="79">
        <f t="shared" si="6"/>
        <v>20333.333333333332</v>
      </c>
      <c r="S83" s="72">
        <f t="shared" si="5"/>
        <v>-3399.9999999996362</v>
      </c>
      <c r="T83" s="80">
        <f t="shared" si="7"/>
        <v>-3066.666666666606</v>
      </c>
    </row>
    <row r="84" spans="1:20" x14ac:dyDescent="0.25">
      <c r="A84" t="s">
        <v>496</v>
      </c>
      <c r="B84" s="71">
        <v>41790</v>
      </c>
      <c r="C84" s="48">
        <v>5056</v>
      </c>
      <c r="D84" t="s">
        <v>496</v>
      </c>
      <c r="E84" s="71">
        <v>41790</v>
      </c>
      <c r="F84" s="48">
        <v>14070</v>
      </c>
      <c r="G84" t="s">
        <v>496</v>
      </c>
      <c r="H84" s="71">
        <v>41790</v>
      </c>
      <c r="I84" s="5">
        <v>2134.5</v>
      </c>
      <c r="J84" t="s">
        <v>496</v>
      </c>
      <c r="K84" s="71">
        <v>41790</v>
      </c>
      <c r="L84" s="48">
        <v>0</v>
      </c>
      <c r="M84" t="s">
        <v>496</v>
      </c>
      <c r="N84" s="71">
        <v>41790</v>
      </c>
      <c r="O84" s="48">
        <v>0</v>
      </c>
      <c r="Q84" s="6">
        <f t="shared" si="4"/>
        <v>-7000</v>
      </c>
      <c r="R84" s="79">
        <f t="shared" si="6"/>
        <v>12666.666666666666</v>
      </c>
      <c r="S84" s="72">
        <f t="shared" si="5"/>
        <v>199.9999999998181</v>
      </c>
      <c r="T84" s="80">
        <f t="shared" si="7"/>
        <v>-1666.6666666666667</v>
      </c>
    </row>
    <row r="85" spans="1:20" x14ac:dyDescent="0.25">
      <c r="A85" t="s">
        <v>497</v>
      </c>
      <c r="B85" s="71">
        <v>41820</v>
      </c>
      <c r="C85" s="48">
        <v>5063</v>
      </c>
      <c r="D85" t="s">
        <v>497</v>
      </c>
      <c r="E85" s="71">
        <v>41820</v>
      </c>
      <c r="F85" s="48">
        <v>14106</v>
      </c>
      <c r="G85" t="s">
        <v>497</v>
      </c>
      <c r="H85" s="71">
        <v>41820</v>
      </c>
      <c r="I85" s="5">
        <v>2135.1999999999998</v>
      </c>
      <c r="J85" t="s">
        <v>497</v>
      </c>
      <c r="K85" s="71">
        <v>41820</v>
      </c>
      <c r="L85" s="48">
        <v>0</v>
      </c>
      <c r="M85" t="s">
        <v>497</v>
      </c>
      <c r="N85" s="71">
        <v>41820</v>
      </c>
      <c r="O85" s="48">
        <v>0</v>
      </c>
      <c r="Q85" s="6">
        <f t="shared" si="4"/>
        <v>43000</v>
      </c>
      <c r="R85" s="79">
        <f t="shared" si="6"/>
        <v>23000</v>
      </c>
      <c r="S85" s="72">
        <f t="shared" si="5"/>
        <v>699.9999999998181</v>
      </c>
      <c r="T85" s="80">
        <f t="shared" si="7"/>
        <v>-833.33333333333337</v>
      </c>
    </row>
    <row r="86" spans="1:20" x14ac:dyDescent="0.25">
      <c r="A86" t="s">
        <v>498</v>
      </c>
      <c r="B86" s="71">
        <v>41851</v>
      </c>
      <c r="C86" s="48">
        <v>5028</v>
      </c>
      <c r="D86" t="s">
        <v>498</v>
      </c>
      <c r="E86" s="71">
        <v>41851</v>
      </c>
      <c r="F86" s="48">
        <v>14114</v>
      </c>
      <c r="G86" t="s">
        <v>498</v>
      </c>
      <c r="H86" s="71">
        <v>41851</v>
      </c>
      <c r="I86" s="5">
        <v>2138.6999999999998</v>
      </c>
      <c r="J86" t="s">
        <v>498</v>
      </c>
      <c r="K86" s="71">
        <v>41851</v>
      </c>
      <c r="L86" s="48">
        <v>0</v>
      </c>
      <c r="M86" t="s">
        <v>498</v>
      </c>
      <c r="N86" s="71">
        <v>41851</v>
      </c>
      <c r="O86" s="48">
        <v>0</v>
      </c>
      <c r="Q86" s="6">
        <f t="shared" si="4"/>
        <v>-27000</v>
      </c>
      <c r="R86" s="79">
        <f t="shared" si="6"/>
        <v>3000</v>
      </c>
      <c r="S86" s="72">
        <f t="shared" si="5"/>
        <v>3500</v>
      </c>
      <c r="T86" s="80">
        <f t="shared" si="7"/>
        <v>1466.6666666665453</v>
      </c>
    </row>
    <row r="87" spans="1:20" x14ac:dyDescent="0.25">
      <c r="A87" t="s">
        <v>499</v>
      </c>
      <c r="B87" s="71">
        <v>41882</v>
      </c>
      <c r="C87" s="48">
        <v>5021</v>
      </c>
      <c r="D87" t="s">
        <v>499</v>
      </c>
      <c r="E87" s="71">
        <v>41882</v>
      </c>
      <c r="F87" s="48">
        <v>14109</v>
      </c>
      <c r="G87" t="s">
        <v>499</v>
      </c>
      <c r="H87" s="71">
        <v>41882</v>
      </c>
      <c r="I87" s="5">
        <v>2142.4</v>
      </c>
      <c r="J87" t="s">
        <v>499</v>
      </c>
      <c r="K87" s="71">
        <v>41882</v>
      </c>
      <c r="L87" s="48">
        <v>0</v>
      </c>
      <c r="M87" t="s">
        <v>499</v>
      </c>
      <c r="N87" s="71">
        <v>41882</v>
      </c>
      <c r="O87" s="48">
        <v>0</v>
      </c>
      <c r="Q87" s="6">
        <f t="shared" si="4"/>
        <v>-12000</v>
      </c>
      <c r="R87" s="79">
        <f t="shared" si="6"/>
        <v>1333.3333333333333</v>
      </c>
      <c r="S87" s="72">
        <f t="shared" si="5"/>
        <v>3700.0000000002728</v>
      </c>
      <c r="T87" s="80">
        <f t="shared" si="7"/>
        <v>2633.3333333333635</v>
      </c>
    </row>
    <row r="88" spans="1:20" x14ac:dyDescent="0.25">
      <c r="A88" t="s">
        <v>500</v>
      </c>
      <c r="B88" s="71">
        <v>41912</v>
      </c>
      <c r="C88" s="48">
        <v>5043</v>
      </c>
      <c r="D88" t="s">
        <v>500</v>
      </c>
      <c r="E88" s="71">
        <v>41912</v>
      </c>
      <c r="F88" s="48">
        <v>14129</v>
      </c>
      <c r="G88" t="s">
        <v>500</v>
      </c>
      <c r="H88" s="71">
        <v>41912</v>
      </c>
      <c r="I88" s="5">
        <v>2141.6</v>
      </c>
      <c r="J88" t="s">
        <v>500</v>
      </c>
      <c r="K88" s="71">
        <v>41912</v>
      </c>
      <c r="L88" s="48">
        <v>0</v>
      </c>
      <c r="M88" t="s">
        <v>500</v>
      </c>
      <c r="N88" s="71">
        <v>41912</v>
      </c>
      <c r="O88" s="48">
        <v>0</v>
      </c>
      <c r="Q88" s="6">
        <f t="shared" si="4"/>
        <v>42000</v>
      </c>
      <c r="R88" s="79">
        <f t="shared" si="6"/>
        <v>1000</v>
      </c>
      <c r="S88" s="72">
        <f t="shared" si="5"/>
        <v>-800.0000000001819</v>
      </c>
      <c r="T88" s="80">
        <f t="shared" si="7"/>
        <v>2133.3333333333635</v>
      </c>
    </row>
    <row r="89" spans="1:20" x14ac:dyDescent="0.25">
      <c r="A89" t="s">
        <v>501</v>
      </c>
      <c r="B89" s="71">
        <v>41943</v>
      </c>
      <c r="C89" s="48">
        <v>5050</v>
      </c>
      <c r="D89" t="s">
        <v>501</v>
      </c>
      <c r="E89" s="71">
        <v>41943</v>
      </c>
      <c r="F89" s="48">
        <v>14134</v>
      </c>
      <c r="G89" t="s">
        <v>501</v>
      </c>
      <c r="H89" s="71">
        <v>41943</v>
      </c>
      <c r="I89" s="5">
        <v>2144.4</v>
      </c>
      <c r="J89" t="s">
        <v>501</v>
      </c>
      <c r="K89" s="71">
        <v>41943</v>
      </c>
      <c r="L89" s="48">
        <v>0</v>
      </c>
      <c r="M89" t="s">
        <v>501</v>
      </c>
      <c r="N89" s="71">
        <v>41943</v>
      </c>
      <c r="O89" s="48">
        <v>0</v>
      </c>
      <c r="Q89" s="6">
        <f t="shared" si="4"/>
        <v>12000</v>
      </c>
      <c r="R89" s="79">
        <f t="shared" si="6"/>
        <v>14000</v>
      </c>
      <c r="S89" s="72">
        <f t="shared" si="5"/>
        <v>2800.0000000001819</v>
      </c>
      <c r="T89" s="80">
        <f t="shared" si="7"/>
        <v>1900.0000000000909</v>
      </c>
    </row>
    <row r="90" spans="1:20" x14ac:dyDescent="0.25">
      <c r="A90" t="s">
        <v>502</v>
      </c>
      <c r="B90" s="71">
        <v>41973</v>
      </c>
      <c r="C90" s="48">
        <v>5051</v>
      </c>
      <c r="D90" t="s">
        <v>502</v>
      </c>
      <c r="E90" s="71">
        <v>41973</v>
      </c>
      <c r="F90" s="48">
        <v>14139</v>
      </c>
      <c r="G90" t="s">
        <v>502</v>
      </c>
      <c r="H90" s="71">
        <v>41973</v>
      </c>
      <c r="I90" s="5">
        <v>2145.6</v>
      </c>
      <c r="J90" t="s">
        <v>502</v>
      </c>
      <c r="K90" s="71">
        <v>41973</v>
      </c>
      <c r="L90" s="48">
        <v>0</v>
      </c>
      <c r="M90" t="s">
        <v>502</v>
      </c>
      <c r="N90" s="71">
        <v>41973</v>
      </c>
      <c r="O90" s="48">
        <v>0</v>
      </c>
      <c r="Q90" s="6">
        <f t="shared" si="4"/>
        <v>6000</v>
      </c>
      <c r="R90" s="79">
        <f t="shared" si="6"/>
        <v>20000</v>
      </c>
      <c r="S90" s="72">
        <f t="shared" si="5"/>
        <v>1199.9999999998181</v>
      </c>
      <c r="T90" s="80">
        <f t="shared" si="7"/>
        <v>1066.666666666606</v>
      </c>
    </row>
    <row r="91" spans="1:20" x14ac:dyDescent="0.25">
      <c r="A91" t="s">
        <v>503</v>
      </c>
      <c r="B91" s="71">
        <v>42004</v>
      </c>
      <c r="C91" s="48">
        <v>5058</v>
      </c>
      <c r="D91" t="s">
        <v>503</v>
      </c>
      <c r="E91" s="71">
        <v>42004</v>
      </c>
      <c r="F91" s="48">
        <v>14146</v>
      </c>
      <c r="G91" t="s">
        <v>503</v>
      </c>
      <c r="H91" s="71">
        <v>42004</v>
      </c>
      <c r="I91" s="5">
        <v>2146</v>
      </c>
      <c r="J91" t="s">
        <v>503</v>
      </c>
      <c r="K91" s="71">
        <v>42004</v>
      </c>
      <c r="L91" s="48">
        <v>0</v>
      </c>
      <c r="M91" t="s">
        <v>503</v>
      </c>
      <c r="N91" s="71">
        <v>42004</v>
      </c>
      <c r="O91" s="48">
        <v>0</v>
      </c>
      <c r="Q91" s="6">
        <f t="shared" si="4"/>
        <v>14000</v>
      </c>
      <c r="R91" s="79">
        <f t="shared" si="6"/>
        <v>10666.666666666666</v>
      </c>
      <c r="S91" s="72">
        <f t="shared" si="5"/>
        <v>400.00000000009095</v>
      </c>
      <c r="T91" s="80">
        <f t="shared" si="7"/>
        <v>1466.666666666697</v>
      </c>
    </row>
    <row r="92" spans="1:20" x14ac:dyDescent="0.25">
      <c r="A92" t="s">
        <v>504</v>
      </c>
      <c r="B92" s="71">
        <v>42035</v>
      </c>
      <c r="C92" s="48">
        <v>5062</v>
      </c>
      <c r="D92" t="s">
        <v>504</v>
      </c>
      <c r="E92" s="71">
        <v>42035</v>
      </c>
      <c r="F92" s="48">
        <v>14147</v>
      </c>
      <c r="G92" t="s">
        <v>504</v>
      </c>
      <c r="H92" s="71">
        <v>42035</v>
      </c>
      <c r="I92" s="5">
        <v>2149.9</v>
      </c>
      <c r="J92" t="s">
        <v>504</v>
      </c>
      <c r="K92" s="71">
        <v>42035</v>
      </c>
      <c r="L92" s="48">
        <v>0</v>
      </c>
      <c r="M92" t="s">
        <v>504</v>
      </c>
      <c r="N92" s="71">
        <v>42035</v>
      </c>
      <c r="O92" s="48">
        <v>0</v>
      </c>
      <c r="Q92" s="6">
        <f t="shared" si="4"/>
        <v>5000</v>
      </c>
      <c r="R92" s="79">
        <f t="shared" si="6"/>
        <v>8333.3333333333339</v>
      </c>
      <c r="S92" s="72">
        <f t="shared" si="5"/>
        <v>3900.0000000000909</v>
      </c>
      <c r="T92" s="80">
        <f t="shared" si="7"/>
        <v>1833.3333333333333</v>
      </c>
    </row>
    <row r="93" spans="1:20" x14ac:dyDescent="0.25">
      <c r="A93" t="s">
        <v>505</v>
      </c>
      <c r="B93" s="71">
        <v>42063</v>
      </c>
      <c r="C93" s="48">
        <v>5071</v>
      </c>
      <c r="D93" t="s">
        <v>505</v>
      </c>
      <c r="E93" s="71">
        <v>42063</v>
      </c>
      <c r="F93" s="48">
        <v>14152</v>
      </c>
      <c r="G93" t="s">
        <v>505</v>
      </c>
      <c r="H93" s="71">
        <v>42063</v>
      </c>
      <c r="I93" s="5">
        <v>2151.4</v>
      </c>
      <c r="J93" t="s">
        <v>505</v>
      </c>
      <c r="K93" s="71">
        <v>42063</v>
      </c>
      <c r="L93" s="48">
        <v>0</v>
      </c>
      <c r="M93" t="s">
        <v>505</v>
      </c>
      <c r="N93" s="71">
        <v>42063</v>
      </c>
      <c r="O93" s="48">
        <v>0</v>
      </c>
      <c r="Q93" s="6">
        <f t="shared" si="4"/>
        <v>14000</v>
      </c>
      <c r="R93" s="79">
        <f t="shared" si="6"/>
        <v>11000</v>
      </c>
      <c r="S93" s="72">
        <f t="shared" si="5"/>
        <v>1500</v>
      </c>
      <c r="T93" s="80">
        <f t="shared" si="7"/>
        <v>1933.333333333394</v>
      </c>
    </row>
    <row r="94" spans="1:20" x14ac:dyDescent="0.25">
      <c r="A94" t="s">
        <v>506</v>
      </c>
      <c r="B94" s="71">
        <v>42094</v>
      </c>
      <c r="C94" s="48">
        <v>5064</v>
      </c>
      <c r="D94" t="s">
        <v>506</v>
      </c>
      <c r="E94" s="71">
        <v>42094</v>
      </c>
      <c r="F94" s="48">
        <v>14147</v>
      </c>
      <c r="G94" t="s">
        <v>506</v>
      </c>
      <c r="H94" s="71">
        <v>42094</v>
      </c>
      <c r="I94" s="5">
        <v>2153.1</v>
      </c>
      <c r="J94" t="s">
        <v>506</v>
      </c>
      <c r="K94" s="71">
        <v>42094</v>
      </c>
      <c r="L94" s="48">
        <v>0</v>
      </c>
      <c r="M94" t="s">
        <v>506</v>
      </c>
      <c r="N94" s="71">
        <v>42094</v>
      </c>
      <c r="O94" s="48">
        <v>0</v>
      </c>
      <c r="Q94" s="6">
        <f t="shared" si="4"/>
        <v>-12000</v>
      </c>
      <c r="R94" s="79">
        <f t="shared" si="6"/>
        <v>2333.3333333333335</v>
      </c>
      <c r="S94" s="72">
        <f t="shared" si="5"/>
        <v>1699.9999999998181</v>
      </c>
      <c r="T94" s="80">
        <f t="shared" si="7"/>
        <v>2366.6666666666365</v>
      </c>
    </row>
    <row r="95" spans="1:20" x14ac:dyDescent="0.25">
      <c r="A95" t="s">
        <v>507</v>
      </c>
      <c r="B95" s="71">
        <v>42124</v>
      </c>
      <c r="C95" s="48">
        <v>5067</v>
      </c>
      <c r="D95" t="s">
        <v>507</v>
      </c>
      <c r="E95" s="71">
        <v>42124</v>
      </c>
      <c r="F95" s="48">
        <v>14169</v>
      </c>
      <c r="G95" t="s">
        <v>507</v>
      </c>
      <c r="H95" s="71">
        <v>42124</v>
      </c>
      <c r="I95" s="5">
        <v>2155.1</v>
      </c>
      <c r="J95" t="s">
        <v>507</v>
      </c>
      <c r="K95" s="71">
        <v>42124</v>
      </c>
      <c r="L95" s="48">
        <v>0</v>
      </c>
      <c r="M95" t="s">
        <v>507</v>
      </c>
      <c r="N95" s="71">
        <v>42124</v>
      </c>
      <c r="O95" s="48">
        <v>0</v>
      </c>
      <c r="Q95" s="6">
        <f t="shared" si="4"/>
        <v>25000</v>
      </c>
      <c r="R95" s="79">
        <f t="shared" si="6"/>
        <v>9000</v>
      </c>
      <c r="S95" s="72">
        <f t="shared" si="5"/>
        <v>2000</v>
      </c>
      <c r="T95" s="80">
        <f t="shared" si="7"/>
        <v>1733.3333333332728</v>
      </c>
    </row>
    <row r="96" spans="1:20" x14ac:dyDescent="0.25">
      <c r="A96" t="s">
        <v>508</v>
      </c>
      <c r="B96" s="71">
        <v>42155</v>
      </c>
      <c r="C96" s="48">
        <v>5072</v>
      </c>
      <c r="D96" t="s">
        <v>508</v>
      </c>
      <c r="E96" s="71">
        <v>42155</v>
      </c>
      <c r="F96" s="48">
        <v>14181</v>
      </c>
      <c r="G96" t="s">
        <v>508</v>
      </c>
      <c r="H96" s="71">
        <v>42155</v>
      </c>
      <c r="I96" s="5">
        <v>2157.8000000000002</v>
      </c>
      <c r="J96" t="s">
        <v>508</v>
      </c>
      <c r="K96" s="71">
        <v>42155</v>
      </c>
      <c r="L96" s="48">
        <v>0</v>
      </c>
      <c r="M96" t="s">
        <v>508</v>
      </c>
      <c r="N96" s="71">
        <v>42155</v>
      </c>
      <c r="O96" s="48">
        <v>0</v>
      </c>
      <c r="Q96" s="6">
        <f t="shared" si="4"/>
        <v>17000</v>
      </c>
      <c r="R96" s="79">
        <f t="shared" si="6"/>
        <v>10000</v>
      </c>
      <c r="S96" s="72">
        <f t="shared" si="5"/>
        <v>2700.0000000002728</v>
      </c>
      <c r="T96" s="80">
        <f t="shared" si="7"/>
        <v>2133.3333333333635</v>
      </c>
    </row>
    <row r="97" spans="1:20" x14ac:dyDescent="0.25">
      <c r="A97" t="s">
        <v>509</v>
      </c>
      <c r="B97" s="71">
        <v>42185</v>
      </c>
      <c r="C97" s="48">
        <v>5073</v>
      </c>
      <c r="D97" t="s">
        <v>509</v>
      </c>
      <c r="E97" s="71">
        <v>42185</v>
      </c>
      <c r="F97" s="48">
        <v>14192</v>
      </c>
      <c r="G97" t="s">
        <v>509</v>
      </c>
      <c r="H97" s="71">
        <v>42185</v>
      </c>
      <c r="I97" s="5">
        <v>2156</v>
      </c>
      <c r="J97" t="s">
        <v>509</v>
      </c>
      <c r="K97" s="71">
        <v>42185</v>
      </c>
      <c r="L97" s="48">
        <v>0</v>
      </c>
      <c r="M97" t="s">
        <v>509</v>
      </c>
      <c r="N97" s="71">
        <v>42185</v>
      </c>
      <c r="O97" s="48">
        <v>0</v>
      </c>
      <c r="Q97" s="6">
        <f t="shared" si="4"/>
        <v>12000</v>
      </c>
      <c r="R97" s="79">
        <f t="shared" si="6"/>
        <v>18000</v>
      </c>
      <c r="S97" s="72">
        <f t="shared" si="5"/>
        <v>-1800.0000000001819</v>
      </c>
      <c r="T97" s="80">
        <f t="shared" si="7"/>
        <v>966.66666666669698</v>
      </c>
    </row>
    <row r="98" spans="1:20" x14ac:dyDescent="0.25">
      <c r="A98" t="s">
        <v>510</v>
      </c>
      <c r="B98" s="71">
        <v>42216</v>
      </c>
      <c r="C98" s="48">
        <v>5069</v>
      </c>
      <c r="D98" t="s">
        <v>510</v>
      </c>
      <c r="E98" s="71">
        <v>42216</v>
      </c>
      <c r="F98" s="48">
        <v>14206</v>
      </c>
      <c r="G98" t="s">
        <v>510</v>
      </c>
      <c r="H98" s="71">
        <v>42216</v>
      </c>
      <c r="I98" s="5">
        <v>2159.6</v>
      </c>
      <c r="J98" t="s">
        <v>510</v>
      </c>
      <c r="K98" s="71">
        <v>42216</v>
      </c>
      <c r="L98" s="48">
        <v>0</v>
      </c>
      <c r="M98" t="s">
        <v>510</v>
      </c>
      <c r="N98" s="71">
        <v>42216</v>
      </c>
      <c r="O98" s="48">
        <v>0</v>
      </c>
      <c r="Q98" s="6">
        <f t="shared" si="4"/>
        <v>10000</v>
      </c>
      <c r="R98" s="79">
        <f t="shared" si="6"/>
        <v>13000</v>
      </c>
      <c r="S98" s="72">
        <f t="shared" si="5"/>
        <v>3599.9999999999091</v>
      </c>
      <c r="T98" s="80">
        <f t="shared" si="7"/>
        <v>1500</v>
      </c>
    </row>
    <row r="99" spans="1:20" x14ac:dyDescent="0.25">
      <c r="A99" t="s">
        <v>511</v>
      </c>
      <c r="B99" s="71">
        <v>42247</v>
      </c>
      <c r="C99" s="48">
        <v>5082</v>
      </c>
      <c r="D99" t="s">
        <v>511</v>
      </c>
      <c r="E99" s="71">
        <v>42247</v>
      </c>
      <c r="F99" s="48">
        <v>14231</v>
      </c>
      <c r="G99" t="s">
        <v>511</v>
      </c>
      <c r="H99" s="71">
        <v>42247</v>
      </c>
      <c r="I99" s="5">
        <v>2163.3000000000002</v>
      </c>
      <c r="J99" t="s">
        <v>511</v>
      </c>
      <c r="K99" s="71">
        <v>42247</v>
      </c>
      <c r="L99" s="48">
        <v>0</v>
      </c>
      <c r="M99" t="s">
        <v>511</v>
      </c>
      <c r="N99" s="71">
        <v>42247</v>
      </c>
      <c r="O99" s="48">
        <v>0</v>
      </c>
      <c r="Q99" s="6">
        <f t="shared" si="4"/>
        <v>38000</v>
      </c>
      <c r="R99" s="79">
        <f t="shared" si="6"/>
        <v>20000</v>
      </c>
      <c r="S99" s="72">
        <f t="shared" si="5"/>
        <v>3700.0000000002728</v>
      </c>
      <c r="T99" s="80">
        <f t="shared" si="7"/>
        <v>1833.3333333333333</v>
      </c>
    </row>
    <row r="100" spans="1:20" x14ac:dyDescent="0.25">
      <c r="A100" t="s">
        <v>512</v>
      </c>
      <c r="B100" s="71">
        <v>42277</v>
      </c>
      <c r="C100" s="48">
        <v>5086</v>
      </c>
      <c r="D100" t="s">
        <v>512</v>
      </c>
      <c r="E100" s="71">
        <v>42277</v>
      </c>
      <c r="F100" s="48">
        <v>14210</v>
      </c>
      <c r="G100" t="s">
        <v>512</v>
      </c>
      <c r="H100" s="71">
        <v>42277</v>
      </c>
      <c r="I100" s="5">
        <v>2164.4</v>
      </c>
      <c r="J100" t="s">
        <v>512</v>
      </c>
      <c r="K100" s="71">
        <v>42277</v>
      </c>
      <c r="L100" s="48">
        <v>0</v>
      </c>
      <c r="M100" t="s">
        <v>512</v>
      </c>
      <c r="N100" s="71">
        <v>42277</v>
      </c>
      <c r="O100" s="48">
        <v>0</v>
      </c>
      <c r="Q100" s="6">
        <f t="shared" si="4"/>
        <v>-17000</v>
      </c>
      <c r="R100" s="79">
        <f t="shared" si="6"/>
        <v>10333.333333333334</v>
      </c>
      <c r="S100" s="72">
        <f t="shared" si="5"/>
        <v>1099.9999999999091</v>
      </c>
      <c r="T100" s="80">
        <f t="shared" si="7"/>
        <v>2800.0000000000305</v>
      </c>
    </row>
    <row r="101" spans="1:20" x14ac:dyDescent="0.25">
      <c r="A101" t="s">
        <v>513</v>
      </c>
      <c r="B101" s="71">
        <v>42308</v>
      </c>
      <c r="C101" s="48">
        <v>5088</v>
      </c>
      <c r="D101" t="s">
        <v>513</v>
      </c>
      <c r="E101" s="71">
        <v>42308</v>
      </c>
      <c r="F101" s="48">
        <v>14217</v>
      </c>
      <c r="G101" t="s">
        <v>513</v>
      </c>
      <c r="H101" s="71">
        <v>42308</v>
      </c>
      <c r="I101" s="5">
        <v>2164.1</v>
      </c>
      <c r="J101" t="s">
        <v>513</v>
      </c>
      <c r="K101" s="71">
        <v>42308</v>
      </c>
      <c r="L101" s="48">
        <v>0</v>
      </c>
      <c r="M101" t="s">
        <v>513</v>
      </c>
      <c r="N101" s="71">
        <v>42308</v>
      </c>
      <c r="O101" s="48">
        <v>0</v>
      </c>
      <c r="Q101" s="6">
        <f t="shared" si="4"/>
        <v>9000</v>
      </c>
      <c r="R101" s="79">
        <f t="shared" si="6"/>
        <v>10000</v>
      </c>
      <c r="S101" s="72">
        <f t="shared" si="5"/>
        <v>-300.0000000001819</v>
      </c>
      <c r="T101" s="80">
        <f t="shared" si="7"/>
        <v>1500</v>
      </c>
    </row>
    <row r="102" spans="1:20" x14ac:dyDescent="0.25">
      <c r="A102" t="s">
        <v>514</v>
      </c>
      <c r="B102" s="71">
        <v>42338</v>
      </c>
      <c r="C102" s="48">
        <v>5089</v>
      </c>
      <c r="D102" t="s">
        <v>514</v>
      </c>
      <c r="E102" s="71">
        <v>42338</v>
      </c>
      <c r="F102" s="48">
        <v>14221</v>
      </c>
      <c r="G102" t="s">
        <v>514</v>
      </c>
      <c r="H102" s="71">
        <v>42338</v>
      </c>
      <c r="I102" s="5">
        <v>2166.6</v>
      </c>
      <c r="J102" t="s">
        <v>514</v>
      </c>
      <c r="K102" s="71">
        <v>42338</v>
      </c>
      <c r="L102" s="48">
        <v>0</v>
      </c>
      <c r="M102" t="s">
        <v>514</v>
      </c>
      <c r="N102" s="71">
        <v>42338</v>
      </c>
      <c r="O102" s="48">
        <v>0</v>
      </c>
      <c r="Q102" s="6">
        <f t="shared" si="4"/>
        <v>5000</v>
      </c>
      <c r="R102" s="79">
        <f t="shared" si="6"/>
        <v>-1000</v>
      </c>
      <c r="S102" s="72">
        <f t="shared" si="5"/>
        <v>2500</v>
      </c>
      <c r="T102" s="80">
        <f t="shared" si="7"/>
        <v>1099.9999999999091</v>
      </c>
    </row>
    <row r="103" spans="1:20" x14ac:dyDescent="0.25">
      <c r="A103" t="s">
        <v>515</v>
      </c>
      <c r="B103" s="71">
        <v>42369</v>
      </c>
      <c r="C103" s="48">
        <v>5089</v>
      </c>
      <c r="D103" t="s">
        <v>515</v>
      </c>
      <c r="E103" s="71">
        <v>42369</v>
      </c>
      <c r="F103" s="48">
        <v>14235</v>
      </c>
      <c r="G103" t="s">
        <v>515</v>
      </c>
      <c r="H103" s="71">
        <v>42369</v>
      </c>
      <c r="I103" s="5">
        <v>2169.9</v>
      </c>
      <c r="J103" t="s">
        <v>515</v>
      </c>
      <c r="K103" s="71">
        <v>42369</v>
      </c>
      <c r="L103" s="48">
        <v>0</v>
      </c>
      <c r="M103" t="s">
        <v>515</v>
      </c>
      <c r="N103" s="71">
        <v>42369</v>
      </c>
      <c r="O103" s="48">
        <v>0</v>
      </c>
      <c r="Q103" s="6">
        <f t="shared" si="4"/>
        <v>14000</v>
      </c>
      <c r="R103" s="79">
        <f t="shared" si="6"/>
        <v>9333.3333333333339</v>
      </c>
      <c r="S103" s="72">
        <f t="shared" si="5"/>
        <v>3300.0000000001819</v>
      </c>
      <c r="T103" s="80">
        <f t="shared" si="7"/>
        <v>1833.3333333333333</v>
      </c>
    </row>
    <row r="104" spans="1:20" x14ac:dyDescent="0.25">
      <c r="A104" t="s">
        <v>516</v>
      </c>
      <c r="B104" s="71">
        <v>42400</v>
      </c>
      <c r="C104" s="48">
        <v>5088</v>
      </c>
      <c r="D104" t="s">
        <v>516</v>
      </c>
      <c r="E104" s="71">
        <v>42400</v>
      </c>
      <c r="F104" s="48">
        <v>14255</v>
      </c>
      <c r="G104" t="s">
        <v>516</v>
      </c>
      <c r="H104" s="71">
        <v>42400</v>
      </c>
      <c r="I104" s="5">
        <v>2172.1999999999998</v>
      </c>
      <c r="J104" t="s">
        <v>516</v>
      </c>
      <c r="K104" s="71">
        <v>42400</v>
      </c>
      <c r="L104" s="48">
        <v>0</v>
      </c>
      <c r="M104" t="s">
        <v>516</v>
      </c>
      <c r="N104" s="71">
        <v>42400</v>
      </c>
      <c r="O104" s="48">
        <v>0</v>
      </c>
      <c r="Q104" s="6">
        <f t="shared" si="4"/>
        <v>19000</v>
      </c>
      <c r="R104" s="79">
        <f t="shared" si="6"/>
        <v>12666.666666666666</v>
      </c>
      <c r="S104" s="72">
        <f t="shared" si="5"/>
        <v>2299.9999999997272</v>
      </c>
      <c r="T104" s="80">
        <f t="shared" si="7"/>
        <v>2699.9999999999695</v>
      </c>
    </row>
    <row r="105" spans="1:20" x14ac:dyDescent="0.25">
      <c r="A105" t="s">
        <v>517</v>
      </c>
      <c r="B105" s="71">
        <v>42429</v>
      </c>
      <c r="C105" s="48">
        <v>5084</v>
      </c>
      <c r="D105" t="s">
        <v>517</v>
      </c>
      <c r="E105" s="71">
        <v>42429</v>
      </c>
      <c r="F105" s="48">
        <v>14269</v>
      </c>
      <c r="G105" t="s">
        <v>517</v>
      </c>
      <c r="H105" s="71">
        <v>42429</v>
      </c>
      <c r="I105" s="5">
        <v>2173.5</v>
      </c>
      <c r="J105" t="s">
        <v>517</v>
      </c>
      <c r="K105" s="71">
        <v>42429</v>
      </c>
      <c r="L105" s="48">
        <v>0</v>
      </c>
      <c r="M105" t="s">
        <v>517</v>
      </c>
      <c r="N105" s="71">
        <v>42429</v>
      </c>
      <c r="O105" s="48">
        <v>0</v>
      </c>
      <c r="Q105" s="6">
        <f t="shared" si="4"/>
        <v>10000</v>
      </c>
      <c r="R105" s="79">
        <f t="shared" si="6"/>
        <v>14333.333333333334</v>
      </c>
      <c r="S105" s="72">
        <f t="shared" si="5"/>
        <v>1300.0000000001819</v>
      </c>
      <c r="T105" s="80">
        <f t="shared" si="7"/>
        <v>2300.0000000000305</v>
      </c>
    </row>
    <row r="106" spans="1:20" x14ac:dyDescent="0.25">
      <c r="A106" t="s">
        <v>518</v>
      </c>
      <c r="B106" s="71">
        <v>42460</v>
      </c>
      <c r="C106" s="48">
        <v>5091</v>
      </c>
      <c r="D106" t="s">
        <v>518</v>
      </c>
      <c r="E106" s="71">
        <v>42460</v>
      </c>
      <c r="F106" s="48">
        <v>14294</v>
      </c>
      <c r="G106" t="s">
        <v>518</v>
      </c>
      <c r="H106" s="71">
        <v>42460</v>
      </c>
      <c r="I106" s="5">
        <v>2175.1</v>
      </c>
      <c r="J106" t="s">
        <v>518</v>
      </c>
      <c r="K106" s="71">
        <v>42460</v>
      </c>
      <c r="L106" s="48">
        <v>0</v>
      </c>
      <c r="M106" t="s">
        <v>518</v>
      </c>
      <c r="N106" s="71">
        <v>42460</v>
      </c>
      <c r="O106" s="48">
        <v>0</v>
      </c>
      <c r="Q106" s="6">
        <f t="shared" si="4"/>
        <v>32000</v>
      </c>
      <c r="R106" s="79">
        <f t="shared" si="6"/>
        <v>20333.333333333332</v>
      </c>
      <c r="S106" s="72">
        <f t="shared" si="5"/>
        <v>1599.9999999999091</v>
      </c>
      <c r="T106" s="80">
        <f t="shared" si="7"/>
        <v>1733.3333333332728</v>
      </c>
    </row>
    <row r="107" spans="1:20" x14ac:dyDescent="0.25">
      <c r="A107" t="s">
        <v>519</v>
      </c>
      <c r="B107" s="71">
        <v>42490</v>
      </c>
      <c r="C107" s="48">
        <v>5089</v>
      </c>
      <c r="D107" t="s">
        <v>519</v>
      </c>
      <c r="E107" s="71">
        <v>42490</v>
      </c>
      <c r="F107" s="48">
        <v>14303</v>
      </c>
      <c r="G107" t="s">
        <v>519</v>
      </c>
      <c r="H107" s="71">
        <v>42490</v>
      </c>
      <c r="I107" s="5">
        <v>2178.6</v>
      </c>
      <c r="J107" t="s">
        <v>519</v>
      </c>
      <c r="K107" s="71">
        <v>42490</v>
      </c>
      <c r="L107" s="48">
        <v>0</v>
      </c>
      <c r="M107" t="s">
        <v>519</v>
      </c>
      <c r="N107" s="71">
        <v>42490</v>
      </c>
      <c r="O107" s="48">
        <v>0</v>
      </c>
      <c r="Q107" s="6">
        <f t="shared" si="4"/>
        <v>7000</v>
      </c>
      <c r="R107" s="79">
        <f t="shared" si="6"/>
        <v>16333.333333333334</v>
      </c>
      <c r="S107" s="72">
        <f t="shared" si="5"/>
        <v>3500</v>
      </c>
      <c r="T107" s="80">
        <f t="shared" si="7"/>
        <v>2133.3333333333635</v>
      </c>
    </row>
    <row r="108" spans="1:20" x14ac:dyDescent="0.25">
      <c r="A108" t="s">
        <v>520</v>
      </c>
      <c r="B108" s="71">
        <v>42521</v>
      </c>
      <c r="C108" s="48">
        <v>5079</v>
      </c>
      <c r="D108" t="s">
        <v>520</v>
      </c>
      <c r="E108" s="71">
        <v>42521</v>
      </c>
      <c r="F108" s="48">
        <v>14317</v>
      </c>
      <c r="G108" t="s">
        <v>520</v>
      </c>
      <c r="H108" s="71">
        <v>42521</v>
      </c>
      <c r="I108" s="5">
        <v>2182</v>
      </c>
      <c r="J108" t="s">
        <v>520</v>
      </c>
      <c r="K108" s="71">
        <v>42521</v>
      </c>
      <c r="L108" s="48">
        <v>0</v>
      </c>
      <c r="M108" t="s">
        <v>520</v>
      </c>
      <c r="N108" s="71">
        <v>42521</v>
      </c>
      <c r="O108" s="48">
        <v>0</v>
      </c>
      <c r="Q108" s="6">
        <f t="shared" si="4"/>
        <v>4000</v>
      </c>
      <c r="R108" s="79">
        <f t="shared" si="6"/>
        <v>14333.333333333334</v>
      </c>
      <c r="S108" s="72">
        <f t="shared" si="5"/>
        <v>3400.0000000000909</v>
      </c>
      <c r="T108" s="80">
        <f t="shared" si="7"/>
        <v>2833.3333333333335</v>
      </c>
    </row>
    <row r="109" spans="1:20" x14ac:dyDescent="0.25">
      <c r="A109" t="s">
        <v>521</v>
      </c>
      <c r="B109" s="71">
        <v>42551</v>
      </c>
      <c r="C109" s="48">
        <v>5089</v>
      </c>
      <c r="D109" t="s">
        <v>521</v>
      </c>
      <c r="E109" s="71">
        <v>42551</v>
      </c>
      <c r="F109" s="48">
        <v>14328</v>
      </c>
      <c r="G109" t="s">
        <v>521</v>
      </c>
      <c r="H109" s="71">
        <v>42551</v>
      </c>
      <c r="I109" s="5">
        <v>2187.9</v>
      </c>
      <c r="J109" t="s">
        <v>521</v>
      </c>
      <c r="K109" s="71">
        <v>42551</v>
      </c>
      <c r="L109" s="48">
        <v>0</v>
      </c>
      <c r="M109" t="s">
        <v>521</v>
      </c>
      <c r="N109" s="71">
        <v>42551</v>
      </c>
      <c r="O109" s="48">
        <v>0</v>
      </c>
      <c r="Q109" s="6">
        <f t="shared" si="4"/>
        <v>21000</v>
      </c>
      <c r="R109" s="79">
        <f t="shared" si="6"/>
        <v>10666.666666666666</v>
      </c>
      <c r="S109" s="72">
        <f t="shared" si="5"/>
        <v>5900.0000000000909</v>
      </c>
      <c r="T109" s="80">
        <f t="shared" si="7"/>
        <v>4266.666666666727</v>
      </c>
    </row>
    <row r="110" spans="1:20" x14ac:dyDescent="0.25">
      <c r="A110" t="s">
        <v>522</v>
      </c>
      <c r="B110" s="71">
        <v>42582</v>
      </c>
      <c r="C110" s="48">
        <v>5093</v>
      </c>
      <c r="D110" t="s">
        <v>522</v>
      </c>
      <c r="E110" s="71">
        <v>42582</v>
      </c>
      <c r="F110" s="48">
        <v>14362</v>
      </c>
      <c r="G110" t="s">
        <v>522</v>
      </c>
      <c r="H110" s="71">
        <v>42582</v>
      </c>
      <c r="I110" s="5">
        <v>2190.8000000000002</v>
      </c>
      <c r="J110" t="s">
        <v>522</v>
      </c>
      <c r="K110" s="71">
        <v>42582</v>
      </c>
      <c r="L110" s="48">
        <v>0</v>
      </c>
      <c r="M110" t="s">
        <v>522</v>
      </c>
      <c r="N110" s="71">
        <v>42582</v>
      </c>
      <c r="O110" s="48">
        <v>0</v>
      </c>
      <c r="Q110" s="6">
        <f t="shared" si="4"/>
        <v>38000</v>
      </c>
      <c r="R110" s="79">
        <f t="shared" si="6"/>
        <v>21000</v>
      </c>
      <c r="S110" s="72">
        <f t="shared" si="5"/>
        <v>2900.0000000000909</v>
      </c>
      <c r="T110" s="80">
        <f t="shared" si="7"/>
        <v>4066.6666666667575</v>
      </c>
    </row>
    <row r="111" spans="1:20" x14ac:dyDescent="0.25">
      <c r="A111" t="s">
        <v>523</v>
      </c>
      <c r="B111" s="71">
        <v>42613</v>
      </c>
      <c r="C111" s="48">
        <v>5094</v>
      </c>
      <c r="D111" t="s">
        <v>523</v>
      </c>
      <c r="E111" s="71">
        <v>42613</v>
      </c>
      <c r="F111" s="48">
        <v>14391</v>
      </c>
      <c r="G111" t="s">
        <v>523</v>
      </c>
      <c r="H111" s="71">
        <v>42613</v>
      </c>
      <c r="I111" s="5">
        <v>2191.6</v>
      </c>
      <c r="J111" t="s">
        <v>523</v>
      </c>
      <c r="K111" s="71">
        <v>42613</v>
      </c>
      <c r="L111" s="48">
        <v>0</v>
      </c>
      <c r="M111" t="s">
        <v>523</v>
      </c>
      <c r="N111" s="71">
        <v>42613</v>
      </c>
      <c r="O111" s="48">
        <v>0</v>
      </c>
      <c r="Q111" s="6">
        <f t="shared" si="4"/>
        <v>30000</v>
      </c>
      <c r="R111" s="79">
        <f t="shared" si="6"/>
        <v>29666.666666666668</v>
      </c>
      <c r="S111" s="72">
        <f t="shared" si="5"/>
        <v>799.99999999972715</v>
      </c>
      <c r="T111" s="80">
        <f t="shared" si="7"/>
        <v>3199.9999999999695</v>
      </c>
    </row>
    <row r="112" spans="1:20" x14ac:dyDescent="0.25">
      <c r="A112" t="s">
        <v>524</v>
      </c>
      <c r="B112" s="71">
        <v>42643</v>
      </c>
      <c r="C112" s="48">
        <v>5101</v>
      </c>
      <c r="D112" t="s">
        <v>524</v>
      </c>
      <c r="E112" s="71">
        <v>42643</v>
      </c>
      <c r="F112" s="48">
        <v>14404</v>
      </c>
      <c r="G112" t="s">
        <v>524</v>
      </c>
      <c r="H112" s="71">
        <v>42643</v>
      </c>
      <c r="I112" s="5">
        <v>2196.1</v>
      </c>
      <c r="J112" t="s">
        <v>524</v>
      </c>
      <c r="K112" s="71">
        <v>42643</v>
      </c>
      <c r="L112" s="48">
        <v>0</v>
      </c>
      <c r="M112" t="s">
        <v>524</v>
      </c>
      <c r="N112" s="71">
        <v>42643</v>
      </c>
      <c r="O112" s="48">
        <v>0</v>
      </c>
      <c r="Q112" s="6">
        <f t="shared" si="4"/>
        <v>20000</v>
      </c>
      <c r="R112" s="79">
        <f t="shared" si="6"/>
        <v>29333.333333333332</v>
      </c>
      <c r="S112" s="72">
        <f t="shared" si="5"/>
        <v>4500</v>
      </c>
      <c r="T112" s="80">
        <f t="shared" si="7"/>
        <v>2733.3333333332725</v>
      </c>
    </row>
    <row r="113" spans="1:20" x14ac:dyDescent="0.25">
      <c r="A113" t="s">
        <v>525</v>
      </c>
      <c r="B113" s="71">
        <v>42674</v>
      </c>
      <c r="C113" s="48">
        <v>5092</v>
      </c>
      <c r="D113" t="s">
        <v>525</v>
      </c>
      <c r="E113" s="71">
        <v>42674</v>
      </c>
      <c r="F113" s="48">
        <v>14399</v>
      </c>
      <c r="G113" t="s">
        <v>525</v>
      </c>
      <c r="H113" s="71">
        <v>42674</v>
      </c>
      <c r="I113" s="5">
        <v>2201.6999999999998</v>
      </c>
      <c r="J113" t="s">
        <v>525</v>
      </c>
      <c r="K113" s="71">
        <v>42674</v>
      </c>
      <c r="L113" s="48">
        <v>0</v>
      </c>
      <c r="M113" t="s">
        <v>525</v>
      </c>
      <c r="N113" s="71">
        <v>42674</v>
      </c>
      <c r="O113" s="48">
        <v>0</v>
      </c>
      <c r="Q113" s="6">
        <f t="shared" si="4"/>
        <v>-14000</v>
      </c>
      <c r="R113" s="79">
        <f t="shared" si="6"/>
        <v>12000</v>
      </c>
      <c r="S113" s="72">
        <f t="shared" si="5"/>
        <v>5599.9999999999091</v>
      </c>
      <c r="T113" s="80">
        <f t="shared" si="7"/>
        <v>3633.3333333332121</v>
      </c>
    </row>
    <row r="114" spans="1:20" x14ac:dyDescent="0.25">
      <c r="A114" t="s">
        <v>526</v>
      </c>
      <c r="B114" s="71">
        <v>42704</v>
      </c>
      <c r="C114" s="48">
        <v>5088</v>
      </c>
      <c r="D114" t="s">
        <v>526</v>
      </c>
      <c r="E114" s="71">
        <v>42704</v>
      </c>
      <c r="F114" s="48">
        <v>14395</v>
      </c>
      <c r="G114" t="s">
        <v>526</v>
      </c>
      <c r="H114" s="71">
        <v>42704</v>
      </c>
      <c r="I114" s="5">
        <v>2193.1999999999998</v>
      </c>
      <c r="J114" t="s">
        <v>526</v>
      </c>
      <c r="K114" s="71">
        <v>42704</v>
      </c>
      <c r="L114" s="48">
        <v>0</v>
      </c>
      <c r="M114" t="s">
        <v>526</v>
      </c>
      <c r="N114" s="71">
        <v>42704</v>
      </c>
      <c r="O114" s="48">
        <v>0</v>
      </c>
      <c r="Q114" s="6">
        <f t="shared" si="4"/>
        <v>-8000</v>
      </c>
      <c r="R114" s="79">
        <f t="shared" si="6"/>
        <v>-666.66666666666663</v>
      </c>
      <c r="S114" s="72">
        <f t="shared" si="5"/>
        <v>-8500</v>
      </c>
      <c r="T114" s="80">
        <f t="shared" si="7"/>
        <v>533.33333333330302</v>
      </c>
    </row>
    <row r="115" spans="1:20" x14ac:dyDescent="0.25">
      <c r="A115" t="s">
        <v>527</v>
      </c>
      <c r="B115" s="71">
        <v>42735</v>
      </c>
      <c r="C115" s="48">
        <v>5085</v>
      </c>
      <c r="D115" t="s">
        <v>527</v>
      </c>
      <c r="E115" s="71">
        <v>42735</v>
      </c>
      <c r="F115" s="48">
        <v>14395</v>
      </c>
      <c r="G115" t="s">
        <v>527</v>
      </c>
      <c r="H115" s="71">
        <v>42735</v>
      </c>
      <c r="I115" s="5">
        <v>2199.6999999999998</v>
      </c>
      <c r="J115" t="s">
        <v>527</v>
      </c>
      <c r="K115" s="71">
        <v>42735</v>
      </c>
      <c r="L115" s="48">
        <v>0</v>
      </c>
      <c r="M115" t="s">
        <v>527</v>
      </c>
      <c r="N115" s="71">
        <v>42735</v>
      </c>
      <c r="O115" s="48">
        <v>0</v>
      </c>
      <c r="Q115" s="6">
        <f t="shared" si="4"/>
        <v>-3000</v>
      </c>
      <c r="R115" s="79">
        <f t="shared" si="6"/>
        <v>-8333.3333333333339</v>
      </c>
      <c r="S115" s="72">
        <f t="shared" si="5"/>
        <v>6500</v>
      </c>
      <c r="T115" s="80">
        <f t="shared" si="7"/>
        <v>1199.9999999999698</v>
      </c>
    </row>
    <row r="116" spans="1:20" x14ac:dyDescent="0.25">
      <c r="A116" t="s">
        <v>528</v>
      </c>
      <c r="B116" s="71">
        <v>42766</v>
      </c>
      <c r="C116" s="48">
        <v>5095</v>
      </c>
      <c r="D116" t="s">
        <v>528</v>
      </c>
      <c r="E116" s="71">
        <v>42766</v>
      </c>
      <c r="F116" s="48">
        <v>14399</v>
      </c>
      <c r="G116" t="s">
        <v>528</v>
      </c>
      <c r="H116" s="71">
        <v>42766</v>
      </c>
      <c r="I116" s="5">
        <v>2199.6</v>
      </c>
      <c r="J116" t="s">
        <v>528</v>
      </c>
      <c r="K116" s="71">
        <v>42766</v>
      </c>
      <c r="L116" s="48">
        <v>0</v>
      </c>
      <c r="M116" t="s">
        <v>528</v>
      </c>
      <c r="N116" s="71">
        <v>42766</v>
      </c>
      <c r="O116" s="48">
        <v>0</v>
      </c>
      <c r="Q116" s="6">
        <f t="shared" si="4"/>
        <v>14000</v>
      </c>
      <c r="R116" s="79">
        <f t="shared" si="6"/>
        <v>1000</v>
      </c>
      <c r="S116" s="72">
        <f t="shared" si="5"/>
        <v>-99.999999999909051</v>
      </c>
      <c r="T116" s="80">
        <f t="shared" si="7"/>
        <v>-699.99999999996965</v>
      </c>
    </row>
    <row r="117" spans="1:20" x14ac:dyDescent="0.25">
      <c r="A117" t="s">
        <v>529</v>
      </c>
      <c r="B117" s="71">
        <v>42794</v>
      </c>
      <c r="C117" s="48">
        <v>5093</v>
      </c>
      <c r="D117" t="s">
        <v>529</v>
      </c>
      <c r="E117" s="71">
        <v>42794</v>
      </c>
      <c r="F117" s="48">
        <v>14413</v>
      </c>
      <c r="G117" t="s">
        <v>529</v>
      </c>
      <c r="H117" s="71">
        <v>42794</v>
      </c>
      <c r="I117" s="5">
        <v>2199</v>
      </c>
      <c r="J117" t="s">
        <v>529</v>
      </c>
      <c r="K117" s="71">
        <v>42794</v>
      </c>
      <c r="L117" s="48">
        <v>0</v>
      </c>
      <c r="M117" t="s">
        <v>529</v>
      </c>
      <c r="N117" s="71">
        <v>42794</v>
      </c>
      <c r="O117" s="48">
        <v>0</v>
      </c>
      <c r="Q117" s="6">
        <f t="shared" si="4"/>
        <v>12000</v>
      </c>
      <c r="R117" s="79">
        <f t="shared" si="6"/>
        <v>7666.666666666667</v>
      </c>
      <c r="S117" s="72">
        <f t="shared" si="5"/>
        <v>-599.99999999990905</v>
      </c>
      <c r="T117" s="80">
        <f t="shared" si="7"/>
        <v>1933.333333333394</v>
      </c>
    </row>
    <row r="118" spans="1:20" x14ac:dyDescent="0.25">
      <c r="A118" t="s">
        <v>530</v>
      </c>
      <c r="B118" s="71">
        <v>42825</v>
      </c>
      <c r="C118" s="48">
        <v>5094</v>
      </c>
      <c r="D118" t="s">
        <v>530</v>
      </c>
      <c r="E118" s="71">
        <v>42825</v>
      </c>
      <c r="F118" s="48">
        <v>14405</v>
      </c>
      <c r="G118" t="s">
        <v>530</v>
      </c>
      <c r="H118" s="71">
        <v>42825</v>
      </c>
      <c r="I118" s="5">
        <v>2196</v>
      </c>
      <c r="J118" t="s">
        <v>530</v>
      </c>
      <c r="K118" s="71">
        <v>42825</v>
      </c>
      <c r="L118" s="48">
        <v>0</v>
      </c>
      <c r="M118" t="s">
        <v>530</v>
      </c>
      <c r="N118" s="71">
        <v>42825</v>
      </c>
      <c r="O118" s="48">
        <v>0</v>
      </c>
      <c r="Q118" s="6">
        <f t="shared" si="4"/>
        <v>-7000</v>
      </c>
      <c r="R118" s="79">
        <f t="shared" si="6"/>
        <v>6333.333333333333</v>
      </c>
      <c r="S118" s="72">
        <f t="shared" si="5"/>
        <v>-3000</v>
      </c>
      <c r="T118" s="80">
        <f t="shared" si="7"/>
        <v>-1233.3333333332728</v>
      </c>
    </row>
    <row r="119" spans="1:20" x14ac:dyDescent="0.25">
      <c r="A119" t="s">
        <v>531</v>
      </c>
      <c r="B119" s="71">
        <v>42855</v>
      </c>
      <c r="C119" s="48">
        <v>5091</v>
      </c>
      <c r="D119" t="s">
        <v>531</v>
      </c>
      <c r="E119" s="71">
        <v>42855</v>
      </c>
      <c r="F119" s="48">
        <v>14428</v>
      </c>
      <c r="G119" t="s">
        <v>531</v>
      </c>
      <c r="H119" s="71">
        <v>42855</v>
      </c>
      <c r="I119" s="5">
        <v>2193.9</v>
      </c>
      <c r="J119" t="s">
        <v>531</v>
      </c>
      <c r="K119" s="71">
        <v>42855</v>
      </c>
      <c r="L119" s="48">
        <v>0</v>
      </c>
      <c r="M119" t="s">
        <v>531</v>
      </c>
      <c r="N119" s="71">
        <v>42855</v>
      </c>
      <c r="O119" s="48">
        <v>0</v>
      </c>
      <c r="Q119" s="6">
        <f t="shared" si="4"/>
        <v>20000</v>
      </c>
      <c r="R119" s="79">
        <f t="shared" si="6"/>
        <v>8333.3333333333339</v>
      </c>
      <c r="S119" s="72">
        <f t="shared" si="5"/>
        <v>-2099.9999999999091</v>
      </c>
      <c r="T119" s="80">
        <f t="shared" si="7"/>
        <v>-1899.9999999999393</v>
      </c>
    </row>
    <row r="120" spans="1:20" x14ac:dyDescent="0.25">
      <c r="A120" t="s">
        <v>532</v>
      </c>
      <c r="B120" s="71">
        <v>42886</v>
      </c>
      <c r="C120" s="48">
        <v>5091</v>
      </c>
      <c r="D120" t="s">
        <v>532</v>
      </c>
      <c r="E120" s="71">
        <v>42886</v>
      </c>
      <c r="F120" s="48">
        <v>14415</v>
      </c>
      <c r="G120" t="s">
        <v>532</v>
      </c>
      <c r="H120" s="71">
        <v>42886</v>
      </c>
      <c r="I120" s="5">
        <v>2191.9</v>
      </c>
      <c r="J120" t="s">
        <v>532</v>
      </c>
      <c r="K120" s="71">
        <v>42886</v>
      </c>
      <c r="L120" s="48">
        <v>0</v>
      </c>
      <c r="M120" t="s">
        <v>532</v>
      </c>
      <c r="N120" s="71">
        <v>42886</v>
      </c>
      <c r="O120" s="48">
        <v>0</v>
      </c>
      <c r="Q120" s="6">
        <f t="shared" si="4"/>
        <v>-13000</v>
      </c>
      <c r="R120" s="79">
        <f t="shared" si="6"/>
        <v>0</v>
      </c>
      <c r="S120" s="72">
        <f t="shared" si="5"/>
        <v>-2000</v>
      </c>
      <c r="T120" s="80">
        <f t="shared" si="7"/>
        <v>-2366.6666666666365</v>
      </c>
    </row>
    <row r="121" spans="1:20" x14ac:dyDescent="0.25">
      <c r="A121" t="s">
        <v>533</v>
      </c>
      <c r="B121" s="71">
        <v>42916</v>
      </c>
      <c r="C121" s="48">
        <v>5090</v>
      </c>
      <c r="D121" t="s">
        <v>533</v>
      </c>
      <c r="E121" s="71">
        <v>42916</v>
      </c>
      <c r="F121" s="48">
        <v>14420</v>
      </c>
      <c r="G121" t="s">
        <v>533</v>
      </c>
      <c r="H121" s="71">
        <v>42916</v>
      </c>
      <c r="I121" s="5">
        <v>2192.1999999999998</v>
      </c>
      <c r="J121" t="s">
        <v>533</v>
      </c>
      <c r="K121" s="71">
        <v>42916</v>
      </c>
      <c r="L121" s="48">
        <v>0</v>
      </c>
      <c r="M121" t="s">
        <v>533</v>
      </c>
      <c r="N121" s="71">
        <v>42916</v>
      </c>
      <c r="O121" s="48">
        <v>0</v>
      </c>
      <c r="Q121" s="6">
        <f t="shared" si="4"/>
        <v>4000</v>
      </c>
      <c r="R121" s="79">
        <f t="shared" si="6"/>
        <v>3666.6666666666665</v>
      </c>
      <c r="S121" s="72">
        <f t="shared" si="5"/>
        <v>299.99999999972715</v>
      </c>
      <c r="T121" s="80">
        <f t="shared" si="7"/>
        <v>-1266.6666666667272</v>
      </c>
    </row>
    <row r="122" spans="1:20" x14ac:dyDescent="0.25">
      <c r="A122" t="s">
        <v>590</v>
      </c>
      <c r="B122" s="71">
        <v>42947</v>
      </c>
      <c r="C122" s="48">
        <v>5096</v>
      </c>
      <c r="D122" t="s">
        <v>590</v>
      </c>
      <c r="E122" s="71">
        <v>42947</v>
      </c>
      <c r="F122" s="48">
        <v>14421</v>
      </c>
      <c r="G122" t="s">
        <v>590</v>
      </c>
      <c r="H122" s="71">
        <v>42947</v>
      </c>
      <c r="I122" s="5">
        <v>2189.9</v>
      </c>
      <c r="J122" t="s">
        <v>590</v>
      </c>
      <c r="K122" s="71">
        <v>42947</v>
      </c>
      <c r="L122" s="48">
        <v>0</v>
      </c>
      <c r="M122" t="s">
        <v>590</v>
      </c>
      <c r="N122" s="71">
        <v>42947</v>
      </c>
      <c r="O122" s="48">
        <v>0</v>
      </c>
      <c r="Q122" s="6">
        <f t="shared" si="4"/>
        <v>7000</v>
      </c>
      <c r="R122" s="79">
        <f t="shared" si="6"/>
        <v>-666.66666666666663</v>
      </c>
      <c r="S122" s="72">
        <f t="shared" si="5"/>
        <v>-2299.9999999997272</v>
      </c>
      <c r="T122" s="80">
        <f t="shared" si="7"/>
        <v>-1333.3333333333333</v>
      </c>
    </row>
    <row r="123" spans="1:20" x14ac:dyDescent="0.25">
      <c r="A123" t="s">
        <v>591</v>
      </c>
      <c r="B123" s="71">
        <v>42978</v>
      </c>
      <c r="C123" s="48">
        <v>5098</v>
      </c>
      <c r="D123" t="s">
        <v>591</v>
      </c>
      <c r="E123" s="71">
        <v>42978</v>
      </c>
      <c r="F123" s="48">
        <v>14426</v>
      </c>
      <c r="G123" t="s">
        <v>591</v>
      </c>
      <c r="H123" s="71">
        <v>42978</v>
      </c>
      <c r="I123" s="5">
        <v>2190</v>
      </c>
      <c r="J123" t="s">
        <v>591</v>
      </c>
      <c r="K123" s="71">
        <v>42978</v>
      </c>
      <c r="L123" s="48">
        <v>0</v>
      </c>
      <c r="M123" t="s">
        <v>591</v>
      </c>
      <c r="N123" s="71">
        <v>42978</v>
      </c>
      <c r="O123" s="48">
        <v>0</v>
      </c>
      <c r="Q123" s="6">
        <f t="shared" si="4"/>
        <v>7000</v>
      </c>
      <c r="R123" s="79">
        <f t="shared" si="6"/>
        <v>6000</v>
      </c>
      <c r="S123" s="72">
        <f t="shared" si="5"/>
        <v>99.999999999909051</v>
      </c>
      <c r="T123" s="80">
        <f t="shared" si="7"/>
        <v>-633.33333333336361</v>
      </c>
    </row>
    <row r="124" spans="1:20" x14ac:dyDescent="0.25">
      <c r="A124" t="s">
        <v>594</v>
      </c>
      <c r="B124" s="71">
        <v>43008</v>
      </c>
      <c r="C124" s="48">
        <v>5100</v>
      </c>
      <c r="D124" t="s">
        <v>594</v>
      </c>
      <c r="E124" s="71">
        <v>43008</v>
      </c>
      <c r="F124" s="48">
        <v>14431</v>
      </c>
      <c r="G124" t="s">
        <v>594</v>
      </c>
      <c r="H124" s="71">
        <v>43008</v>
      </c>
      <c r="I124" s="5">
        <v>2189.1999999999998</v>
      </c>
      <c r="J124" t="s">
        <v>594</v>
      </c>
      <c r="K124" s="71">
        <v>43008</v>
      </c>
      <c r="L124" s="48">
        <v>0</v>
      </c>
      <c r="M124" t="s">
        <v>594</v>
      </c>
      <c r="N124" s="71">
        <v>43008</v>
      </c>
      <c r="O124" s="48">
        <v>0</v>
      </c>
      <c r="Q124" s="6">
        <f t="shared" si="4"/>
        <v>7000</v>
      </c>
      <c r="R124" s="79">
        <f t="shared" si="6"/>
        <v>7000</v>
      </c>
      <c r="S124" s="72">
        <f t="shared" si="5"/>
        <v>-800.0000000001819</v>
      </c>
      <c r="T124" s="80">
        <f t="shared" si="7"/>
        <v>-1000</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L4" sqref="L4"/>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8104BF-0456-4BF9-9EA1-954E80D8E253}"/>
</file>

<file path=customXml/itemProps2.xml><?xml version="1.0" encoding="utf-8"?>
<ds:datastoreItem xmlns:ds="http://schemas.openxmlformats.org/officeDocument/2006/customXml" ds:itemID="{2CC4D693-BCC2-4E99-AE7E-C0DC86C7CD6C}"/>
</file>

<file path=customXml/itemProps3.xml><?xml version="1.0" encoding="utf-8"?>
<ds:datastoreItem xmlns:ds="http://schemas.openxmlformats.org/officeDocument/2006/customXml" ds:itemID="{92A9B0E2-F1A3-4335-AB37-8359F510F6A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MASTER</vt:lpstr>
      <vt:lpstr>HaverPull</vt:lpstr>
      <vt:lpstr>Calculations</vt:lpstr>
      <vt:lpstr>fiscal_impact</vt:lpstr>
      <vt:lpstr>fiscal_ifinal</vt:lpstr>
      <vt:lpstr>additional info</vt:lpstr>
      <vt:lpstr>methodology chart</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2017-10-27T13:33:19Z</cp:lastPrinted>
  <dcterms:created xsi:type="dcterms:W3CDTF">2014-09-08T20:08:32Z</dcterms:created>
  <dcterms:modified xsi:type="dcterms:W3CDTF">2017-11-29T22:08:11Z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