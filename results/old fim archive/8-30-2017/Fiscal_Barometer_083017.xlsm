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 Impact\8-30-2017\"/>
    </mc:Choice>
  </mc:AlternateContent>
  <bookViews>
    <workbookView xWindow="-210" yWindow="-45" windowWidth="18720" windowHeight="11670" tabRatio="717" firstSheet="3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F41" i="15" l="1"/>
  <c r="P112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8" i="3"/>
  <c r="E1" i="9" l="1"/>
  <c r="E53" i="9" s="1"/>
  <c r="C49" i="24" s="1"/>
  <c r="E1" i="7"/>
  <c r="F54" i="7" s="1"/>
  <c r="C49" i="39" s="1"/>
  <c r="D1" i="8"/>
  <c r="D57" i="8" s="1"/>
  <c r="E51" i="22" s="1"/>
  <c r="E45" i="7"/>
  <c r="E46" i="7"/>
  <c r="B41" i="39" s="1"/>
  <c r="E47" i="7"/>
  <c r="E48" i="7"/>
  <c r="B43" i="39" s="1"/>
  <c r="E49" i="7"/>
  <c r="B44" i="39" s="1"/>
  <c r="E50" i="7"/>
  <c r="E51" i="7"/>
  <c r="B46" i="39" s="1"/>
  <c r="E52" i="7"/>
  <c r="E53" i="7"/>
  <c r="E54" i="7"/>
  <c r="B49" i="39" s="1"/>
  <c r="E55" i="7"/>
  <c r="B50" i="39" s="1"/>
  <c r="E56" i="7"/>
  <c r="B51" i="39" s="1"/>
  <c r="E7" i="7"/>
  <c r="B2" i="39" s="1"/>
  <c r="E8" i="7"/>
  <c r="E9" i="7"/>
  <c r="E10" i="7"/>
  <c r="E11" i="7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E20" i="7"/>
  <c r="B15" i="39" s="1"/>
  <c r="E21" i="7"/>
  <c r="E22" i="7"/>
  <c r="B17" i="39" s="1"/>
  <c r="E23" i="7"/>
  <c r="B18" i="39" s="1"/>
  <c r="E24" i="7"/>
  <c r="E25" i="7"/>
  <c r="B20" i="39" s="1"/>
  <c r="E26" i="7"/>
  <c r="E27" i="7"/>
  <c r="E28" i="7"/>
  <c r="B23" i="39" s="1"/>
  <c r="E29" i="7"/>
  <c r="B24" i="39" s="1"/>
  <c r="E30" i="7"/>
  <c r="B25" i="39" s="1"/>
  <c r="E31" i="7"/>
  <c r="B26" i="39" s="1"/>
  <c r="E32" i="7"/>
  <c r="E33" i="7"/>
  <c r="E34" i="7"/>
  <c r="E35" i="7"/>
  <c r="E36" i="7"/>
  <c r="B31" i="39" s="1"/>
  <c r="E37" i="7"/>
  <c r="B32" i="39" s="1"/>
  <c r="E38" i="7"/>
  <c r="B33" i="39" s="1"/>
  <c r="E39" i="7"/>
  <c r="B34" i="39" s="1"/>
  <c r="E40" i="7"/>
  <c r="E41" i="7"/>
  <c r="E42" i="7"/>
  <c r="E43" i="7"/>
  <c r="E44" i="7"/>
  <c r="B39" i="39" s="1"/>
  <c r="D45" i="9"/>
  <c r="B41" i="24" s="1"/>
  <c r="D46" i="9"/>
  <c r="B42" i="24" s="1"/>
  <c r="D47" i="9"/>
  <c r="B43" i="24" s="1"/>
  <c r="D48" i="9"/>
  <c r="D49" i="9"/>
  <c r="B45" i="24" s="1"/>
  <c r="D50" i="9"/>
  <c r="D51" i="9"/>
  <c r="D52" i="9"/>
  <c r="D53" i="9"/>
  <c r="B49" i="24" s="1"/>
  <c r="D54" i="9"/>
  <c r="B50" i="24" s="1"/>
  <c r="D55" i="9"/>
  <c r="B51" i="24" s="1"/>
  <c r="D6" i="9"/>
  <c r="D7" i="9"/>
  <c r="D8" i="9"/>
  <c r="D9" i="9"/>
  <c r="D10" i="9"/>
  <c r="B6" i="24" s="1"/>
  <c r="D11" i="9"/>
  <c r="B7" i="24" s="1"/>
  <c r="D12" i="9"/>
  <c r="B8" i="24" s="1"/>
  <c r="D13" i="9"/>
  <c r="B9" i="24" s="1"/>
  <c r="D14" i="9"/>
  <c r="D15" i="9"/>
  <c r="B11" i="24" s="1"/>
  <c r="D16" i="9"/>
  <c r="D17" i="9"/>
  <c r="D18" i="9"/>
  <c r="D19" i="9"/>
  <c r="B15" i="24" s="1"/>
  <c r="D20" i="9"/>
  <c r="B16" i="24" s="1"/>
  <c r="D21" i="9"/>
  <c r="B17" i="24" s="1"/>
  <c r="D22" i="9"/>
  <c r="D23" i="9"/>
  <c r="B19" i="24" s="1"/>
  <c r="D24" i="9"/>
  <c r="D25" i="9"/>
  <c r="D26" i="9"/>
  <c r="B22" i="24" s="1"/>
  <c r="D27" i="9"/>
  <c r="D28" i="9"/>
  <c r="B24" i="24" s="1"/>
  <c r="D29" i="9"/>
  <c r="B25" i="24" s="1"/>
  <c r="D30" i="9"/>
  <c r="D31" i="9"/>
  <c r="D32" i="9"/>
  <c r="D33" i="9"/>
  <c r="D34" i="9"/>
  <c r="D35" i="9"/>
  <c r="B31" i="24" s="1"/>
  <c r="D36" i="9"/>
  <c r="B32" i="24" s="1"/>
  <c r="D37" i="9"/>
  <c r="B33" i="24" s="1"/>
  <c r="D38" i="9"/>
  <c r="D39" i="9"/>
  <c r="D40" i="9"/>
  <c r="D41" i="9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C4" i="21" s="1"/>
  <c r="J18" i="4"/>
  <c r="J19" i="4"/>
  <c r="J20" i="4"/>
  <c r="J21" i="4"/>
  <c r="C8" i="21" s="1"/>
  <c r="J22" i="4"/>
  <c r="C9" i="21" s="1"/>
  <c r="J23" i="4"/>
  <c r="C10" i="21" s="1"/>
  <c r="J24" i="4"/>
  <c r="J25" i="4"/>
  <c r="C12" i="21" s="1"/>
  <c r="J26" i="4"/>
  <c r="J27" i="4"/>
  <c r="J28" i="4"/>
  <c r="C15" i="21" s="1"/>
  <c r="J29" i="4"/>
  <c r="J30" i="4"/>
  <c r="C17" i="21" s="1"/>
  <c r="J31" i="4"/>
  <c r="C18" i="21" s="1"/>
  <c r="J32" i="4"/>
  <c r="J33" i="4"/>
  <c r="J34" i="4"/>
  <c r="J35" i="4"/>
  <c r="J36" i="4"/>
  <c r="J37" i="4"/>
  <c r="C24" i="21" s="1"/>
  <c r="J38" i="4"/>
  <c r="C25" i="21" s="1"/>
  <c r="J39" i="4"/>
  <c r="C26" i="21" s="1"/>
  <c r="J40" i="4"/>
  <c r="J41" i="4"/>
  <c r="J42" i="4"/>
  <c r="J43" i="4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J51" i="4"/>
  <c r="J52" i="4"/>
  <c r="J53" i="4"/>
  <c r="C40" i="21" s="1"/>
  <c r="J54" i="4"/>
  <c r="C41" i="21" s="1"/>
  <c r="J55" i="4"/>
  <c r="C42" i="21" s="1"/>
  <c r="J56" i="4"/>
  <c r="J57" i="4"/>
  <c r="C44" i="21" s="1"/>
  <c r="J58" i="4"/>
  <c r="J59" i="4"/>
  <c r="J60" i="4"/>
  <c r="J61" i="4"/>
  <c r="C48" i="21" s="1"/>
  <c r="J62" i="4"/>
  <c r="C49" i="21" s="1"/>
  <c r="J63" i="4"/>
  <c r="C50" i="21" s="1"/>
  <c r="J64" i="4"/>
  <c r="J65" i="4"/>
  <c r="C52" i="21" s="1"/>
  <c r="J66" i="4"/>
  <c r="J67" i="4"/>
  <c r="J68" i="4"/>
  <c r="J69" i="4"/>
  <c r="C56" i="21" s="1"/>
  <c r="J70" i="4"/>
  <c r="C57" i="21" s="1"/>
  <c r="J71" i="4"/>
  <c r="C58" i="21" s="1"/>
  <c r="J72" i="4"/>
  <c r="J73" i="4"/>
  <c r="C60" i="21" s="1"/>
  <c r="J74" i="4"/>
  <c r="J75" i="4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J83" i="4"/>
  <c r="J84" i="4"/>
  <c r="C71" i="21" s="1"/>
  <c r="J8" i="4"/>
  <c r="C47" i="21"/>
  <c r="C46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G65" i="4"/>
  <c r="H69" i="4" s="1"/>
  <c r="I72" i="4" s="1"/>
  <c r="B59" i="21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H70" i="4"/>
  <c r="I73" i="4" s="1"/>
  <c r="B60" i="21" s="1"/>
  <c r="G69" i="4"/>
  <c r="G68" i="4"/>
  <c r="G67" i="4"/>
  <c r="H71" i="4" s="1"/>
  <c r="G66" i="4"/>
  <c r="G64" i="4"/>
  <c r="H68" i="4" s="1"/>
  <c r="I71" i="4" s="1"/>
  <c r="B58" i="21" s="1"/>
  <c r="G63" i="4"/>
  <c r="H63" i="4" s="1"/>
  <c r="H67" i="4"/>
  <c r="G62" i="4"/>
  <c r="G61" i="4"/>
  <c r="G60" i="4"/>
  <c r="G59" i="4"/>
  <c r="G58" i="4"/>
  <c r="I75" i="4"/>
  <c r="I83" i="4"/>
  <c r="I91" i="4"/>
  <c r="I99" i="4"/>
  <c r="I107" i="4"/>
  <c r="I115" i="4"/>
  <c r="I123" i="4"/>
  <c r="I74" i="4"/>
  <c r="B61" i="21" s="1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/>
  <c r="J48" i="8"/>
  <c r="F42" i="22"/>
  <c r="J47" i="8"/>
  <c r="F41" i="22" s="1"/>
  <c r="J46" i="8"/>
  <c r="F40" i="22" s="1"/>
  <c r="J45" i="8"/>
  <c r="F39" i="22" s="1"/>
  <c r="J44" i="8"/>
  <c r="F38" i="22"/>
  <c r="J43" i="8"/>
  <c r="F37" i="22"/>
  <c r="J42" i="8"/>
  <c r="F36" i="22" s="1"/>
  <c r="J41" i="8"/>
  <c r="F35" i="22" s="1"/>
  <c r="J40" i="8"/>
  <c r="F34" i="22" s="1"/>
  <c r="J39" i="8"/>
  <c r="F33" i="22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/>
  <c r="J31" i="8"/>
  <c r="F25" i="22" s="1"/>
  <c r="J30" i="8"/>
  <c r="F24" i="22" s="1"/>
  <c r="J29" i="8"/>
  <c r="F23" i="22" s="1"/>
  <c r="J28" i="8"/>
  <c r="F22" i="22"/>
  <c r="J27" i="8"/>
  <c r="F21" i="22"/>
  <c r="J26" i="8"/>
  <c r="F20" i="22" s="1"/>
  <c r="J25" i="8"/>
  <c r="F19" i="22"/>
  <c r="J24" i="8"/>
  <c r="F18" i="22"/>
  <c r="J23" i="8"/>
  <c r="F17" i="22"/>
  <c r="J22" i="8"/>
  <c r="F16" i="22" s="1"/>
  <c r="J21" i="8"/>
  <c r="F15" i="22" s="1"/>
  <c r="J20" i="8"/>
  <c r="F14" i="22" s="1"/>
  <c r="J19" i="8"/>
  <c r="F13" i="22"/>
  <c r="J18" i="8"/>
  <c r="F12" i="22" s="1"/>
  <c r="J17" i="8"/>
  <c r="F11" i="22" s="1"/>
  <c r="J16" i="8"/>
  <c r="F10" i="22"/>
  <c r="J15" i="8"/>
  <c r="F9" i="22"/>
  <c r="J14" i="8"/>
  <c r="F8" i="22" s="1"/>
  <c r="J13" i="8"/>
  <c r="F7" i="22" s="1"/>
  <c r="J12" i="8"/>
  <c r="F6" i="22" s="1"/>
  <c r="J11" i="8"/>
  <c r="F5" i="22"/>
  <c r="J10" i="8"/>
  <c r="F4" i="22" s="1"/>
  <c r="J9" i="8"/>
  <c r="F3" i="22"/>
  <c r="J8" i="8"/>
  <c r="F2" i="22"/>
  <c r="N68" i="11"/>
  <c r="J62" i="25" s="1"/>
  <c r="N67" i="11"/>
  <c r="J61" i="25" s="1"/>
  <c r="N66" i="11"/>
  <c r="J60" i="25" s="1"/>
  <c r="N65" i="11"/>
  <c r="J59" i="25"/>
  <c r="N64" i="11"/>
  <c r="J58" i="25"/>
  <c r="N63" i="11"/>
  <c r="J57" i="25" s="1"/>
  <c r="N62" i="11"/>
  <c r="J56" i="25" s="1"/>
  <c r="N61" i="11"/>
  <c r="J55" i="25" s="1"/>
  <c r="N60" i="11"/>
  <c r="J54" i="25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/>
  <c r="N53" i="11"/>
  <c r="J47" i="25" s="1"/>
  <c r="N52" i="11"/>
  <c r="J46" i="25"/>
  <c r="N51" i="11"/>
  <c r="J45" i="25" s="1"/>
  <c r="N50" i="11"/>
  <c r="J44" i="25"/>
  <c r="N49" i="11"/>
  <c r="J43" i="25"/>
  <c r="N48" i="11"/>
  <c r="J42" i="25" s="1"/>
  <c r="N47" i="11"/>
  <c r="J41" i="25" s="1"/>
  <c r="N46" i="11"/>
  <c r="J40" i="25"/>
  <c r="N45" i="11"/>
  <c r="J39" i="25"/>
  <c r="N44" i="11"/>
  <c r="J38" i="25" s="1"/>
  <c r="N43" i="11"/>
  <c r="J37" i="25" s="1"/>
  <c r="N42" i="11"/>
  <c r="J36" i="25" s="1"/>
  <c r="N41" i="11"/>
  <c r="J35" i="25"/>
  <c r="N40" i="11"/>
  <c r="J34" i="25"/>
  <c r="N39" i="11"/>
  <c r="J33" i="25" s="1"/>
  <c r="N38" i="11"/>
  <c r="J32" i="25" s="1"/>
  <c r="N37" i="11"/>
  <c r="J31" i="25" s="1"/>
  <c r="N36" i="11"/>
  <c r="J30" i="25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/>
  <c r="N28" i="11"/>
  <c r="J22" i="25" s="1"/>
  <c r="N27" i="11"/>
  <c r="J21" i="25" s="1"/>
  <c r="N26" i="11"/>
  <c r="J20" i="25" s="1"/>
  <c r="N25" i="11"/>
  <c r="J19" i="25"/>
  <c r="N24" i="11"/>
  <c r="J18" i="25"/>
  <c r="N23" i="11"/>
  <c r="J17" i="25" s="1"/>
  <c r="N22" i="11"/>
  <c r="J16" i="25"/>
  <c r="N21" i="11"/>
  <c r="J15" i="25"/>
  <c r="N20" i="11"/>
  <c r="J14" i="25"/>
  <c r="N19" i="11"/>
  <c r="J13" i="25" s="1"/>
  <c r="N18" i="11"/>
  <c r="J12" i="25" s="1"/>
  <c r="N17" i="11"/>
  <c r="J11" i="25" s="1"/>
  <c r="N16" i="11"/>
  <c r="J10" i="25"/>
  <c r="N15" i="11"/>
  <c r="J9" i="25" s="1"/>
  <c r="N14" i="11"/>
  <c r="J8" i="25" s="1"/>
  <c r="N13" i="11"/>
  <c r="J7" i="25"/>
  <c r="N12" i="11"/>
  <c r="J6" i="25"/>
  <c r="N11" i="11"/>
  <c r="J5" i="25" s="1"/>
  <c r="N10" i="11"/>
  <c r="J4" i="25" s="1"/>
  <c r="N9" i="11"/>
  <c r="J3" i="25" s="1"/>
  <c r="N8" i="11"/>
  <c r="J2" i="25"/>
  <c r="N7" i="11"/>
  <c r="G55" i="9"/>
  <c r="D51" i="24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/>
  <c r="G47" i="9"/>
  <c r="D43" i="24" s="1"/>
  <c r="G46" i="9"/>
  <c r="D42" i="24" s="1"/>
  <c r="G45" i="9"/>
  <c r="D41" i="24" s="1"/>
  <c r="G44" i="9"/>
  <c r="D40" i="24"/>
  <c r="G43" i="9"/>
  <c r="D39" i="24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/>
  <c r="G27" i="9"/>
  <c r="D23" i="24"/>
  <c r="G26" i="9"/>
  <c r="D22" i="24" s="1"/>
  <c r="G25" i="9"/>
  <c r="D21" i="24" s="1"/>
  <c r="G24" i="9"/>
  <c r="D20" i="24" s="1"/>
  <c r="G23" i="9"/>
  <c r="D19" i="24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/>
  <c r="G15" i="9"/>
  <c r="D11" i="24" s="1"/>
  <c r="G14" i="9"/>
  <c r="D10" i="24" s="1"/>
  <c r="G13" i="9"/>
  <c r="D9" i="24" s="1"/>
  <c r="G12" i="9"/>
  <c r="D8" i="24"/>
  <c r="G11" i="9"/>
  <c r="D7" i="24"/>
  <c r="G10" i="9"/>
  <c r="D6" i="24" s="1"/>
  <c r="G9" i="9"/>
  <c r="D5" i="24" s="1"/>
  <c r="G8" i="9"/>
  <c r="D4" i="24" s="1"/>
  <c r="G7" i="9"/>
  <c r="D3" i="24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/>
  <c r="H50" i="7"/>
  <c r="D45" i="39" s="1"/>
  <c r="H49" i="7"/>
  <c r="D44" i="39" s="1"/>
  <c r="H48" i="7"/>
  <c r="D43" i="39" s="1"/>
  <c r="H47" i="7"/>
  <c r="D42" i="39"/>
  <c r="H46" i="7"/>
  <c r="D41" i="39"/>
  <c r="H45" i="7"/>
  <c r="D40" i="39" s="1"/>
  <c r="H44" i="7"/>
  <c r="D39" i="39" s="1"/>
  <c r="H43" i="7"/>
  <c r="D38" i="39" s="1"/>
  <c r="H42" i="7"/>
  <c r="D37" i="39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/>
  <c r="H34" i="7"/>
  <c r="D29" i="39" s="1"/>
  <c r="H33" i="7"/>
  <c r="D28" i="39" s="1"/>
  <c r="H32" i="7"/>
  <c r="D27" i="39" s="1"/>
  <c r="H31" i="7"/>
  <c r="D26" i="39"/>
  <c r="H30" i="7"/>
  <c r="D25" i="39"/>
  <c r="H29" i="7"/>
  <c r="D24" i="39" s="1"/>
  <c r="H28" i="7"/>
  <c r="D23" i="39" s="1"/>
  <c r="H27" i="7"/>
  <c r="D22" i="39" s="1"/>
  <c r="H26" i="7"/>
  <c r="D21" i="39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/>
  <c r="H18" i="7"/>
  <c r="D13" i="39" s="1"/>
  <c r="H17" i="7"/>
  <c r="D12" i="39" s="1"/>
  <c r="H16" i="7"/>
  <c r="D11" i="39" s="1"/>
  <c r="H15" i="7"/>
  <c r="D10" i="39"/>
  <c r="H14" i="7"/>
  <c r="D9" i="39"/>
  <c r="H13" i="7"/>
  <c r="D8" i="39" s="1"/>
  <c r="H12" i="7"/>
  <c r="D7" i="39" s="1"/>
  <c r="H11" i="7"/>
  <c r="D6" i="39" s="1"/>
  <c r="H10" i="7"/>
  <c r="D5" i="39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H61" i="4" s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7" i="21"/>
  <c r="C62" i="21"/>
  <c r="C61" i="21"/>
  <c r="C59" i="21"/>
  <c r="C55" i="21"/>
  <c r="C54" i="21"/>
  <c r="C53" i="21"/>
  <c r="C51" i="21"/>
  <c r="C45" i="21"/>
  <c r="C43" i="21"/>
  <c r="C39" i="21"/>
  <c r="C38" i="21"/>
  <c r="C37" i="21"/>
  <c r="C35" i="21"/>
  <c r="C30" i="21"/>
  <c r="C29" i="21"/>
  <c r="C28" i="21"/>
  <c r="C27" i="21"/>
  <c r="C23" i="21"/>
  <c r="C22" i="21"/>
  <c r="C21" i="21"/>
  <c r="C20" i="21"/>
  <c r="C19" i="21"/>
  <c r="C16" i="21"/>
  <c r="C14" i="21"/>
  <c r="C13" i="21"/>
  <c r="C11" i="21"/>
  <c r="C7" i="21"/>
  <c r="C6" i="21"/>
  <c r="C5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H12" i="4" s="1"/>
  <c r="G8" i="4"/>
  <c r="G13" i="4"/>
  <c r="G9" i="4"/>
  <c r="G14" i="4"/>
  <c r="G10" i="4"/>
  <c r="H14" i="4" s="1"/>
  <c r="G15" i="4"/>
  <c r="G11" i="4"/>
  <c r="H15" i="4" s="1"/>
  <c r="A2" i="21"/>
  <c r="G53" i="4"/>
  <c r="G49" i="4"/>
  <c r="G54" i="4"/>
  <c r="H54" i="4" s="1"/>
  <c r="G50" i="4"/>
  <c r="G55" i="4"/>
  <c r="G51" i="4"/>
  <c r="G56" i="4"/>
  <c r="H60" i="4" s="1"/>
  <c r="G52" i="4"/>
  <c r="H52" i="4" s="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L76" i="3"/>
  <c r="B69" i="18"/>
  <c r="L75" i="3"/>
  <c r="M75" i="3" s="1"/>
  <c r="C68" i="18" s="1"/>
  <c r="L74" i="3"/>
  <c r="L73" i="3"/>
  <c r="L72" i="3"/>
  <c r="B65" i="18" s="1"/>
  <c r="L71" i="3"/>
  <c r="L70" i="3"/>
  <c r="B63" i="18" s="1"/>
  <c r="L69" i="3"/>
  <c r="L68" i="3"/>
  <c r="B61" i="18" s="1"/>
  <c r="L67" i="3"/>
  <c r="L66" i="3"/>
  <c r="L65" i="3"/>
  <c r="L64" i="3"/>
  <c r="L63" i="3"/>
  <c r="B56" i="18"/>
  <c r="L62" i="3"/>
  <c r="M64" i="3" s="1"/>
  <c r="C57" i="18" s="1"/>
  <c r="L61" i="3"/>
  <c r="M61" i="3" s="1"/>
  <c r="C54" i="18" s="1"/>
  <c r="L60" i="3"/>
  <c r="L59" i="3"/>
  <c r="B52" i="18" s="1"/>
  <c r="L58" i="3"/>
  <c r="M60" i="3" s="1"/>
  <c r="C53" i="18" s="1"/>
  <c r="L57" i="3"/>
  <c r="L56" i="3"/>
  <c r="M57" i="3" s="1"/>
  <c r="C50" i="18" s="1"/>
  <c r="B49" i="18"/>
  <c r="L55" i="3"/>
  <c r="M56" i="3" s="1"/>
  <c r="C49" i="18" s="1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B40" i="18"/>
  <c r="L46" i="3"/>
  <c r="B39" i="18"/>
  <c r="L45" i="3"/>
  <c r="L44" i="3"/>
  <c r="B37" i="18" s="1"/>
  <c r="L43" i="3"/>
  <c r="M44" i="3" s="1"/>
  <c r="C37" i="18" s="1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/>
  <c r="L35" i="3"/>
  <c r="L34" i="3"/>
  <c r="B27" i="18" s="1"/>
  <c r="L33" i="3"/>
  <c r="B26" i="18" s="1"/>
  <c r="L32" i="3"/>
  <c r="B25" i="18"/>
  <c r="L31" i="3"/>
  <c r="B24" i="18" s="1"/>
  <c r="L30" i="3"/>
  <c r="M32" i="3" s="1"/>
  <c r="C25" i="18" s="1"/>
  <c r="L29" i="3"/>
  <c r="B22" i="18" s="1"/>
  <c r="L28" i="3"/>
  <c r="B21" i="18" s="1"/>
  <c r="L27" i="3"/>
  <c r="B20" i="18" s="1"/>
  <c r="L26" i="3"/>
  <c r="L25" i="3"/>
  <c r="L24" i="3"/>
  <c r="L23" i="3"/>
  <c r="B16" i="18" s="1"/>
  <c r="L22" i="3"/>
  <c r="M22" i="3" s="1"/>
  <c r="C15" i="18" s="1"/>
  <c r="L21" i="3"/>
  <c r="B14" i="18" s="1"/>
  <c r="L20" i="3"/>
  <c r="B13" i="18" s="1"/>
  <c r="L19" i="3"/>
  <c r="L18" i="3"/>
  <c r="B11" i="18" s="1"/>
  <c r="L17" i="3"/>
  <c r="L16" i="3"/>
  <c r="B9" i="18"/>
  <c r="L15" i="3"/>
  <c r="B8" i="18" s="1"/>
  <c r="L14" i="3"/>
  <c r="L13" i="3"/>
  <c r="B6" i="18" s="1"/>
  <c r="L12" i="3"/>
  <c r="B5" i="18" s="1"/>
  <c r="L11" i="3"/>
  <c r="B4" i="18"/>
  <c r="L10" i="3"/>
  <c r="B3" i="18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B71" i="17" s="1"/>
  <c r="I77" i="3"/>
  <c r="B70" i="17"/>
  <c r="I76" i="3"/>
  <c r="I75" i="3"/>
  <c r="B68" i="17" s="1"/>
  <c r="I74" i="3"/>
  <c r="J75" i="3" s="1"/>
  <c r="C68" i="17" s="1"/>
  <c r="I73" i="3"/>
  <c r="B66" i="17" s="1"/>
  <c r="I72" i="3"/>
  <c r="B65" i="17" s="1"/>
  <c r="I71" i="3"/>
  <c r="I70" i="3"/>
  <c r="B63" i="17"/>
  <c r="I69" i="3"/>
  <c r="B62" i="17" s="1"/>
  <c r="I68" i="3"/>
  <c r="I67" i="3"/>
  <c r="B60" i="17" s="1"/>
  <c r="I66" i="3"/>
  <c r="I65" i="3"/>
  <c r="B58" i="17"/>
  <c r="I64" i="3"/>
  <c r="B57" i="17" s="1"/>
  <c r="I63" i="3"/>
  <c r="B56" i="17" s="1"/>
  <c r="I62" i="3"/>
  <c r="B55" i="17" s="1"/>
  <c r="I61" i="3"/>
  <c r="B54" i="17"/>
  <c r="I60" i="3"/>
  <c r="J62" i="3" s="1"/>
  <c r="C55" i="17" s="1"/>
  <c r="I59" i="3"/>
  <c r="J59" i="3" s="1"/>
  <c r="C52" i="17" s="1"/>
  <c r="I58" i="3"/>
  <c r="I57" i="3"/>
  <c r="B50" i="17" s="1"/>
  <c r="I56" i="3"/>
  <c r="B49" i="17"/>
  <c r="I55" i="3"/>
  <c r="J56" i="3" s="1"/>
  <c r="C49" i="17" s="1"/>
  <c r="I54" i="3"/>
  <c r="J55" i="3" s="1"/>
  <c r="C48" i="17" s="1"/>
  <c r="I53" i="3"/>
  <c r="B46" i="17"/>
  <c r="I52" i="3"/>
  <c r="I51" i="3"/>
  <c r="B44" i="17"/>
  <c r="I50" i="3"/>
  <c r="B43" i="17" s="1"/>
  <c r="I49" i="3"/>
  <c r="J51" i="3" s="1"/>
  <c r="C44" i="17" s="1"/>
  <c r="I48" i="3"/>
  <c r="B41" i="17"/>
  <c r="I47" i="3"/>
  <c r="B40" i="17" s="1"/>
  <c r="I46" i="3"/>
  <c r="I45" i="3"/>
  <c r="B38" i="17"/>
  <c r="I44" i="3"/>
  <c r="J45" i="3" s="1"/>
  <c r="C38" i="17" s="1"/>
  <c r="I43" i="3"/>
  <c r="I42" i="3"/>
  <c r="B35" i="17" s="1"/>
  <c r="I41" i="3"/>
  <c r="B34" i="17" s="1"/>
  <c r="I40" i="3"/>
  <c r="B33" i="17"/>
  <c r="I39" i="3"/>
  <c r="J40" i="3" s="1"/>
  <c r="C33" i="17" s="1"/>
  <c r="I38" i="3"/>
  <c r="J39" i="3" s="1"/>
  <c r="C32" i="17" s="1"/>
  <c r="I37" i="3"/>
  <c r="B30" i="17" s="1"/>
  <c r="I36" i="3"/>
  <c r="J36" i="3" s="1"/>
  <c r="C29" i="17" s="1"/>
  <c r="I35" i="3"/>
  <c r="I34" i="3"/>
  <c r="I33" i="3"/>
  <c r="I32" i="3"/>
  <c r="B25" i="17"/>
  <c r="I31" i="3"/>
  <c r="I30" i="3"/>
  <c r="B23" i="17" s="1"/>
  <c r="I29" i="3"/>
  <c r="B22" i="17" s="1"/>
  <c r="I28" i="3"/>
  <c r="B21" i="17"/>
  <c r="I27" i="3"/>
  <c r="J29" i="3" s="1"/>
  <c r="C22" i="17" s="1"/>
  <c r="I26" i="3"/>
  <c r="B19" i="17" s="1"/>
  <c r="I25" i="3"/>
  <c r="B18" i="17" s="1"/>
  <c r="I24" i="3"/>
  <c r="B17" i="17"/>
  <c r="I23" i="3"/>
  <c r="I22" i="3"/>
  <c r="B15" i="17"/>
  <c r="I21" i="3"/>
  <c r="I20" i="3"/>
  <c r="B13" i="17" s="1"/>
  <c r="I19" i="3"/>
  <c r="I18" i="3"/>
  <c r="I17" i="3"/>
  <c r="B10" i="17" s="1"/>
  <c r="I16" i="3"/>
  <c r="B9" i="17"/>
  <c r="I15" i="3"/>
  <c r="B8" i="17" s="1"/>
  <c r="I14" i="3"/>
  <c r="B7" i="17" s="1"/>
  <c r="I13" i="3"/>
  <c r="J13" i="3" s="1"/>
  <c r="C6" i="17" s="1"/>
  <c r="I12" i="3"/>
  <c r="I11" i="3"/>
  <c r="J12" i="3" s="1"/>
  <c r="C5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G34" i="4"/>
  <c r="G33" i="4"/>
  <c r="G32" i="4"/>
  <c r="H36" i="4" s="1"/>
  <c r="G31" i="4"/>
  <c r="H31" i="4" s="1"/>
  <c r="G30" i="4"/>
  <c r="G29" i="4"/>
  <c r="G28" i="4"/>
  <c r="G27" i="4"/>
  <c r="H27" i="4" s="1"/>
  <c r="G26" i="4"/>
  <c r="G25" i="4"/>
  <c r="G24" i="4"/>
  <c r="H28" i="4" s="1"/>
  <c r="G23" i="4"/>
  <c r="H23" i="4" s="1"/>
  <c r="G22" i="4"/>
  <c r="H26" i="4" s="1"/>
  <c r="G21" i="4"/>
  <c r="H21" i="4" s="1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 s="1"/>
  <c r="L112" i="3"/>
  <c r="B105" i="18" s="1"/>
  <c r="M113" i="3"/>
  <c r="C106" i="18"/>
  <c r="L111" i="3"/>
  <c r="L110" i="3"/>
  <c r="L109" i="3"/>
  <c r="B102" i="18" s="1"/>
  <c r="L108" i="3"/>
  <c r="B101" i="18" s="1"/>
  <c r="L107" i="3"/>
  <c r="L106" i="3"/>
  <c r="M107" i="3" s="1"/>
  <c r="C100" i="18" s="1"/>
  <c r="B99" i="18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/>
  <c r="L95" i="3"/>
  <c r="L94" i="3"/>
  <c r="L92" i="3"/>
  <c r="M94" i="3" s="1"/>
  <c r="C87" i="18" s="1"/>
  <c r="L91" i="3"/>
  <c r="B84" i="18"/>
  <c r="L90" i="3"/>
  <c r="L89" i="3"/>
  <c r="L88" i="3"/>
  <c r="B81" i="18" s="1"/>
  <c r="L87" i="3"/>
  <c r="B80" i="18"/>
  <c r="L86" i="3"/>
  <c r="L85" i="3"/>
  <c r="B78" i="18" s="1"/>
  <c r="L84" i="3"/>
  <c r="L83" i="3"/>
  <c r="L82" i="3"/>
  <c r="L81" i="3"/>
  <c r="L80" i="3"/>
  <c r="B73" i="18"/>
  <c r="J7" i="3"/>
  <c r="I7" i="3"/>
  <c r="J8" i="3" s="1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/>
  <c r="I114" i="3"/>
  <c r="J115" i="3"/>
  <c r="C108" i="17"/>
  <c r="I113" i="3"/>
  <c r="J113" i="3" s="1"/>
  <c r="C106" i="17" s="1"/>
  <c r="I112" i="3"/>
  <c r="I111" i="3"/>
  <c r="I110" i="3"/>
  <c r="B103" i="17" s="1"/>
  <c r="I109" i="3"/>
  <c r="B102" i="17" s="1"/>
  <c r="I108" i="3"/>
  <c r="B101" i="17"/>
  <c r="I107" i="3"/>
  <c r="B100" i="17" s="1"/>
  <c r="I106" i="3"/>
  <c r="I105" i="3"/>
  <c r="I104" i="3"/>
  <c r="I103" i="3"/>
  <c r="J105" i="3" s="1"/>
  <c r="C98" i="17" s="1"/>
  <c r="I102" i="3"/>
  <c r="B95" i="17" s="1"/>
  <c r="I101" i="3"/>
  <c r="B94" i="17" s="1"/>
  <c r="I100" i="3"/>
  <c r="I99" i="3"/>
  <c r="I98" i="3"/>
  <c r="J98" i="3" s="1"/>
  <c r="C91" i="17" s="1"/>
  <c r="I97" i="3"/>
  <c r="I96" i="3"/>
  <c r="B89" i="17" s="1"/>
  <c r="I95" i="3"/>
  <c r="I94" i="3"/>
  <c r="B87" i="17" s="1"/>
  <c r="I92" i="3"/>
  <c r="J92" i="3" s="1"/>
  <c r="C85" i="17" s="1"/>
  <c r="I91" i="3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A1" i="3"/>
  <c r="J117" i="3"/>
  <c r="C110" i="17"/>
  <c r="G48" i="4"/>
  <c r="G47" i="4"/>
  <c r="H47" i="4" s="1"/>
  <c r="G46" i="4"/>
  <c r="G45" i="4"/>
  <c r="G44" i="4"/>
  <c r="H48" i="4" s="1"/>
  <c r="G43" i="4"/>
  <c r="H43" i="4" s="1"/>
  <c r="G42" i="4"/>
  <c r="G41" i="4"/>
  <c r="G40" i="4"/>
  <c r="H40" i="4" s="1"/>
  <c r="G39" i="4"/>
  <c r="G38" i="4"/>
  <c r="B48" i="24"/>
  <c r="B47" i="24"/>
  <c r="B46" i="24"/>
  <c r="B44" i="24"/>
  <c r="B37" i="24"/>
  <c r="B36" i="24"/>
  <c r="B35" i="24"/>
  <c r="B34" i="24"/>
  <c r="B30" i="24"/>
  <c r="B29" i="24"/>
  <c r="B28" i="24"/>
  <c r="B27" i="24"/>
  <c r="B26" i="24"/>
  <c r="B23" i="24"/>
  <c r="B21" i="24"/>
  <c r="B20" i="24"/>
  <c r="B18" i="24"/>
  <c r="B14" i="24"/>
  <c r="B13" i="24"/>
  <c r="B12" i="24"/>
  <c r="B10" i="24"/>
  <c r="B5" i="24"/>
  <c r="B4" i="24"/>
  <c r="B3" i="24"/>
  <c r="B2" i="24"/>
  <c r="B48" i="39"/>
  <c r="B47" i="39"/>
  <c r="B45" i="39"/>
  <c r="B42" i="39"/>
  <c r="B40" i="39"/>
  <c r="B38" i="39"/>
  <c r="B37" i="39"/>
  <c r="B36" i="39"/>
  <c r="B35" i="39"/>
  <c r="B30" i="39"/>
  <c r="B29" i="39"/>
  <c r="B28" i="39"/>
  <c r="B27" i="39"/>
  <c r="B22" i="39"/>
  <c r="B21" i="39"/>
  <c r="B19" i="39"/>
  <c r="B16" i="39"/>
  <c r="B14" i="39"/>
  <c r="B13" i="39"/>
  <c r="B11" i="39"/>
  <c r="B6" i="39"/>
  <c r="B5" i="39"/>
  <c r="B4" i="39"/>
  <c r="B3" i="39"/>
  <c r="M115" i="3"/>
  <c r="C108" i="18" s="1"/>
  <c r="M121" i="3"/>
  <c r="C114" i="18"/>
  <c r="M132" i="3"/>
  <c r="C125" i="18"/>
  <c r="M116" i="3"/>
  <c r="C109" i="18"/>
  <c r="M96" i="3"/>
  <c r="C89" i="18" s="1"/>
  <c r="J97" i="3"/>
  <c r="C90" i="17" s="1"/>
  <c r="M95" i="3"/>
  <c r="C88" i="18"/>
  <c r="M127" i="3"/>
  <c r="C120" i="18"/>
  <c r="B120" i="18"/>
  <c r="B96" i="17"/>
  <c r="B114" i="17"/>
  <c r="J129" i="3"/>
  <c r="C122" i="17"/>
  <c r="M129" i="3"/>
  <c r="C122" i="18"/>
  <c r="B120" i="17"/>
  <c r="M114" i="3"/>
  <c r="C107" i="18"/>
  <c r="B113" i="17"/>
  <c r="B100" i="18"/>
  <c r="J127" i="3"/>
  <c r="C120" i="17"/>
  <c r="B98" i="17"/>
  <c r="J123" i="3"/>
  <c r="C116" i="17"/>
  <c r="B103" i="18"/>
  <c r="B122" i="17"/>
  <c r="M125" i="3"/>
  <c r="C118" i="18"/>
  <c r="B105" i="17"/>
  <c r="M123" i="3"/>
  <c r="C116" i="18"/>
  <c r="B118" i="18"/>
  <c r="B90" i="17"/>
  <c r="B88" i="18"/>
  <c r="B112" i="18"/>
  <c r="B91" i="17"/>
  <c r="B107" i="17"/>
  <c r="B123" i="17"/>
  <c r="B110" i="18"/>
  <c r="M119" i="3"/>
  <c r="C112" i="18"/>
  <c r="B104" i="18"/>
  <c r="J124" i="3"/>
  <c r="C117" i="17"/>
  <c r="J126" i="3"/>
  <c r="C119" i="17"/>
  <c r="M122" i="3"/>
  <c r="C115" i="18"/>
  <c r="B122" i="18"/>
  <c r="B108" i="17"/>
  <c r="J119" i="3"/>
  <c r="C112" i="17"/>
  <c r="M131" i="3"/>
  <c r="C124" i="18"/>
  <c r="B117" i="17"/>
  <c r="B125" i="17"/>
  <c r="B116" i="18"/>
  <c r="B110" i="17"/>
  <c r="B86" i="18"/>
  <c r="B87" i="18"/>
  <c r="B84" i="17"/>
  <c r="J90" i="3"/>
  <c r="C83" i="17" s="1"/>
  <c r="J89" i="3"/>
  <c r="C82" i="17"/>
  <c r="B77" i="18"/>
  <c r="H38" i="4"/>
  <c r="H29" i="4"/>
  <c r="H39" i="4"/>
  <c r="H41" i="4"/>
  <c r="H44" i="4"/>
  <c r="H51" i="4"/>
  <c r="H59" i="4"/>
  <c r="H50" i="4"/>
  <c r="H25" i="4"/>
  <c r="H33" i="4"/>
  <c r="H18" i="4"/>
  <c r="H53" i="4"/>
  <c r="J81" i="3"/>
  <c r="C74" i="17" s="1"/>
  <c r="J80" i="3"/>
  <c r="C73" i="17"/>
  <c r="M80" i="3"/>
  <c r="C73" i="18" s="1"/>
  <c r="B73" i="17"/>
  <c r="B72" i="18"/>
  <c r="M66" i="3"/>
  <c r="C59" i="18"/>
  <c r="B72" i="17"/>
  <c r="B5" i="17"/>
  <c r="B28" i="17"/>
  <c r="B36" i="17"/>
  <c r="B67" i="18"/>
  <c r="B28" i="18"/>
  <c r="J28" i="3"/>
  <c r="C21" i="17" s="1"/>
  <c r="M67" i="3"/>
  <c r="C60" i="18" s="1"/>
  <c r="M10" i="3"/>
  <c r="C3" i="18"/>
  <c r="M48" i="3"/>
  <c r="C41" i="18" s="1"/>
  <c r="M65" i="3"/>
  <c r="C58" i="18" s="1"/>
  <c r="B59" i="18"/>
  <c r="B20" i="17"/>
  <c r="M34" i="3"/>
  <c r="C27" i="18" s="1"/>
  <c r="B37" i="17"/>
  <c r="B57" i="18"/>
  <c r="B12" i="17"/>
  <c r="B24" i="17"/>
  <c r="B58" i="18"/>
  <c r="B14" i="17"/>
  <c r="M79" i="3"/>
  <c r="C72" i="18" s="1"/>
  <c r="B3" i="17"/>
  <c r="J11" i="3"/>
  <c r="C4" i="17" s="1"/>
  <c r="B11" i="17"/>
  <c r="J19" i="3"/>
  <c r="C12" i="17" s="1"/>
  <c r="B27" i="17"/>
  <c r="B51" i="17"/>
  <c r="B18" i="18"/>
  <c r="J25" i="3"/>
  <c r="C18" i="17" s="1"/>
  <c r="J41" i="3"/>
  <c r="C34" i="17" s="1"/>
  <c r="B66" i="18"/>
  <c r="M74" i="3"/>
  <c r="C67" i="18" s="1"/>
  <c r="B70" i="18"/>
  <c r="B12" i="18"/>
  <c r="M29" i="3"/>
  <c r="C22" i="18" s="1"/>
  <c r="B16" i="17"/>
  <c r="B48" i="17"/>
  <c r="B47" i="18"/>
  <c r="M15" i="3"/>
  <c r="C8" i="18" s="1"/>
  <c r="B15" i="18"/>
  <c r="B31" i="18"/>
  <c r="B29" i="17"/>
  <c r="J15" i="3"/>
  <c r="C8" i="17" s="1"/>
  <c r="J58" i="3"/>
  <c r="C51" i="17" s="1"/>
  <c r="J71" i="3"/>
  <c r="C64" i="17" s="1"/>
  <c r="B50" i="18"/>
  <c r="B55" i="18"/>
  <c r="B60" i="18"/>
  <c r="M77" i="3" l="1"/>
  <c r="C70" i="18" s="1"/>
  <c r="I40" i="4"/>
  <c r="B27" i="21" s="1"/>
  <c r="B67" i="17"/>
  <c r="J27" i="3"/>
  <c r="C20" i="17" s="1"/>
  <c r="B54" i="18"/>
  <c r="M98" i="3"/>
  <c r="C91" i="18" s="1"/>
  <c r="M63" i="3"/>
  <c r="C56" i="18" s="1"/>
  <c r="J74" i="3"/>
  <c r="C67" i="17" s="1"/>
  <c r="J31" i="3"/>
  <c r="C24" i="17" s="1"/>
  <c r="M59" i="3"/>
  <c r="C52" i="18" s="1"/>
  <c r="J38" i="3"/>
  <c r="C31" i="17" s="1"/>
  <c r="B53" i="17"/>
  <c r="J21" i="3"/>
  <c r="C14" i="17" s="1"/>
  <c r="M55" i="3"/>
  <c r="C48" i="18" s="1"/>
  <c r="M43" i="3"/>
  <c r="C36" i="18" s="1"/>
  <c r="H57" i="4"/>
  <c r="M88" i="3"/>
  <c r="C81" i="18" s="1"/>
  <c r="J103" i="3"/>
  <c r="C96" i="17" s="1"/>
  <c r="B85" i="17"/>
  <c r="J114" i="3"/>
  <c r="C107" i="17" s="1"/>
  <c r="M99" i="3"/>
  <c r="C92" i="18" s="1"/>
  <c r="B6" i="17"/>
  <c r="B31" i="17"/>
  <c r="B42" i="17"/>
  <c r="B47" i="17"/>
  <c r="B52" i="17"/>
  <c r="B48" i="18"/>
  <c r="B68" i="18"/>
  <c r="I54" i="4"/>
  <c r="B41" i="21" s="1"/>
  <c r="M23" i="3"/>
  <c r="C16" i="18" s="1"/>
  <c r="J14" i="3"/>
  <c r="C7" i="17" s="1"/>
  <c r="B106" i="17"/>
  <c r="J61" i="3"/>
  <c r="C54" i="17" s="1"/>
  <c r="M76" i="3"/>
  <c r="C69" i="18" s="1"/>
  <c r="J96" i="3"/>
  <c r="C89" i="17" s="1"/>
  <c r="M108" i="3"/>
  <c r="C101" i="18" s="1"/>
  <c r="M58" i="3"/>
  <c r="C51" i="18" s="1"/>
  <c r="J50" i="3"/>
  <c r="C43" i="17" s="1"/>
  <c r="B36" i="18"/>
  <c r="M49" i="3"/>
  <c r="C42" i="18" s="1"/>
  <c r="J60" i="3"/>
  <c r="C53" i="17" s="1"/>
  <c r="M42" i="3"/>
  <c r="C35" i="18" s="1"/>
  <c r="J79" i="3"/>
  <c r="C72" i="17" s="1"/>
  <c r="B88" i="17"/>
  <c r="H45" i="4"/>
  <c r="M11" i="3"/>
  <c r="C4" i="18" s="1"/>
  <c r="M73" i="3"/>
  <c r="C66" i="18" s="1"/>
  <c r="H55" i="4"/>
  <c r="I55" i="4" s="1"/>
  <c r="B42" i="21" s="1"/>
  <c r="H66" i="4"/>
  <c r="J20" i="3"/>
  <c r="C13" i="17" s="1"/>
  <c r="B23" i="18"/>
  <c r="I39" i="4"/>
  <c r="B26" i="21" s="1"/>
  <c r="J9" i="3"/>
  <c r="M78" i="3"/>
  <c r="C71" i="18" s="1"/>
  <c r="M41" i="3"/>
  <c r="C34" i="18" s="1"/>
  <c r="J42" i="3"/>
  <c r="C35" i="17" s="1"/>
  <c r="M54" i="3"/>
  <c r="C47" i="18" s="1"/>
  <c r="M50" i="3"/>
  <c r="C43" i="18" s="1"/>
  <c r="J57" i="3"/>
  <c r="C50" i="17" s="1"/>
  <c r="J26" i="3"/>
  <c r="C19" i="17" s="1"/>
  <c r="B32" i="17"/>
  <c r="M31" i="3"/>
  <c r="C24" i="18" s="1"/>
  <c r="J68" i="3"/>
  <c r="C61" i="17" s="1"/>
  <c r="M85" i="3"/>
  <c r="C78" i="18" s="1"/>
  <c r="J91" i="3"/>
  <c r="C84" i="17" s="1"/>
  <c r="H22" i="4"/>
  <c r="H30" i="4"/>
  <c r="H34" i="4"/>
  <c r="B4" i="17"/>
  <c r="J16" i="3"/>
  <c r="C9" i="17" s="1"/>
  <c r="J52" i="3"/>
  <c r="C45" i="17" s="1"/>
  <c r="M21" i="3"/>
  <c r="C14" i="18" s="1"/>
  <c r="M27" i="3"/>
  <c r="C20" i="18" s="1"/>
  <c r="B51" i="18"/>
  <c r="H64" i="4"/>
  <c r="I53" i="4"/>
  <c r="B40" i="21" s="1"/>
  <c r="M33" i="3"/>
  <c r="C26" i="18" s="1"/>
  <c r="H35" i="4"/>
  <c r="I38" i="4" s="1"/>
  <c r="B25" i="21" s="1"/>
  <c r="M68" i="3"/>
  <c r="C61" i="18" s="1"/>
  <c r="M20" i="3"/>
  <c r="C13" i="18" s="1"/>
  <c r="M69" i="3"/>
  <c r="C62" i="18" s="1"/>
  <c r="M93" i="3"/>
  <c r="C86" i="18" s="1"/>
  <c r="J70" i="3"/>
  <c r="C63" i="17" s="1"/>
  <c r="M16" i="3"/>
  <c r="C9" i="18" s="1"/>
  <c r="I31" i="4"/>
  <c r="B18" i="21" s="1"/>
  <c r="I30" i="4"/>
  <c r="B17" i="21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36" i="4"/>
  <c r="B23" i="21" s="1"/>
  <c r="M37" i="3"/>
  <c r="C30" i="18" s="1"/>
  <c r="J107" i="3"/>
  <c r="C100" i="17" s="1"/>
  <c r="B92" i="17"/>
  <c r="J99" i="3"/>
  <c r="C92" i="17" s="1"/>
  <c r="J100" i="3"/>
  <c r="C93" i="17" s="1"/>
  <c r="I37" i="4"/>
  <c r="B24" i="21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I69" i="4"/>
  <c r="B56" i="21" s="1"/>
  <c r="M12" i="3"/>
  <c r="C5" i="18" s="1"/>
  <c r="J24" i="3"/>
  <c r="C17" i="17" s="1"/>
  <c r="I28" i="4"/>
  <c r="B15" i="21" s="1"/>
  <c r="I43" i="4"/>
  <c r="B30" i="21" s="1"/>
  <c r="H16" i="4"/>
  <c r="H20" i="4"/>
  <c r="I22" i="4" s="1"/>
  <c r="B9" i="21" s="1"/>
  <c r="J34" i="3"/>
  <c r="C27" i="17" s="1"/>
  <c r="H32" i="4"/>
  <c r="I32" i="4" s="1"/>
  <c r="B19" i="21" s="1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I41" i="4"/>
  <c r="B28" i="21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45" i="4" l="1"/>
  <c r="B32" i="21" s="1"/>
  <c r="I56" i="4"/>
  <c r="B43" i="21" s="1"/>
  <c r="I16" i="4"/>
  <c r="B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<sst xmlns="http://schemas.openxmlformats.org/spreadsheetml/2006/main" count="824" uniqueCount="478">
  <si>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</si>
  <si>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</si>
  <si>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</si>
  <si>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</si>
  <si>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</si>
  <si>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</si>
  <si>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</si>
  <si>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</si>
  <si>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</si>
  <si>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</si>
  <si>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</si>
  <si>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</si>
  <si>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</si>
  <si>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</si>
  <si>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</si>
  <si>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</si>
  <si>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</si>
  <si>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</si>
  <si>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</si>
  <si>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</si>
  <si>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</si>
  <si>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</si>
  <si>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</si>
  <si>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</si>
  <si>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</si>
  <si>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</si>
  <si>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</si>
  <si>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</si>
  <si>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</si>
  <si>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</si>
  <si>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</si>
  <si>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</si>
  <si>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</si>
  <si>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</si>
  <si>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</si>
  <si>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</si>
  <si>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</si>
  <si>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</si>
  <si>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</si>
  <si>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</si>
  <si>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</si>
  <si>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</si>
  <si>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</si>
  <si>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</si>
  <si>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</si>
  <si>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</si>
  <si>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</si>
  <si>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</si>
  <si>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</si>
  <si>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</si>
  <si>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</si>
  <si>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</si>
  <si>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</si>
  <si>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</si>
  <si>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</si>
  <si>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</si>
  <si>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</si>
  <si>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</si>
  <si>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</si>
  <si>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</si>
  <si>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</si>
  <si>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</si>
  <si>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</si>
  <si>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</si>
  <si>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</si>
  <si>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</si>
  <si>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</si>
  <si>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</si>
  <si>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</si>
  <si>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</si>
  <si>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</si>
  <si>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</si>
  <si>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</si>
  <si>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</si>
  <si>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</si>
  <si>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</si>
  <si>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</si>
  <si>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</si>
  <si>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</si>
  <si>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</si>
  <si>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</si>
  <si>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</si>
  <si>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</si>
  <si>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</si>
  <si>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</si>
  <si>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</si>
  <si>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</si>
  <si>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</si>
  <si>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</si>
  <si>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</si>
  <si>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</si>
  <si>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</si>
  <si>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</si>
  <si>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</si>
  <si>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</si>
  <si>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</si>
  <si>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</si>
  <si>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</si>
  <si>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</si>
  <si>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</si>
  <si>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</si>
  <si>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</si>
  <si>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</si>
  <si>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</si>
  <si>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</si>
  <si>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</si>
  <si>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</si>
  <si>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</si>
  <si>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</si>
  <si>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</si>
  <si>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</si>
  <si>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</si>
  <si>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</si>
  <si>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</si>
  <si>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</si>
  <si>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</si>
  <si>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</si>
  <si>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</si>
  <si>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</si>
  <si>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</si>
  <si>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</si>
  <si>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</si>
  <si>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</si>
  <si>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</si>
  <si>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</si>
  <si>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</si>
  <si>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</si>
  <si>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</si>
  <si>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</si>
  <si>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</si>
  <si>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</si>
  <si>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</si>
  <si>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</si>
  <si>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</si>
  <si>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</si>
  <si>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</si>
  <si>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</si>
  <si>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</si>
  <si>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</si>
  <si>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</si>
  <si>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</si>
  <si>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</si>
  <si>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</si>
  <si>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</si>
  <si>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</si>
  <si>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</si>
  <si>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</si>
  <si>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</si>
  <si>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</si>
  <si>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</si>
  <si>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</si>
  <si>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</si>
  <si>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</si>
  <si>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</si>
  <si>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</si>
  <si>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</si>
  <si>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</si>
  <si>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</si>
  <si>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</si>
  <si>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</si>
  <si>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</si>
  <si>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</si>
  <si>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</si>
  <si>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</si>
  <si>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</si>
  <si>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</si>
  <si>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</si>
  <si>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</si>
  <si>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</si>
  <si>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</si>
  <si>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</si>
  <si>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</si>
  <si>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</si>
  <si>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</si>
  <si>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</si>
  <si>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</si>
  <si>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</si>
  <si>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</si>
  <si>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</si>
  <si>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</si>
  <si>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</si>
  <si>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</si>
  <si>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</si>
  <si>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</si>
  <si>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</si>
  <si>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</si>
  <si>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</si>
  <si>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</si>
  <si>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</si>
  <si>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</si>
  <si>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</si>
  <si>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</si>
  <si>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</si>
  <si>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</si>
  <si>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</si>
  <si>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</si>
  <si>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</si>
  <si>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</si>
  <si>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</si>
  <si>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</si>
  <si>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</si>
  <si>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</si>
  <si>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</si>
  <si>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</si>
  <si>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</si>
  <si>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</si>
  <si>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</si>
  <si>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</si>
  <si>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</si>
  <si>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</si>
  <si>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</si>
  <si>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</si>
  <si>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</si>
  <si>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</si>
  <si>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</si>
  <si>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</si>
  <si>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</si>
  <si>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</si>
  <si>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</si>
  <si>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</si>
  <si>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</si>
  <si>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</si>
  <si>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</si>
  <si>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</si>
  <si>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</si>
  <si>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</si>
  <si>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</si>
  <si>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</si>
  <si>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</si>
  <si>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</si>
  <si>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</si>
  <si>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</si>
  <si>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</si>
  <si>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</si>
  <si>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</si>
  <si>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</si>
  <si>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</si>
  <si>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</si>
  <si>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</si>
  <si>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</si>
  <si>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</si>
  <si>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</si>
  <si>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</si>
  <si>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</si>
  <si>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</si>
  <si>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</si>
  <si>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</si>
  <si>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</si>
  <si>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</si>
  <si>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</si>
  <si>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</si>
  <si>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</si>
  <si>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</si>
  <si>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</si>
  <si>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</si>
  <si>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</si>
  <si>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</si>
  <si>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</si>
  <si>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</si>
  <si>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</si>
  <si>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</si>
  <si>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</si>
  <si>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</si>
  <si>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</si>
  <si>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</si>
  <si>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</si>
  <si>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</si>
  <si>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</si>
  <si>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</si>
  <si>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</si>
  <si>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</si>
  <si>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</si>
  <si>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</si>
  <si>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</si>
  <si>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</si>
  <si>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</si>
  <si>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</si>
  <si>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</si>
  <si>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</si>
  <si>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</si>
  <si>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</si>
  <si>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</si>
  <si>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</si>
  <si>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</si>
  <si>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</si>
  <si>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</si>
  <si>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</si>
  <si>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</si>
  <si>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</si>
  <si>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</si>
  <si>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</si>
  <si>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</si>
  <si>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</si>
  <si>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</si>
  <si>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</si>
  <si>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</si>
  <si>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</si>
  <si>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</si>
  <si>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</si>
  <si>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</si>
  <si>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</si>
  <si>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</si>
  <si>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</si>
  <si>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</si>
  <si>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</si>
  <si>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</si>
  <si>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</si>
  <si>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</si>
  <si>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</si>
  <si>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</si>
  <si>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</si>
  <si>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</si>
  <si>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</si>
  <si>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</si>
  <si>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</si>
  <si>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</si>
  <si>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</si>
  <si>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</si>
  <si>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</si>
  <si>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</si>
  <si>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</si>
  <si>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</si>
  <si>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</si>
  <si>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</si>
  <si>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</si>
  <si>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</si>
  <si>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</si>
  <si>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</si>
  <si>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</si>
  <si>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</si>
  <si>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</si>
  <si>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</si>
  <si>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</si>
  <si>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</si>
  <si>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</si>
  <si>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</si>
  <si>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</si>
  <si>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</si>
  <si>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</si>
  <si>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</si>
  <si>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</si>
  <si>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</si>
  <si>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</si>
  <si>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</si>
  <si>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</si>
  <si>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</si>
  <si>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</si>
  <si>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</si>
  <si>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</si>
  <si>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</si>
  <si>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</si>
  <si>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</si>
  <si>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</si>
  <si>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</si>
  <si>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</si>
  <si>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</si>
  <si>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</si>
  <si>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</si>
  <si>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</si>
  <si>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</si>
  <si>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</si>
  <si>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</si>
  <si>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</si>
  <si>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</si>
  <si>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</si>
  <si>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</si>
  <si>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</si>
  <si>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</si>
  <si>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</si>
  <si>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</si>
  <si>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</si>
  <si>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</si>
  <si>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</si>
  <si>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</si>
  <si>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</si>
  <si>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</si>
  <si>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</si>
  <si>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</si>
  <si>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</si>
  <si>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</si>
  <si>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</si>
  <si>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</si>
  <si>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</si>
  <si>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</si>
  <si>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</si>
  <si>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</si>
  <si>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</si>
  <si>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</si>
  <si>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</si>
  <si>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</si>
  <si>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</si>
  <si>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</si>
  <si>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</si>
  <si>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</si>
  <si>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</si>
  <si>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</si>
  <si>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</si>
  <si>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</si>
  <si>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</si>
  <si>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</si>
  <si>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</si>
  <si>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</si>
  <si>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</si>
  <si>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</si>
  <si>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</si>
  <si>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</si>
  <si>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</si>
  <si>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</si>
  <si>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</si>
  <si>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</si>
  <si>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</si>
  <si>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</si>
  <si>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</si>
  <si>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</si>
  <si>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</si>
  <si>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</si>
  <si>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</si>
  <si>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</si>
  <si>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</si>
  <si>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</si>
  <si>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</si>
  <si>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</si>
  <si>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</si>
  <si>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</si>
  <si>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</si>
  <si>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</si>
  <si>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</si>
  <si>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</si>
  <si>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</si>
  <si>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</si>
  <si>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</si>
  <si>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</si>
  <si>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</si>
  <si>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</si>
  <si>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</si>
  <si>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</si>
  <si>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</si>
  <si>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</si>
  <si>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</si>
  <si>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</si>
  <si>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</si>
  <si>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Q1-2017</t>
  </si>
  <si>
    <t>Jun-20-2017 11:17</t>
  </si>
  <si>
    <t>Jul-03-2017 08:31</t>
  </si>
  <si>
    <t>201701</t>
  </si>
  <si>
    <t>201702</t>
  </si>
  <si>
    <t>201703</t>
  </si>
  <si>
    <t>201704</t>
  </si>
  <si>
    <t>201705</t>
  </si>
  <si>
    <t>201706</t>
  </si>
  <si>
    <t>FJBLMDP: Mar-30-2017 10:20 FJBLMCP: Mar-30-2017 10:20</t>
  </si>
  <si>
    <t>RESULT: 2047 FJBLMDP: 2047 FJBLMCP: 2047</t>
  </si>
  <si>
    <t>Mar-30-2017 10:20</t>
  </si>
  <si>
    <t>2047</t>
  </si>
  <si>
    <t>HJBDEMMP: Jul-18-2017 12:44 HJBDEMDP: Feb-07-2017 11:47</t>
  </si>
  <si>
    <t>RESULT: 2016 HJBDEMMP: 2016 HJBDEMDP: 2016</t>
  </si>
  <si>
    <t>Jul-18-2017 12:44</t>
  </si>
  <si>
    <t>HJBUDEP: Jul-18-2017 12:44 HJBDEIP: Jul-18-2017 12:44 HJBDEMSP: Jul-18-2017 12:44 HJBDEMMP: Jul-18-2017 12:44 HJBDEMDP: Feb-07-2017 11:47</t>
  </si>
  <si>
    <t>RESULT: 2016 HJBUDEP: 2016 HJBDEIP: 2016 HJBDEMSP: 2016 HJBDEMMP: 2016 HJBDEMDP: 2016</t>
  </si>
  <si>
    <t>2017 [Q2-2017]</t>
  </si>
  <si>
    <t>Jul-18-2017 10:59</t>
  </si>
  <si>
    <t>2017-Q1</t>
  </si>
  <si>
    <t>2017-Q2</t>
  </si>
  <si>
    <t>Q2-2017</t>
  </si>
  <si>
    <t>Aug-04-2017 08:30</t>
  </si>
  <si>
    <t>Aug-04-2017 08:32</t>
  </si>
  <si>
    <t>Aug-01-2017 08:47</t>
  </si>
  <si>
    <t>201707</t>
  </si>
  <si>
    <t>-81.9</t>
  </si>
  <si>
    <t>-82.7</t>
  </si>
  <si>
    <t>-78.5</t>
  </si>
  <si>
    <t>4.4</t>
  </si>
  <si>
    <t>4.0</t>
  </si>
  <si>
    <t>3.4</t>
  </si>
  <si>
    <t>10.5</t>
  </si>
  <si>
    <t>12.7</t>
  </si>
  <si>
    <t>0.0</t>
  </si>
  <si>
    <t>-0.6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</si>
</sst>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2" fontId="0" fillId="0" borderId="0" xfId="0" applyNumberFormat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12000</c:v>
                </c:pt>
                <c:pt idx="101">
                  <c:v>-7000</c:v>
                </c:pt>
                <c:pt idx="102">
                  <c:v>20000</c:v>
                </c:pt>
                <c:pt idx="103">
                  <c:v>-13000</c:v>
                </c:pt>
                <c:pt idx="104">
                  <c:v>38000</c:v>
                </c:pt>
                <c:pt idx="105">
                  <c:v>4000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7666.666666666667</c:v>
                </c:pt>
                <c:pt idx="101">
                  <c:v>6333.333333333333</c:v>
                </c:pt>
                <c:pt idx="102">
                  <c:v>8333.3333333333339</c:v>
                </c:pt>
                <c:pt idx="103">
                  <c:v>0</c:v>
                </c:pt>
                <c:pt idx="104">
                  <c:v>15000</c:v>
                </c:pt>
                <c:pt idx="105">
                  <c:v>9666.6666666666661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-599.99999999990905</c:v>
                </c:pt>
                <c:pt idx="101">
                  <c:v>-3000</c:v>
                </c:pt>
                <c:pt idx="102">
                  <c:v>-2099.9999999999091</c:v>
                </c:pt>
                <c:pt idx="103">
                  <c:v>-2000</c:v>
                </c:pt>
                <c:pt idx="104">
                  <c:v>-800.0000000001819</c:v>
                </c:pt>
                <c:pt idx="105">
                  <c:v>-2199.9999999998181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1933.333333333394</c:v>
                </c:pt>
                <c:pt idx="101" formatCode="0.00">
                  <c:v>-1233.3333333332728</c:v>
                </c:pt>
                <c:pt idx="102" formatCode="0.00">
                  <c:v>-1899.9999999999393</c:v>
                </c:pt>
                <c:pt idx="103" formatCode="0.00">
                  <c:v>-2366.6666666666365</c:v>
                </c:pt>
                <c:pt idx="104" formatCode="0.00">
                  <c:v>-1633.3333333333637</c:v>
                </c:pt>
                <c:pt idx="105" formatCode="0.00">
                  <c:v>-1666.6666666666667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222.8</c:v>
                </c:pt>
                <c:pt idx="21">
                  <c:v>227.6</c:v>
                </c:pt>
                <c:pt idx="22">
                  <c:v>228.3</c:v>
                </c:pt>
                <c:pt idx="23">
                  <c:v>229.9</c:v>
                </c:pt>
                <c:pt idx="24">
                  <c:v>228.4</c:v>
                </c:pt>
                <c:pt idx="25">
                  <c:v>239.2</c:v>
                </c:pt>
                <c:pt idx="26">
                  <c:v>239.8</c:v>
                </c:pt>
                <c:pt idx="27">
                  <c:v>229.9</c:v>
                </c:pt>
                <c:pt idx="28">
                  <c:v>239.5</c:v>
                </c:pt>
                <c:pt idx="29">
                  <c:v>229.4</c:v>
                </c:pt>
                <c:pt idx="30">
                  <c:v>222.2</c:v>
                </c:pt>
                <c:pt idx="31">
                  <c:v>224.7</c:v>
                </c:pt>
                <c:pt idx="32">
                  <c:v>223.4</c:v>
                </c:pt>
                <c:pt idx="33">
                  <c:v>211.1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5.9094369905982214E-2</c:v>
                </c:pt>
                <c:pt idx="47">
                  <c:v>5.5984104435263804E-2</c:v>
                </c:pt>
                <c:pt idx="48">
                  <c:v>5.2734755161523705E-2</c:v>
                </c:pt>
                <c:pt idx="49">
                  <c:v>3.3598286530849203E-2</c:v>
                </c:pt>
                <c:pt idx="50">
                  <c:v>2.4975652571924106E-2</c:v>
                </c:pt>
                <c:pt idx="51">
                  <c:v>1.8858727532701597E-2</c:v>
                </c:pt>
                <c:pt idx="52">
                  <c:v>2.1233823690098103E-2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2.254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5.7629999999999999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4.9450000000000003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11.243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8.918000000000001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76.7</c:v>
                </c:pt>
                <c:pt idx="41">
                  <c:v>78</c:v>
                </c:pt>
                <c:pt idx="42">
                  <c:v>78.8</c:v>
                </c:pt>
                <c:pt idx="43">
                  <c:v>80</c:v>
                </c:pt>
                <c:pt idx="44">
                  <c:v>81.400000000000006</c:v>
                </c:pt>
                <c:pt idx="45">
                  <c:v>82.9</c:v>
                </c:pt>
                <c:pt idx="46">
                  <c:v>84.4</c:v>
                </c:pt>
                <c:pt idx="47">
                  <c:v>85.7</c:v>
                </c:pt>
                <c:pt idx="48">
                  <c:v>87.3</c:v>
                </c:pt>
                <c:pt idx="49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-3.6</c:v>
                </c:pt>
                <c:pt idx="41">
                  <c:v>-2.8</c:v>
                </c:pt>
                <c:pt idx="42">
                  <c:v>-3.3</c:v>
                </c:pt>
                <c:pt idx="43">
                  <c:v>-3.6</c:v>
                </c:pt>
                <c:pt idx="44">
                  <c:v>-4</c:v>
                </c:pt>
                <c:pt idx="45">
                  <c:v>-4.5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-4.7</c:v>
                </c:pt>
                <c:pt idx="49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17.3</c:v>
                </c:pt>
                <c:pt idx="41">
                  <c:v>17.7</c:v>
                </c:pt>
                <c:pt idx="42">
                  <c:v>17.8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21</c:v>
                </c:pt>
                <c:pt idx="41">
                  <c:v>20.5</c:v>
                </c:pt>
                <c:pt idx="42">
                  <c:v>21.2</c:v>
                </c:pt>
                <c:pt idx="43">
                  <c:v>21.6</c:v>
                </c:pt>
                <c:pt idx="44">
                  <c:v>22.1</c:v>
                </c:pt>
                <c:pt idx="45">
                  <c:v>22.6</c:v>
                </c:pt>
                <c:pt idx="46">
                  <c:v>22.6</c:v>
                </c:pt>
                <c:pt idx="47">
                  <c:v>22.6</c:v>
                </c:pt>
                <c:pt idx="48">
                  <c:v>23</c:v>
                </c:pt>
                <c:pt idx="49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0" zoomScaleNormal="100" zoomScaleSheetLayoutView="100" workbookViewId="0">
      <selection activeCell="P17" sqref="P17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9" zoomScale="115" zoomScaleNormal="100" zoomScaleSheetLayoutView="115" workbookViewId="0">
      <selection activeCell="I18" sqref="I18"/>
    </sheetView>
  </sheetViews>
  <sheetFormatPr defaultRowHeight="15"/>
  <cols>
    <col min="1" max="16384" width="9.140625" style="24"/>
  </cols>
  <sheetData>
    <row r="1" spans="1:9" ht="15" customHeight="1"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9" t="s">
        <v>240</v>
      </c>
      <c r="E9" s="129"/>
      <c r="F9" s="129"/>
      <c r="G9" s="129" t="s">
        <v>293</v>
      </c>
      <c r="H9" s="129"/>
      <c r="I9" s="130"/>
    </row>
    <row r="10" spans="1:9">
      <c r="A10" s="77"/>
      <c r="B10" s="78"/>
      <c r="C10" s="78"/>
      <c r="D10" s="129"/>
      <c r="E10" s="129"/>
      <c r="F10" s="129"/>
      <c r="G10" s="129"/>
      <c r="H10" s="129"/>
      <c r="I10" s="130"/>
    </row>
    <row r="11" spans="1:9">
      <c r="A11" s="71" t="s">
        <v>96</v>
      </c>
      <c r="B11" s="66"/>
      <c r="C11" s="66"/>
      <c r="D11" s="66"/>
      <c r="E11" s="100">
        <v>589</v>
      </c>
      <c r="F11" s="68"/>
      <c r="G11" s="91"/>
      <c r="H11" s="126" t="s">
        <v>468</v>
      </c>
      <c r="I11" s="92"/>
    </row>
    <row r="12" spans="1:9">
      <c r="A12" s="70" t="s">
        <v>97</v>
      </c>
      <c r="B12" s="66"/>
      <c r="C12" s="66"/>
      <c r="D12" s="66"/>
      <c r="E12" s="100">
        <v>456</v>
      </c>
      <c r="F12" s="68"/>
      <c r="G12" s="69"/>
      <c r="H12" s="122" t="s">
        <v>469</v>
      </c>
      <c r="I12" s="92"/>
    </row>
    <row r="13" spans="1:9">
      <c r="A13" s="70" t="s">
        <v>98</v>
      </c>
      <c r="B13" s="66"/>
      <c r="C13" s="66"/>
      <c r="D13" s="66"/>
      <c r="E13" s="100">
        <v>133</v>
      </c>
      <c r="F13" s="68"/>
      <c r="G13" s="69"/>
      <c r="H13" s="122" t="s">
        <v>470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663</v>
      </c>
      <c r="F15" s="68"/>
      <c r="G15" s="69"/>
      <c r="H15" s="122" t="s">
        <v>471</v>
      </c>
      <c r="I15" s="92"/>
    </row>
    <row r="16" spans="1:9">
      <c r="A16" s="70" t="s">
        <v>102</v>
      </c>
      <c r="B16" s="66"/>
      <c r="C16" s="66"/>
      <c r="D16" s="66"/>
      <c r="E16" s="100">
        <v>104</v>
      </c>
      <c r="F16" s="68"/>
      <c r="G16" s="69"/>
      <c r="H16" s="122" t="s">
        <v>472</v>
      </c>
      <c r="I16" s="92"/>
    </row>
    <row r="17" spans="1:9">
      <c r="A17" s="70" t="s">
        <v>100</v>
      </c>
      <c r="B17" s="66"/>
      <c r="C17" s="66"/>
      <c r="D17" s="66"/>
      <c r="E17" s="100">
        <v>152</v>
      </c>
      <c r="F17" s="68"/>
      <c r="G17" s="69"/>
      <c r="H17" s="122" t="s">
        <v>473</v>
      </c>
      <c r="I17" s="92"/>
    </row>
    <row r="18" spans="1:9">
      <c r="A18" s="70" t="s">
        <v>99</v>
      </c>
      <c r="B18" s="66"/>
      <c r="C18" s="66"/>
      <c r="D18" s="66"/>
      <c r="E18" s="100">
        <v>126</v>
      </c>
      <c r="F18" s="68"/>
      <c r="G18" s="69"/>
      <c r="H18" s="122" t="s">
        <v>474</v>
      </c>
      <c r="I18" s="92"/>
    </row>
    <row r="19" spans="1:9">
      <c r="A19" s="70" t="s">
        <v>94</v>
      </c>
      <c r="B19" s="66"/>
      <c r="C19" s="66"/>
      <c r="D19" s="66"/>
      <c r="E19" s="100">
        <v>62</v>
      </c>
      <c r="F19" s="68"/>
      <c r="G19" s="69"/>
      <c r="H19" s="122" t="s">
        <v>475</v>
      </c>
      <c r="I19" s="92"/>
    </row>
    <row r="20" spans="1:9">
      <c r="A20" s="70" t="s">
        <v>95</v>
      </c>
      <c r="B20" s="66"/>
      <c r="C20" s="66"/>
      <c r="D20" s="66"/>
      <c r="E20" s="100">
        <v>48</v>
      </c>
      <c r="F20" s="68"/>
      <c r="G20" s="69"/>
      <c r="H20" s="127" t="s">
        <v>476</v>
      </c>
      <c r="I20" s="92"/>
    </row>
    <row r="21" spans="1:9">
      <c r="A21" s="72" t="s">
        <v>101</v>
      </c>
      <c r="B21" s="73"/>
      <c r="C21" s="73"/>
      <c r="D21" s="73"/>
      <c r="E21" s="102">
        <v>170</v>
      </c>
      <c r="F21" s="75"/>
      <c r="G21" s="76"/>
      <c r="H21" s="123" t="s">
        <v>477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topLeftCell="A13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76" zoomScale="85" zoomScaleNormal="85" workbookViewId="0">
      <selection activeCell="P15" sqref="P15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201708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464</v>
      </c>
      <c r="D6" t="s">
        <v>464</v>
      </c>
      <c r="E6" t="s">
        <v>464</v>
      </c>
      <c r="F6" t="s">
        <v>465</v>
      </c>
      <c r="G6" s="19" t="s">
        <v>466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O7" s="13"/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3">
        <f>C7+D7</f>
        <v>19777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O9" s="13">
        <f t="shared" ref="O9:O72" si="3">C8+D8</f>
        <v>19782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O10" s="13">
        <f t="shared" si="3"/>
        <v>19781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4">IF(L10&lt;&gt;"", IF(L11&lt;&gt;"", AVERAGE(L9:L11), ""), "")</f>
        <v>6166.6666666665915</v>
      </c>
      <c r="N11" s="14"/>
      <c r="O11" s="13">
        <f t="shared" si="3"/>
        <v>19793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4"/>
        <v>5466.666666666697</v>
      </c>
      <c r="N12" s="14"/>
      <c r="O12" s="13">
        <f t="shared" si="3"/>
        <v>19781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4"/>
        <v>6766.666666666727</v>
      </c>
      <c r="N13" s="14"/>
      <c r="O13" s="13">
        <f t="shared" si="3"/>
        <v>19763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4"/>
        <v>6800.00000000003</v>
      </c>
      <c r="N14" s="14"/>
      <c r="O14" s="13">
        <f t="shared" si="3"/>
        <v>19755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4"/>
        <v>12333.333333333334</v>
      </c>
      <c r="N15" s="14"/>
      <c r="O15" s="13">
        <f t="shared" si="3"/>
        <v>19757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4"/>
        <v>13666.666666666666</v>
      </c>
      <c r="N16" s="14"/>
      <c r="O16" s="13">
        <f t="shared" si="3"/>
        <v>19762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4"/>
        <v>14033.333333333305</v>
      </c>
      <c r="N17" s="14"/>
      <c r="O17" s="13">
        <f t="shared" si="3"/>
        <v>19695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4"/>
        <v>9533.333333333303</v>
      </c>
      <c r="N18" s="14"/>
      <c r="O18" s="13">
        <f t="shared" si="3"/>
        <v>19712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4"/>
        <v>7933.3333333332421</v>
      </c>
      <c r="N19" s="14"/>
      <c r="O19" s="13">
        <f t="shared" si="3"/>
        <v>19625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4"/>
        <v>7100.0000000000609</v>
      </c>
      <c r="N20" s="14"/>
      <c r="O20" s="13">
        <f t="shared" si="3"/>
        <v>19681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4"/>
        <v>8866.666666666637</v>
      </c>
      <c r="N21" s="14"/>
      <c r="O21" s="13">
        <f t="shared" si="3"/>
        <v>19691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4"/>
        <v>6699.99999999997</v>
      </c>
      <c r="N22" s="14"/>
      <c r="O22" s="13">
        <f t="shared" si="3"/>
        <v>19651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4"/>
        <v>6266.666666666727</v>
      </c>
      <c r="N23" s="14"/>
      <c r="O23" s="13">
        <f t="shared" si="3"/>
        <v>19631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4"/>
        <v>5433.333333333394</v>
      </c>
      <c r="N24" s="14"/>
      <c r="O24" s="13">
        <f t="shared" si="3"/>
        <v>19604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4"/>
        <v>3200.0000000001214</v>
      </c>
      <c r="N25" s="14"/>
      <c r="O25" s="13">
        <f t="shared" si="3"/>
        <v>19595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4"/>
        <v>9433.333333333243</v>
      </c>
      <c r="N26" s="14"/>
      <c r="O26" s="13">
        <f t="shared" si="3"/>
        <v>19585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4"/>
        <v>7766.666666666727</v>
      </c>
      <c r="N27" s="14"/>
      <c r="O27" s="13">
        <f t="shared" si="3"/>
        <v>19580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4"/>
        <v>10366.666666666637</v>
      </c>
      <c r="N28" s="14"/>
      <c r="O28" s="13">
        <f t="shared" si="3"/>
        <v>19547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4"/>
        <v>4466.666666666697</v>
      </c>
      <c r="N29" s="14"/>
      <c r="O29" s="13">
        <f t="shared" si="3"/>
        <v>19518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4"/>
        <v>4533.333333333303</v>
      </c>
      <c r="N30" s="14"/>
      <c r="O30" s="13">
        <f t="shared" si="3"/>
        <v>19475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4"/>
        <v>4199.99999999997</v>
      </c>
      <c r="N31" s="14"/>
      <c r="O31" s="13">
        <f t="shared" si="3"/>
        <v>19378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4"/>
        <v>3000</v>
      </c>
      <c r="N32" s="14"/>
      <c r="O32" s="13">
        <f t="shared" si="3"/>
        <v>19431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4"/>
        <v>4199.99999999997</v>
      </c>
      <c r="N33" s="14"/>
      <c r="O33" s="13">
        <f t="shared" si="3"/>
        <v>19421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4"/>
        <v>5033.333333333303</v>
      </c>
      <c r="N34" s="14"/>
      <c r="O34" s="13">
        <f t="shared" si="3"/>
        <v>19396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4"/>
        <v>4733.333333333273</v>
      </c>
      <c r="N35" s="14"/>
      <c r="O35" s="13">
        <f t="shared" si="3"/>
        <v>19384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4"/>
        <v>4266.666666666727</v>
      </c>
      <c r="N36" s="14"/>
      <c r="O36" s="13">
        <f t="shared" si="3"/>
        <v>19339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4"/>
        <v>1933.333333333394</v>
      </c>
      <c r="N37" s="14"/>
      <c r="O37" s="13">
        <f t="shared" si="3"/>
        <v>19315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4"/>
        <v>1800.0000000000302</v>
      </c>
      <c r="N38" s="14"/>
      <c r="O38" s="13">
        <f t="shared" si="3"/>
        <v>19314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4"/>
        <v>-1600.0000000000607</v>
      </c>
      <c r="N39" s="14"/>
      <c r="O39" s="13">
        <f t="shared" si="3"/>
        <v>19258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4"/>
        <v>-2533.333333333303</v>
      </c>
      <c r="N40" s="14"/>
      <c r="O40" s="13">
        <f t="shared" si="3"/>
        <v>19304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4"/>
        <v>-4099.9999999999091</v>
      </c>
      <c r="N41" s="14"/>
      <c r="O41" s="13">
        <f t="shared" si="3"/>
        <v>19187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4"/>
        <v>-1699.9999999999698</v>
      </c>
      <c r="N42" s="14"/>
      <c r="O42" s="13">
        <f t="shared" si="3"/>
        <v>19167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4"/>
        <v>-866.66666666678793</v>
      </c>
      <c r="N43" s="14"/>
      <c r="O43" s="13">
        <f t="shared" si="3"/>
        <v>19137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4"/>
        <v>-633.33333333336361</v>
      </c>
      <c r="N44" s="14"/>
      <c r="O44" s="13">
        <f t="shared" si="3"/>
        <v>19148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4"/>
        <v>-1966.666666666697</v>
      </c>
      <c r="N45" s="14"/>
      <c r="O45" s="13">
        <f t="shared" si="3"/>
        <v>19129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4"/>
        <v>-3633.3333333332121</v>
      </c>
      <c r="N46" s="14"/>
      <c r="O46" s="13">
        <f t="shared" si="3"/>
        <v>19118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4"/>
        <v>-3366.6666666666365</v>
      </c>
      <c r="N47" s="14"/>
      <c r="O47" s="13">
        <f t="shared" si="3"/>
        <v>19113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4"/>
        <v>-2066.666666666606</v>
      </c>
      <c r="N48" s="14"/>
      <c r="O48" s="13">
        <f t="shared" si="3"/>
        <v>19119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4"/>
        <v>-833.33333333333337</v>
      </c>
      <c r="N49" s="14"/>
      <c r="O49" s="13">
        <f t="shared" si="3"/>
        <v>19115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4"/>
        <v>-533.33333333345456</v>
      </c>
      <c r="N50" s="14"/>
      <c r="O50" s="13">
        <f t="shared" si="3"/>
        <v>19105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4"/>
        <v>-300.0000000000303</v>
      </c>
      <c r="N51" s="22"/>
      <c r="O51" s="13">
        <f t="shared" si="3"/>
        <v>19088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4"/>
        <v>-2500</v>
      </c>
      <c r="N52" s="14"/>
      <c r="O52" s="13">
        <f t="shared" si="3"/>
        <v>19106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4"/>
        <v>466.66666666669698</v>
      </c>
      <c r="N53" s="14"/>
      <c r="O53" s="13">
        <f t="shared" si="3"/>
        <v>19098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4"/>
        <v>1800.0000000000302</v>
      </c>
      <c r="N54" s="14"/>
      <c r="O54" s="13">
        <f t="shared" si="3"/>
        <v>19096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4"/>
        <v>3599.9999999999091</v>
      </c>
      <c r="N55" s="14"/>
      <c r="O55" s="13">
        <f t="shared" si="3"/>
        <v>19103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4"/>
        <v>-500</v>
      </c>
      <c r="N56" s="14"/>
      <c r="O56" s="13">
        <f t="shared" si="3"/>
        <v>19079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4"/>
        <v>-2800.0000000000305</v>
      </c>
      <c r="N57" s="14"/>
      <c r="O57" s="13">
        <f t="shared" si="3"/>
        <v>19074</v>
      </c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4"/>
        <v>-3266.6666666665756</v>
      </c>
      <c r="N58" s="14"/>
      <c r="O58" s="13">
        <f t="shared" si="3"/>
        <v>19081</v>
      </c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4"/>
        <v>-1533.333333333303</v>
      </c>
      <c r="N59" s="14"/>
      <c r="O59" s="13">
        <f t="shared" si="3"/>
        <v>19064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4"/>
        <v>-2000</v>
      </c>
      <c r="N60" s="14"/>
      <c r="O60" s="13">
        <f t="shared" si="3"/>
        <v>19080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4"/>
        <v>-3833.3333333333335</v>
      </c>
      <c r="N61" s="14"/>
      <c r="O61" s="13">
        <f t="shared" si="3"/>
        <v>19076</v>
      </c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4"/>
        <v>-7199.99999999997</v>
      </c>
      <c r="N62" s="14"/>
      <c r="O62" s="13">
        <f t="shared" si="3"/>
        <v>19079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4"/>
        <v>-8600.00000000006</v>
      </c>
      <c r="N63" s="14"/>
      <c r="O63" s="13">
        <f t="shared" si="3"/>
        <v>19080</v>
      </c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4"/>
        <v>-7900.0000000000909</v>
      </c>
      <c r="N64" s="14"/>
      <c r="O64" s="13">
        <f t="shared" si="3"/>
        <v>19069</v>
      </c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4"/>
        <v>-7000</v>
      </c>
      <c r="N65" s="14"/>
      <c r="O65" s="13">
        <f t="shared" si="3"/>
        <v>19053</v>
      </c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4"/>
        <v>-5666.666666666667</v>
      </c>
      <c r="N66" s="14"/>
      <c r="O66" s="13">
        <f t="shared" si="3"/>
        <v>19079</v>
      </c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4"/>
        <v>-5633.333333333364</v>
      </c>
      <c r="N67" s="14"/>
      <c r="O67" s="13">
        <f t="shared" si="3"/>
        <v>19087</v>
      </c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4"/>
        <v>-3066.6666666667575</v>
      </c>
      <c r="N68" s="14"/>
      <c r="O68" s="13">
        <f t="shared" si="3"/>
        <v>19093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4"/>
        <v>-4033.333333333303</v>
      </c>
      <c r="N69" s="14"/>
      <c r="O69" s="13">
        <f t="shared" si="3"/>
        <v>19102</v>
      </c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4"/>
        <v>-2733.3333333332725</v>
      </c>
      <c r="N70" s="14"/>
      <c r="O70" s="13">
        <f t="shared" si="3"/>
        <v>19081</v>
      </c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4"/>
        <v>-4399.9999999999391</v>
      </c>
      <c r="N71" s="14"/>
      <c r="O71" s="13">
        <f t="shared" si="3"/>
        <v>19072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4"/>
        <v>-3100.0000000000605</v>
      </c>
      <c r="N72" s="14"/>
      <c r="O72" s="13">
        <f t="shared" si="3"/>
        <v>19088</v>
      </c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5">IF(C73&lt;&gt;"", ((C73+D73)-(C72+D72))*1000, "")</f>
        <v>33000</v>
      </c>
      <c r="J73" s="30">
        <f t="shared" ref="J73:J133" si="6">IF(I72&lt;&gt;"", IF(I73&lt;&gt;"", (AVERAGE(I71:I73)), ""), "")</f>
        <v>20333.333333333332</v>
      </c>
      <c r="K73" s="34"/>
      <c r="L73" s="37">
        <f t="shared" ref="L73:L133" si="7">IF(E73&lt;&gt;"", ((E73-F73)-(E72-F72))*1000, "")</f>
        <v>-3399.9999999996362</v>
      </c>
      <c r="M73" s="60">
        <f t="shared" si="4"/>
        <v>-3066.666666666606</v>
      </c>
      <c r="N73" s="14"/>
      <c r="O73" s="13">
        <f t="shared" ref="O73:O112" si="8">C72+D72</f>
        <v>19100</v>
      </c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5"/>
        <v>-7000</v>
      </c>
      <c r="J74" s="30">
        <f t="shared" si="6"/>
        <v>12666.666666666666</v>
      </c>
      <c r="K74" s="34"/>
      <c r="L74" s="37">
        <f t="shared" si="7"/>
        <v>199.9999999998181</v>
      </c>
      <c r="M74" s="60">
        <f t="shared" si="4"/>
        <v>-1666.6666666666667</v>
      </c>
      <c r="N74" s="14"/>
      <c r="O74" s="13">
        <f t="shared" si="8"/>
        <v>19133</v>
      </c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5"/>
        <v>43000</v>
      </c>
      <c r="J75" s="30">
        <f t="shared" si="6"/>
        <v>23000</v>
      </c>
      <c r="K75" s="34"/>
      <c r="L75" s="37">
        <f t="shared" si="7"/>
        <v>699.9999999998181</v>
      </c>
      <c r="M75" s="60">
        <f t="shared" ref="M75:M133" si="9">IF(L74&lt;&gt;"", IF(L75&lt;&gt;"", AVERAGE(L73:L75), ""), "")</f>
        <v>-833.33333333333337</v>
      </c>
      <c r="N75" s="14"/>
      <c r="O75" s="13">
        <f t="shared" si="8"/>
        <v>19126</v>
      </c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5"/>
        <v>-27000</v>
      </c>
      <c r="J76" s="30">
        <f t="shared" si="6"/>
        <v>3000</v>
      </c>
      <c r="K76" s="34"/>
      <c r="L76" s="37">
        <f t="shared" si="7"/>
        <v>3500</v>
      </c>
      <c r="M76" s="60">
        <f t="shared" si="9"/>
        <v>1466.6666666665453</v>
      </c>
      <c r="N76" s="14"/>
      <c r="O76" s="13">
        <f t="shared" si="8"/>
        <v>19169</v>
      </c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5"/>
        <v>-12000</v>
      </c>
      <c r="J77" s="30">
        <f t="shared" si="6"/>
        <v>1333.3333333333333</v>
      </c>
      <c r="K77" s="34"/>
      <c r="L77" s="37">
        <f t="shared" si="7"/>
        <v>3700.0000000002728</v>
      </c>
      <c r="M77" s="60">
        <f t="shared" si="9"/>
        <v>2633.3333333333635</v>
      </c>
      <c r="N77" s="14"/>
      <c r="O77" s="13">
        <f t="shared" si="8"/>
        <v>19142</v>
      </c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5"/>
        <v>42000</v>
      </c>
      <c r="J78" s="30">
        <f t="shared" si="6"/>
        <v>1000</v>
      </c>
      <c r="K78" s="34"/>
      <c r="L78" s="37">
        <f t="shared" si="7"/>
        <v>-800.0000000001819</v>
      </c>
      <c r="M78" s="60">
        <f t="shared" si="9"/>
        <v>2133.3333333333635</v>
      </c>
      <c r="N78" s="14"/>
      <c r="O78" s="13">
        <f t="shared" si="8"/>
        <v>19130</v>
      </c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5"/>
        <v>12000</v>
      </c>
      <c r="J79" s="30">
        <f>IF(I78&lt;&gt;"", IF(I79&lt;&gt;"", (AVERAGE(I77:I79)), ""), "")</f>
        <v>14000</v>
      </c>
      <c r="K79" s="34"/>
      <c r="L79" s="37">
        <f t="shared" si="7"/>
        <v>2800.0000000001819</v>
      </c>
      <c r="M79" s="60">
        <f t="shared" si="9"/>
        <v>1900.0000000000909</v>
      </c>
      <c r="N79" s="14"/>
      <c r="O79" s="13">
        <f t="shared" si="8"/>
        <v>19172</v>
      </c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5"/>
        <v>6000</v>
      </c>
      <c r="J80" s="30">
        <f t="shared" si="6"/>
        <v>20000</v>
      </c>
      <c r="K80" s="34"/>
      <c r="L80" s="37">
        <f t="shared" si="7"/>
        <v>1199.9999999998181</v>
      </c>
      <c r="M80" s="60">
        <f t="shared" si="9"/>
        <v>1066.666666666606</v>
      </c>
      <c r="N80" s="14"/>
      <c r="O80" s="13">
        <f t="shared" si="8"/>
        <v>19184</v>
      </c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5"/>
        <v>14000</v>
      </c>
      <c r="J81" s="30">
        <f t="shared" si="6"/>
        <v>10666.666666666666</v>
      </c>
      <c r="K81" s="34"/>
      <c r="L81" s="37">
        <f t="shared" si="7"/>
        <v>400.00000000009095</v>
      </c>
      <c r="M81" s="60">
        <f t="shared" si="9"/>
        <v>1466.666666666697</v>
      </c>
      <c r="N81" s="14"/>
      <c r="O81" s="13">
        <f t="shared" si="8"/>
        <v>19190</v>
      </c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5"/>
        <v>5000</v>
      </c>
      <c r="J82" s="30">
        <f t="shared" si="6"/>
        <v>8333.3333333333339</v>
      </c>
      <c r="K82" s="34"/>
      <c r="L82" s="37">
        <f t="shared" si="7"/>
        <v>3900.0000000000909</v>
      </c>
      <c r="M82" s="60">
        <f t="shared" si="9"/>
        <v>1833.3333333333333</v>
      </c>
      <c r="N82" s="14"/>
      <c r="O82" s="13">
        <f t="shared" si="8"/>
        <v>19204</v>
      </c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5"/>
        <v>14000</v>
      </c>
      <c r="J83" s="30">
        <f t="shared" si="6"/>
        <v>11000</v>
      </c>
      <c r="K83" s="34"/>
      <c r="L83" s="37">
        <f t="shared" si="7"/>
        <v>1500</v>
      </c>
      <c r="M83" s="60">
        <f t="shared" si="9"/>
        <v>1933.333333333394</v>
      </c>
      <c r="N83" s="14"/>
      <c r="O83" s="13">
        <f t="shared" si="8"/>
        <v>19209</v>
      </c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5"/>
        <v>-12000</v>
      </c>
      <c r="J84" s="30">
        <f t="shared" si="6"/>
        <v>2333.3333333333335</v>
      </c>
      <c r="K84" s="34"/>
      <c r="L84" s="37">
        <f t="shared" si="7"/>
        <v>1699.9999999998181</v>
      </c>
      <c r="M84" s="60">
        <f t="shared" si="9"/>
        <v>2366.6666666666365</v>
      </c>
      <c r="N84" s="14"/>
      <c r="O84" s="13">
        <f t="shared" si="8"/>
        <v>19223</v>
      </c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5"/>
        <v>25000</v>
      </c>
      <c r="J85" s="30">
        <f t="shared" si="6"/>
        <v>9000</v>
      </c>
      <c r="K85" s="34"/>
      <c r="L85" s="37">
        <f t="shared" si="7"/>
        <v>2000</v>
      </c>
      <c r="M85" s="60">
        <f t="shared" si="9"/>
        <v>1733.3333333332728</v>
      </c>
      <c r="N85" s="14"/>
      <c r="O85" s="13">
        <f t="shared" si="8"/>
        <v>19211</v>
      </c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5"/>
        <v>17000</v>
      </c>
      <c r="J86" s="30">
        <f t="shared" si="6"/>
        <v>10000</v>
      </c>
      <c r="K86" s="34"/>
      <c r="L86" s="37">
        <f t="shared" si="7"/>
        <v>2700.0000000002728</v>
      </c>
      <c r="M86" s="60">
        <f t="shared" si="9"/>
        <v>2133.3333333333635</v>
      </c>
      <c r="N86" s="14"/>
      <c r="O86" s="13">
        <f t="shared" si="8"/>
        <v>19236</v>
      </c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5"/>
        <v>12000</v>
      </c>
      <c r="J87" s="30">
        <f t="shared" si="6"/>
        <v>18000</v>
      </c>
      <c r="K87" s="34"/>
      <c r="L87" s="37">
        <f t="shared" si="7"/>
        <v>-1800.0000000001819</v>
      </c>
      <c r="M87" s="60">
        <f t="shared" si="9"/>
        <v>966.66666666669698</v>
      </c>
      <c r="N87" s="14"/>
      <c r="O87" s="13">
        <f t="shared" si="8"/>
        <v>19253</v>
      </c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5"/>
        <v>10000</v>
      </c>
      <c r="J88" s="30">
        <f t="shared" si="6"/>
        <v>13000</v>
      </c>
      <c r="K88" s="34"/>
      <c r="L88" s="37">
        <f t="shared" si="7"/>
        <v>3599.9999999999091</v>
      </c>
      <c r="M88" s="60">
        <f t="shared" si="9"/>
        <v>1500</v>
      </c>
      <c r="N88" s="14"/>
      <c r="O88" s="13">
        <f t="shared" si="8"/>
        <v>19265</v>
      </c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5"/>
        <v>38000</v>
      </c>
      <c r="J89" s="30">
        <f t="shared" si="6"/>
        <v>20000</v>
      </c>
      <c r="K89" s="34"/>
      <c r="L89" s="37">
        <f t="shared" si="7"/>
        <v>3700.0000000002728</v>
      </c>
      <c r="M89" s="60">
        <f t="shared" si="9"/>
        <v>1833.3333333333333</v>
      </c>
      <c r="N89" s="14"/>
      <c r="O89" s="13">
        <f t="shared" si="8"/>
        <v>19275</v>
      </c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5"/>
        <v>-17000</v>
      </c>
      <c r="J90" s="30">
        <f t="shared" si="6"/>
        <v>10333.333333333334</v>
      </c>
      <c r="K90" s="34"/>
      <c r="L90" s="37">
        <f t="shared" si="7"/>
        <v>1099.9999999999091</v>
      </c>
      <c r="M90" s="60">
        <f t="shared" si="9"/>
        <v>2800.0000000000305</v>
      </c>
      <c r="N90" s="14"/>
      <c r="O90" s="13">
        <f t="shared" si="8"/>
        <v>19313</v>
      </c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5"/>
        <v>9000</v>
      </c>
      <c r="J91" s="30">
        <f t="shared" si="6"/>
        <v>10000</v>
      </c>
      <c r="K91" s="34"/>
      <c r="L91" s="37">
        <f t="shared" si="7"/>
        <v>-300.0000000001819</v>
      </c>
      <c r="M91" s="60">
        <f t="shared" si="9"/>
        <v>1500</v>
      </c>
      <c r="N91" s="14"/>
      <c r="O91" s="13">
        <f t="shared" si="8"/>
        <v>19296</v>
      </c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5"/>
        <v>5000</v>
      </c>
      <c r="J92" s="30">
        <f t="shared" si="6"/>
        <v>-1000</v>
      </c>
      <c r="K92" s="34"/>
      <c r="L92" s="37">
        <f t="shared" si="7"/>
        <v>2500</v>
      </c>
      <c r="M92" s="60">
        <f t="shared" si="9"/>
        <v>1099.9999999999091</v>
      </c>
      <c r="N92" s="14"/>
      <c r="O92" s="13">
        <f t="shared" si="8"/>
        <v>19305</v>
      </c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5"/>
        <v>14000</v>
      </c>
      <c r="J93" s="30">
        <f t="shared" si="6"/>
        <v>9333.3333333333339</v>
      </c>
      <c r="K93" s="34"/>
      <c r="L93" s="37">
        <f t="shared" si="7"/>
        <v>3300.0000000001819</v>
      </c>
      <c r="M93" s="60">
        <f t="shared" si="9"/>
        <v>1833.3333333333333</v>
      </c>
      <c r="N93" s="14"/>
      <c r="O93" s="13">
        <f t="shared" si="8"/>
        <v>19310</v>
      </c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O94" s="13">
        <f t="shared" si="8"/>
        <v>19324</v>
      </c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5"/>
        <v>10000</v>
      </c>
      <c r="J95" s="30">
        <f>IF(I94&lt;&gt;"", IF(I95&lt;&gt;"", (AVERAGE(I93:I95)), ""), "")</f>
        <v>14333.333333333334</v>
      </c>
      <c r="K95" s="34"/>
      <c r="L95" s="37">
        <f t="shared" si="7"/>
        <v>1300.0000000001819</v>
      </c>
      <c r="M95" s="60">
        <f>IF(L94&lt;&gt;"", IF(L95&lt;&gt;"", AVERAGE(L93:L95), ""), "")</f>
        <v>2300.0000000000305</v>
      </c>
      <c r="N95" s="14"/>
      <c r="O95" s="13">
        <f t="shared" si="8"/>
        <v>19343</v>
      </c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5"/>
        <v>32000</v>
      </c>
      <c r="J96" s="30">
        <f t="shared" si="6"/>
        <v>20333.333333333332</v>
      </c>
      <c r="K96" s="34"/>
      <c r="L96" s="37">
        <f t="shared" si="7"/>
        <v>1599.9999999999091</v>
      </c>
      <c r="M96" s="60">
        <f t="shared" si="9"/>
        <v>1733.3333333332728</v>
      </c>
      <c r="N96" s="14"/>
      <c r="O96" s="13">
        <f t="shared" si="8"/>
        <v>19353</v>
      </c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5"/>
        <v>7000</v>
      </c>
      <c r="J97" s="30">
        <f t="shared" si="6"/>
        <v>16333.333333333334</v>
      </c>
      <c r="K97" s="34"/>
      <c r="L97" s="37">
        <f t="shared" si="7"/>
        <v>3500</v>
      </c>
      <c r="M97" s="60">
        <f t="shared" si="9"/>
        <v>2133.3333333333635</v>
      </c>
      <c r="N97" s="14"/>
      <c r="O97" s="13">
        <f t="shared" si="8"/>
        <v>19385</v>
      </c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5"/>
        <v>4000</v>
      </c>
      <c r="J98" s="30">
        <f t="shared" si="6"/>
        <v>14333.333333333334</v>
      </c>
      <c r="K98" s="34"/>
      <c r="L98" s="37">
        <f t="shared" si="7"/>
        <v>3400.0000000000909</v>
      </c>
      <c r="M98" s="60">
        <f t="shared" si="9"/>
        <v>2833.3333333333335</v>
      </c>
      <c r="N98" s="14"/>
      <c r="O98" s="13">
        <f t="shared" si="8"/>
        <v>19392</v>
      </c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5"/>
        <v>21000</v>
      </c>
      <c r="J99" s="30">
        <f t="shared" si="6"/>
        <v>10666.666666666666</v>
      </c>
      <c r="K99" s="34"/>
      <c r="L99" s="37">
        <f t="shared" si="7"/>
        <v>5900.0000000000909</v>
      </c>
      <c r="M99" s="60">
        <f t="shared" si="9"/>
        <v>4266.666666666727</v>
      </c>
      <c r="N99" s="14"/>
      <c r="O99" s="13">
        <f t="shared" si="8"/>
        <v>19396</v>
      </c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5"/>
        <v>38000</v>
      </c>
      <c r="J100" s="30">
        <f t="shared" si="6"/>
        <v>21000</v>
      </c>
      <c r="K100" s="34"/>
      <c r="L100" s="37">
        <f t="shared" si="7"/>
        <v>2900.0000000000909</v>
      </c>
      <c r="M100" s="60">
        <f t="shared" si="9"/>
        <v>4066.6666666667575</v>
      </c>
      <c r="N100" s="14"/>
      <c r="O100" s="13">
        <f t="shared" si="8"/>
        <v>19417</v>
      </c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5"/>
        <v>30000</v>
      </c>
      <c r="J101" s="30">
        <f t="shared" si="6"/>
        <v>29666.666666666668</v>
      </c>
      <c r="K101" s="34"/>
      <c r="L101" s="37">
        <f t="shared" si="7"/>
        <v>799.99999999972715</v>
      </c>
      <c r="M101" s="60">
        <f t="shared" si="9"/>
        <v>3199.9999999999695</v>
      </c>
      <c r="N101" s="14"/>
      <c r="O101" s="13">
        <f t="shared" si="8"/>
        <v>19455</v>
      </c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5"/>
        <v>20000</v>
      </c>
      <c r="J102" s="30">
        <f t="shared" si="6"/>
        <v>29333.333333333332</v>
      </c>
      <c r="K102" s="34"/>
      <c r="L102" s="37">
        <f t="shared" si="7"/>
        <v>4500</v>
      </c>
      <c r="M102" s="60">
        <f t="shared" si="9"/>
        <v>2733.3333333332725</v>
      </c>
      <c r="N102" s="14"/>
      <c r="O102" s="13">
        <f t="shared" si="8"/>
        <v>19485</v>
      </c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5"/>
        <v>-14000</v>
      </c>
      <c r="J103" s="30">
        <f t="shared" si="6"/>
        <v>12000</v>
      </c>
      <c r="K103" s="34"/>
      <c r="L103" s="37">
        <f t="shared" si="7"/>
        <v>5599.9999999999091</v>
      </c>
      <c r="M103" s="60">
        <f t="shared" si="9"/>
        <v>3633.3333333332121</v>
      </c>
      <c r="N103" s="14"/>
      <c r="O103" s="13">
        <f t="shared" si="8"/>
        <v>19505</v>
      </c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5"/>
        <v>-8000</v>
      </c>
      <c r="J104" s="30">
        <f t="shared" si="6"/>
        <v>-666.66666666666663</v>
      </c>
      <c r="K104" s="34"/>
      <c r="L104" s="37">
        <f t="shared" si="7"/>
        <v>-8500</v>
      </c>
      <c r="M104" s="60">
        <f t="shared" si="9"/>
        <v>533.33333333330302</v>
      </c>
      <c r="N104" s="14"/>
      <c r="O104" s="13">
        <f t="shared" si="8"/>
        <v>19491</v>
      </c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5"/>
        <v>-3000</v>
      </c>
      <c r="J105" s="30">
        <f t="shared" si="6"/>
        <v>-8333.3333333333339</v>
      </c>
      <c r="K105" s="34"/>
      <c r="L105" s="37">
        <f t="shared" si="7"/>
        <v>6500</v>
      </c>
      <c r="M105" s="60">
        <f t="shared" si="9"/>
        <v>1199.9999999999698</v>
      </c>
      <c r="N105" s="14"/>
      <c r="O105" s="13">
        <f t="shared" si="8"/>
        <v>19483</v>
      </c>
      <c r="R105" s="13"/>
    </row>
    <row r="106" spans="1:18">
      <c r="A106" s="7" t="s">
        <v>444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5"/>
        <v>14000</v>
      </c>
      <c r="J106" s="30">
        <f t="shared" si="6"/>
        <v>1000</v>
      </c>
      <c r="K106" s="34"/>
      <c r="L106" s="37">
        <f t="shared" si="7"/>
        <v>-99.999999999909051</v>
      </c>
      <c r="M106" s="60">
        <f t="shared" si="9"/>
        <v>-699.99999999996965</v>
      </c>
      <c r="N106" s="14"/>
      <c r="O106" s="13">
        <f t="shared" si="8"/>
        <v>19480</v>
      </c>
      <c r="R106" s="22"/>
    </row>
    <row r="107" spans="1:18">
      <c r="A107" s="7" t="s">
        <v>445</v>
      </c>
      <c r="B107" s="12">
        <v>42794</v>
      </c>
      <c r="C107" s="13">
        <v>5093</v>
      </c>
      <c r="D107" s="13">
        <v>14413</v>
      </c>
      <c r="E107" s="22">
        <v>2199</v>
      </c>
      <c r="F107" s="13">
        <v>0</v>
      </c>
      <c r="G107" s="13">
        <v>0</v>
      </c>
      <c r="H107" s="13"/>
      <c r="I107" s="30">
        <f t="shared" si="5"/>
        <v>12000</v>
      </c>
      <c r="J107" s="30">
        <f t="shared" si="6"/>
        <v>7666.666666666667</v>
      </c>
      <c r="K107" s="34"/>
      <c r="L107" s="37">
        <f t="shared" si="7"/>
        <v>-599.99999999990905</v>
      </c>
      <c r="M107" s="60">
        <f t="shared" si="9"/>
        <v>1933.333333333394</v>
      </c>
      <c r="N107" s="14"/>
      <c r="O107" s="13">
        <f t="shared" si="8"/>
        <v>19494</v>
      </c>
      <c r="R107" s="13"/>
    </row>
    <row r="108" spans="1:18">
      <c r="A108" s="7" t="s">
        <v>446</v>
      </c>
      <c r="B108" s="12">
        <v>42825</v>
      </c>
      <c r="C108" s="13">
        <v>5094</v>
      </c>
      <c r="D108" s="13">
        <v>14405</v>
      </c>
      <c r="E108" s="22">
        <v>2196</v>
      </c>
      <c r="F108" s="13">
        <v>0</v>
      </c>
      <c r="G108" s="13">
        <v>0</v>
      </c>
      <c r="H108" s="13"/>
      <c r="I108" s="30">
        <f t="shared" si="5"/>
        <v>-7000</v>
      </c>
      <c r="J108" s="30">
        <f t="shared" si="6"/>
        <v>6333.333333333333</v>
      </c>
      <c r="K108" s="34"/>
      <c r="L108" s="37">
        <f t="shared" si="7"/>
        <v>-3000</v>
      </c>
      <c r="M108" s="60">
        <f t="shared" si="9"/>
        <v>-1233.3333333332728</v>
      </c>
      <c r="N108" s="14"/>
      <c r="O108" s="13">
        <f t="shared" si="8"/>
        <v>19506</v>
      </c>
      <c r="R108" s="22"/>
    </row>
    <row r="109" spans="1:18">
      <c r="A109" s="7" t="s">
        <v>447</v>
      </c>
      <c r="B109" s="12">
        <v>42855</v>
      </c>
      <c r="C109" s="13">
        <v>5091</v>
      </c>
      <c r="D109" s="13">
        <v>14428</v>
      </c>
      <c r="E109" s="22">
        <v>2193.9</v>
      </c>
      <c r="F109" s="13">
        <v>0</v>
      </c>
      <c r="G109" s="13">
        <v>0</v>
      </c>
      <c r="H109" s="13"/>
      <c r="I109" s="30">
        <f t="shared" si="5"/>
        <v>20000</v>
      </c>
      <c r="J109" s="30">
        <f t="shared" si="6"/>
        <v>8333.3333333333339</v>
      </c>
      <c r="K109" s="34"/>
      <c r="L109" s="37">
        <f t="shared" si="7"/>
        <v>-2099.9999999999091</v>
      </c>
      <c r="M109" s="60">
        <f t="shared" si="9"/>
        <v>-1899.9999999999393</v>
      </c>
      <c r="N109" s="14"/>
      <c r="O109" s="13">
        <f t="shared" si="8"/>
        <v>19499</v>
      </c>
      <c r="R109" s="13"/>
    </row>
    <row r="110" spans="1:18">
      <c r="A110" s="7" t="s">
        <v>448</v>
      </c>
      <c r="B110" s="12">
        <v>42886</v>
      </c>
      <c r="C110" s="13">
        <v>5091</v>
      </c>
      <c r="D110" s="13">
        <v>14415</v>
      </c>
      <c r="E110" s="22">
        <v>2191.9</v>
      </c>
      <c r="F110" s="13">
        <v>0</v>
      </c>
      <c r="G110" s="13">
        <v>0</v>
      </c>
      <c r="H110" s="13"/>
      <c r="I110" s="30">
        <f t="shared" si="5"/>
        <v>-13000</v>
      </c>
      <c r="J110" s="30">
        <f t="shared" si="6"/>
        <v>0</v>
      </c>
      <c r="K110" s="34"/>
      <c r="L110" s="37">
        <f t="shared" si="7"/>
        <v>-2000</v>
      </c>
      <c r="M110" s="60">
        <f t="shared" si="9"/>
        <v>-2366.6666666666365</v>
      </c>
      <c r="N110" s="14"/>
      <c r="O110" s="13">
        <f t="shared" si="8"/>
        <v>19519</v>
      </c>
      <c r="R110" s="22"/>
    </row>
    <row r="111" spans="1:18">
      <c r="A111" s="7" t="s">
        <v>449</v>
      </c>
      <c r="B111" s="12">
        <v>42916</v>
      </c>
      <c r="C111" s="13">
        <v>5098</v>
      </c>
      <c r="D111" s="13">
        <v>14446</v>
      </c>
      <c r="E111" s="22">
        <v>2191.1</v>
      </c>
      <c r="F111" s="13">
        <v>0</v>
      </c>
      <c r="G111" s="13">
        <v>0</v>
      </c>
      <c r="H111" s="13"/>
      <c r="I111" s="30">
        <f t="shared" si="5"/>
        <v>38000</v>
      </c>
      <c r="J111" s="30">
        <f t="shared" si="6"/>
        <v>15000</v>
      </c>
      <c r="K111" s="34"/>
      <c r="L111" s="37">
        <f t="shared" si="7"/>
        <v>-800.0000000001819</v>
      </c>
      <c r="M111" s="60">
        <f t="shared" si="9"/>
        <v>-1633.3333333333637</v>
      </c>
      <c r="N111" s="14"/>
      <c r="O111" s="13">
        <f t="shared" si="8"/>
        <v>19506</v>
      </c>
      <c r="R111" s="13"/>
    </row>
    <row r="112" spans="1:18">
      <c r="A112" s="7" t="s">
        <v>467</v>
      </c>
      <c r="B112" s="12">
        <v>42947</v>
      </c>
      <c r="C112" s="13">
        <v>5095</v>
      </c>
      <c r="D112" s="13">
        <v>14453</v>
      </c>
      <c r="E112" s="22">
        <v>2188.9</v>
      </c>
      <c r="F112" s="13">
        <v>0</v>
      </c>
      <c r="G112" s="13">
        <v>0</v>
      </c>
      <c r="H112" s="13"/>
      <c r="I112" s="30">
        <f t="shared" si="5"/>
        <v>4000</v>
      </c>
      <c r="J112" s="30">
        <f t="shared" si="6"/>
        <v>9666.6666666666661</v>
      </c>
      <c r="K112" s="34"/>
      <c r="L112" s="37">
        <f t="shared" si="7"/>
        <v>-2199.9999999998181</v>
      </c>
      <c r="M112" s="60">
        <f t="shared" si="9"/>
        <v>-1666.6666666666667</v>
      </c>
      <c r="N112" s="14"/>
      <c r="O112" s="13">
        <f t="shared" si="8"/>
        <v>19544</v>
      </c>
      <c r="P112">
        <f>(O112/O8)-1</f>
        <v>-1.1781362188400646E-2</v>
      </c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5"/>
        <v/>
      </c>
      <c r="J113" s="30" t="str">
        <f t="shared" si="6"/>
        <v/>
      </c>
      <c r="K113" s="34"/>
      <c r="L113" s="37" t="str">
        <f t="shared" si="7"/>
        <v/>
      </c>
      <c r="M113" s="60" t="str">
        <f t="shared" si="9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5"/>
        <v/>
      </c>
      <c r="J114" s="30" t="str">
        <f t="shared" si="6"/>
        <v/>
      </c>
      <c r="K114" s="34"/>
      <c r="L114" s="37" t="str">
        <f t="shared" si="7"/>
        <v/>
      </c>
      <c r="M114" s="60" t="str">
        <f t="shared" si="9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5"/>
        <v/>
      </c>
      <c r="J115" s="30" t="str">
        <f t="shared" si="6"/>
        <v/>
      </c>
      <c r="K115" s="34"/>
      <c r="L115" s="37" t="str">
        <f t="shared" si="7"/>
        <v/>
      </c>
      <c r="M115" s="60" t="str">
        <f t="shared" si="9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5"/>
        <v/>
      </c>
      <c r="J116" s="30" t="str">
        <f t="shared" si="6"/>
        <v/>
      </c>
      <c r="K116" s="34"/>
      <c r="L116" s="37" t="str">
        <f t="shared" si="7"/>
        <v/>
      </c>
      <c r="M116" s="60" t="str">
        <f t="shared" si="9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5"/>
        <v/>
      </c>
      <c r="J117" s="30" t="str">
        <f t="shared" si="6"/>
        <v/>
      </c>
      <c r="K117" s="34"/>
      <c r="L117" s="37" t="str">
        <f t="shared" si="7"/>
        <v/>
      </c>
      <c r="M117" s="60" t="str">
        <f t="shared" si="9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5"/>
        <v/>
      </c>
      <c r="J118" s="30" t="str">
        <f t="shared" si="6"/>
        <v/>
      </c>
      <c r="K118" s="34"/>
      <c r="L118" s="37" t="str">
        <f t="shared" si="7"/>
        <v/>
      </c>
      <c r="M118" s="60" t="str">
        <f t="shared" si="9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5"/>
        <v/>
      </c>
      <c r="J119" s="30" t="str">
        <f t="shared" si="6"/>
        <v/>
      </c>
      <c r="K119" s="34"/>
      <c r="L119" s="37" t="str">
        <f t="shared" si="7"/>
        <v/>
      </c>
      <c r="M119" s="60" t="str">
        <f t="shared" si="9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5"/>
        <v/>
      </c>
      <c r="J120" s="30" t="str">
        <f t="shared" si="6"/>
        <v/>
      </c>
      <c r="K120" s="34"/>
      <c r="L120" s="37" t="str">
        <f t="shared" si="7"/>
        <v/>
      </c>
      <c r="M120" s="60" t="str">
        <f t="shared" si="9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5"/>
        <v/>
      </c>
      <c r="J121" s="30" t="str">
        <f t="shared" si="6"/>
        <v/>
      </c>
      <c r="K121" s="34"/>
      <c r="L121" s="37" t="str">
        <f t="shared" si="7"/>
        <v/>
      </c>
      <c r="M121" s="60" t="str">
        <f t="shared" si="9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5"/>
        <v/>
      </c>
      <c r="J122" s="30" t="str">
        <f t="shared" si="6"/>
        <v/>
      </c>
      <c r="K122" s="34"/>
      <c r="L122" s="37" t="str">
        <f t="shared" si="7"/>
        <v/>
      </c>
      <c r="M122" s="60" t="str">
        <f t="shared" si="9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5"/>
        <v/>
      </c>
      <c r="J123" s="30" t="str">
        <f t="shared" si="6"/>
        <v/>
      </c>
      <c r="K123" s="34"/>
      <c r="L123" s="37" t="str">
        <f t="shared" si="7"/>
        <v/>
      </c>
      <c r="M123" s="60" t="str">
        <f t="shared" si="9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5"/>
        <v/>
      </c>
      <c r="J124" s="30" t="str">
        <f t="shared" si="6"/>
        <v/>
      </c>
      <c r="K124" s="34"/>
      <c r="L124" s="37" t="str">
        <f t="shared" si="7"/>
        <v/>
      </c>
      <c r="M124" s="60" t="str">
        <f t="shared" si="9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5"/>
        <v/>
      </c>
      <c r="J125" s="30" t="str">
        <f t="shared" si="6"/>
        <v/>
      </c>
      <c r="K125" s="34"/>
      <c r="L125" s="37" t="str">
        <f t="shared" si="7"/>
        <v/>
      </c>
      <c r="M125" s="60" t="str">
        <f t="shared" si="9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5"/>
        <v/>
      </c>
      <c r="J126" s="30" t="str">
        <f t="shared" si="6"/>
        <v/>
      </c>
      <c r="K126" s="34"/>
      <c r="L126" s="37" t="str">
        <f t="shared" si="7"/>
        <v/>
      </c>
      <c r="M126" s="60" t="str">
        <f t="shared" si="9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5"/>
        <v/>
      </c>
      <c r="J127" s="30" t="str">
        <f t="shared" si="6"/>
        <v/>
      </c>
      <c r="K127" s="34"/>
      <c r="L127" s="37" t="str">
        <f t="shared" si="7"/>
        <v/>
      </c>
      <c r="M127" s="60" t="str">
        <f t="shared" si="9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5"/>
        <v/>
      </c>
      <c r="J128" s="30" t="str">
        <f t="shared" si="6"/>
        <v/>
      </c>
      <c r="K128" s="34"/>
      <c r="L128" s="37" t="str">
        <f t="shared" si="7"/>
        <v/>
      </c>
      <c r="M128" s="60" t="str">
        <f t="shared" si="9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5"/>
        <v/>
      </c>
      <c r="J129" s="30" t="str">
        <f t="shared" si="6"/>
        <v/>
      </c>
      <c r="K129" s="34"/>
      <c r="L129" s="37" t="str">
        <f t="shared" si="7"/>
        <v/>
      </c>
      <c r="M129" s="60" t="str">
        <f t="shared" si="9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5"/>
        <v/>
      </c>
      <c r="J130" s="30" t="str">
        <f t="shared" si="6"/>
        <v/>
      </c>
      <c r="K130" s="34"/>
      <c r="L130" s="37" t="str">
        <f t="shared" si="7"/>
        <v/>
      </c>
      <c r="M130" s="60" t="str">
        <f t="shared" si="9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5"/>
        <v/>
      </c>
      <c r="J131" s="30" t="str">
        <f t="shared" si="6"/>
        <v/>
      </c>
      <c r="K131" s="34"/>
      <c r="L131" s="37" t="str">
        <f t="shared" si="7"/>
        <v/>
      </c>
      <c r="M131" s="60" t="str">
        <f t="shared" si="9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5"/>
        <v/>
      </c>
      <c r="J132" s="30" t="str">
        <f t="shared" si="6"/>
        <v/>
      </c>
      <c r="K132" s="34"/>
      <c r="L132" s="37" t="str">
        <f t="shared" si="7"/>
        <v/>
      </c>
      <c r="M132" s="60" t="str">
        <f t="shared" si="9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5"/>
        <v/>
      </c>
      <c r="J133" s="30" t="str">
        <f t="shared" si="6"/>
        <v/>
      </c>
      <c r="K133" s="34"/>
      <c r="L133" s="37" t="str">
        <f t="shared" si="7"/>
        <v/>
      </c>
      <c r="M133" s="60" t="str">
        <f t="shared" si="9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4" zoomScale="85" zoomScaleNormal="85" workbookViewId="0">
      <selection activeCell="C4" sqref="C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34.7109375" style="25" customWidth="1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463</v>
      </c>
      <c r="D6" s="25" t="s">
        <v>463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222.8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227.6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228.3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229.9</v>
      </c>
      <c r="D31" s="13">
        <v>0</v>
      </c>
    </row>
    <row r="32" spans="1:13">
      <c r="A32" s="19" t="s">
        <v>350</v>
      </c>
      <c r="B32" s="25">
        <v>42005</v>
      </c>
      <c r="C32" s="22">
        <v>228.4</v>
      </c>
      <c r="D32" s="13">
        <v>0</v>
      </c>
    </row>
    <row r="33" spans="1:6">
      <c r="A33" s="19" t="s">
        <v>358</v>
      </c>
      <c r="B33" s="25">
        <v>42095</v>
      </c>
      <c r="C33" s="22">
        <v>239.2</v>
      </c>
      <c r="D33" s="13">
        <v>0</v>
      </c>
    </row>
    <row r="34" spans="1:6">
      <c r="A34" s="19" t="s">
        <v>363</v>
      </c>
      <c r="B34" s="25">
        <v>42186</v>
      </c>
      <c r="C34" s="22">
        <v>239.8</v>
      </c>
      <c r="D34" s="13">
        <v>0</v>
      </c>
    </row>
    <row r="35" spans="1:6">
      <c r="A35" s="19" t="s">
        <v>367</v>
      </c>
      <c r="B35" s="25">
        <v>42278</v>
      </c>
      <c r="C35" s="22">
        <v>229.9</v>
      </c>
      <c r="D35" s="13">
        <v>0</v>
      </c>
    </row>
    <row r="36" spans="1:6">
      <c r="A36" s="19" t="s">
        <v>416</v>
      </c>
      <c r="B36" s="25">
        <v>42370</v>
      </c>
      <c r="C36" s="22">
        <v>239.5</v>
      </c>
      <c r="D36" s="13">
        <v>0</v>
      </c>
    </row>
    <row r="37" spans="1:6">
      <c r="A37" s="19" t="s">
        <v>429</v>
      </c>
      <c r="B37" s="25">
        <v>42461</v>
      </c>
      <c r="C37" s="22">
        <v>229.4</v>
      </c>
      <c r="D37" s="13">
        <v>0</v>
      </c>
    </row>
    <row r="38" spans="1:6">
      <c r="A38" s="19" t="s">
        <v>434</v>
      </c>
      <c r="B38" s="25">
        <v>42552</v>
      </c>
      <c r="C38" s="22">
        <v>222.2</v>
      </c>
      <c r="D38" s="13">
        <v>0</v>
      </c>
    </row>
    <row r="39" spans="1:6">
      <c r="A39" s="19" t="s">
        <v>439</v>
      </c>
      <c r="B39" s="25">
        <v>42644</v>
      </c>
      <c r="C39" s="22">
        <v>224.7</v>
      </c>
      <c r="D39" s="13">
        <v>0</v>
      </c>
    </row>
    <row r="40" spans="1:6">
      <c r="A40" s="19" t="s">
        <v>461</v>
      </c>
      <c r="B40" s="25">
        <v>42736</v>
      </c>
      <c r="C40" s="22">
        <v>223.4</v>
      </c>
      <c r="D40" s="13">
        <v>0</v>
      </c>
    </row>
    <row r="41" spans="1:6">
      <c r="A41" s="19" t="s">
        <v>462</v>
      </c>
      <c r="B41" s="25">
        <v>42826</v>
      </c>
      <c r="C41" s="22">
        <v>211.1</v>
      </c>
      <c r="D41" s="13">
        <v>0</v>
      </c>
      <c r="F41" s="131">
        <f>(C41/C40)-1</f>
        <v>-5.5058191584601679E-2</v>
      </c>
    </row>
    <row r="42" spans="1:6">
      <c r="D42" s="104"/>
    </row>
    <row r="43" spans="1:6">
      <c r="D43" s="104"/>
    </row>
    <row r="44" spans="1:6">
      <c r="D44" s="104"/>
    </row>
    <row r="45" spans="1:6">
      <c r="D45" s="104"/>
    </row>
    <row r="46" spans="1:6">
      <c r="B46" s="39"/>
      <c r="C46" s="31"/>
      <c r="D46" s="104"/>
    </row>
    <row r="47" spans="1:6">
      <c r="B47" s="39"/>
      <c r="C47" s="31"/>
      <c r="D47" s="104"/>
    </row>
    <row r="48" spans="1:6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442</v>
      </c>
      <c r="D5" t="s">
        <v>442</v>
      </c>
      <c r="E5" t="s">
        <v>442</v>
      </c>
      <c r="F5" t="s">
        <v>442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441</v>
      </c>
      <c r="D7" s="13" t="s">
        <v>441</v>
      </c>
      <c r="E7" s="13" t="s">
        <v>441</v>
      </c>
      <c r="F7" t="s">
        <v>441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102423</v>
      </c>
      <c r="D61" s="13">
        <v>84384</v>
      </c>
      <c r="E61" s="13">
        <v>11485</v>
      </c>
      <c r="F61" s="13">
        <v>89939</v>
      </c>
      <c r="G61" s="40">
        <f t="shared" si="4"/>
        <v>288.23099999999999</v>
      </c>
      <c r="H61" s="19">
        <f t="shared" si="5"/>
        <v>5.7895374315947157E-2</v>
      </c>
      <c r="I61" s="28">
        <f t="shared" si="6"/>
        <v>5.9094369905982214E-2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200619</v>
      </c>
      <c r="D62" s="13">
        <v>89277</v>
      </c>
      <c r="E62" s="13">
        <v>10859</v>
      </c>
      <c r="F62" s="13">
        <v>91556</v>
      </c>
      <c r="G62" s="40">
        <f t="shared" si="4"/>
        <v>392.31099999999998</v>
      </c>
      <c r="H62" s="19">
        <f t="shared" si="5"/>
        <v>4.6773982672547287E-2</v>
      </c>
      <c r="I62" s="28">
        <f t="shared" si="6"/>
        <v>5.5984104435263804E-2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125748</v>
      </c>
      <c r="D63" s="13">
        <v>88765</v>
      </c>
      <c r="E63" s="13">
        <v>13146</v>
      </c>
      <c r="F63" s="13">
        <v>89844</v>
      </c>
      <c r="G63" s="40">
        <f t="shared" si="4"/>
        <v>317.50299999999999</v>
      </c>
      <c r="H63" s="19">
        <f t="shared" si="5"/>
        <v>3.1299229862245648E-2</v>
      </c>
      <c r="I63" s="28">
        <f t="shared" si="6"/>
        <v>5.2734755161523705E-2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100838</v>
      </c>
      <c r="D64" s="13">
        <v>119206</v>
      </c>
      <c r="E64" s="13">
        <v>18767</v>
      </c>
      <c r="F64" s="13">
        <v>101509</v>
      </c>
      <c r="G64" s="40">
        <f t="shared" si="4"/>
        <v>340.32</v>
      </c>
      <c r="H64" s="19">
        <f t="shared" si="5"/>
        <v>-1.5754407273432802E-3</v>
      </c>
      <c r="I64" s="28">
        <f t="shared" si="6"/>
        <v>3.3598286530849203E-2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105817</v>
      </c>
      <c r="D65" s="13">
        <v>86303</v>
      </c>
      <c r="E65" s="13">
        <v>10565</v>
      </c>
      <c r="F65" s="13">
        <v>92292</v>
      </c>
      <c r="G65" s="40">
        <f t="shared" si="4"/>
        <v>294.97699999999998</v>
      </c>
      <c r="H65" s="19">
        <f t="shared" si="5"/>
        <v>2.340483848024677E-2</v>
      </c>
      <c r="I65" s="28">
        <f t="shared" si="6"/>
        <v>2.4975652571924106E-2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440</v>
      </c>
      <c r="B66" s="12">
        <v>42735</v>
      </c>
      <c r="C66" s="13">
        <v>208002</v>
      </c>
      <c r="D66" s="13">
        <v>89410</v>
      </c>
      <c r="E66" s="13">
        <v>10697</v>
      </c>
      <c r="F66" s="13">
        <v>92953</v>
      </c>
      <c r="G66" s="40">
        <f t="shared" si="4"/>
        <v>401.06200000000001</v>
      </c>
      <c r="H66" s="19">
        <f t="shared" si="5"/>
        <v>2.230628251565725E-2</v>
      </c>
      <c r="I66" s="28">
        <f t="shared" si="6"/>
        <v>1.8858727532701597E-2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133703</v>
      </c>
      <c r="D67" s="13">
        <v>95069</v>
      </c>
      <c r="E67" s="13">
        <v>10005</v>
      </c>
      <c r="F67" s="13">
        <v>91680</v>
      </c>
      <c r="G67" s="40">
        <f t="shared" si="4"/>
        <v>330.45699999999999</v>
      </c>
      <c r="H67" s="19">
        <f t="shared" si="5"/>
        <v>4.0799614491831671E-2</v>
      </c>
      <c r="I67" s="28">
        <f t="shared" si="6"/>
        <v>2.1233823690098103E-2</v>
      </c>
      <c r="J67" s="13">
        <f t="shared" si="1"/>
        <v>0</v>
      </c>
      <c r="N67" t="s">
        <v>368</v>
      </c>
      <c r="O67" s="12">
        <v>42369</v>
      </c>
      <c r="P67" s="13">
        <v>0</v>
      </c>
    </row>
    <row r="68" spans="1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>
        <f t="shared" si="5"/>
        <v>-1</v>
      </c>
      <c r="I71" s="28" t="str">
        <f t="shared" si="6"/>
        <v/>
      </c>
      <c r="J71" s="13" t="e">
        <f t="shared" si="1"/>
        <v>#N/A</v>
      </c>
      <c r="N71" t="s">
        <v>440</v>
      </c>
      <c r="O71" s="12">
        <v>42735</v>
      </c>
      <c r="P71" s="13">
        <v>0</v>
      </c>
    </row>
    <row r="72" spans="1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  <c r="N72" t="s">
        <v>441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  <c r="N73" t="s">
        <v>463</v>
      </c>
      <c r="O73" s="12">
        <v>42916</v>
      </c>
      <c r="P73" s="13">
        <v>0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2" zoomScale="85" zoomScaleNormal="85" workbookViewId="0">
      <selection activeCell="H52" sqref="H52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460</v>
      </c>
      <c r="F7" s="19" t="s">
        <v>460</v>
      </c>
      <c r="G7" t="s">
        <v>456</v>
      </c>
      <c r="H7" t="s">
        <v>456</v>
      </c>
      <c r="I7" t="s">
        <v>443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20.6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17.753</v>
      </c>
      <c r="H47" s="43">
        <v>20.93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17.3</v>
      </c>
      <c r="D48" s="112">
        <f t="shared" ca="1" si="1"/>
        <v>21</v>
      </c>
      <c r="E48" s="31">
        <v>17.3</v>
      </c>
      <c r="F48" s="31">
        <v>21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17.7</v>
      </c>
      <c r="D49" s="112">
        <f t="shared" ca="1" si="1"/>
        <v>20.5</v>
      </c>
      <c r="E49" s="31">
        <v>17.7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17.8</v>
      </c>
      <c r="D50" s="112">
        <f t="shared" ca="1" si="1"/>
        <v>21.2</v>
      </c>
      <c r="E50" s="31">
        <v>17.8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</v>
      </c>
      <c r="D51" s="112">
        <f t="shared" ca="1" si="1"/>
        <v>21.6</v>
      </c>
      <c r="E51" s="31">
        <v>18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22.1</v>
      </c>
      <c r="E52" s="31">
        <v>18.100000000000001</v>
      </c>
      <c r="F52" s="31">
        <v>22.1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22.6</v>
      </c>
      <c r="E53" s="31">
        <v>18.100000000000001</v>
      </c>
      <c r="F53" s="31">
        <v>22.6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18.2</v>
      </c>
      <c r="D54" s="112">
        <f t="shared" ca="1" si="1"/>
        <v>22.6</v>
      </c>
      <c r="E54" s="31">
        <v>18.2</v>
      </c>
      <c r="F54" s="31">
        <v>22.6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22.6</v>
      </c>
      <c r="E55" s="31">
        <v>18.3</v>
      </c>
      <c r="F55" s="31">
        <v>22.6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</v>
      </c>
      <c r="D56" s="112">
        <f t="shared" ca="1" si="1"/>
        <v>23</v>
      </c>
      <c r="E56" s="31">
        <v>18.3</v>
      </c>
      <c r="F56" s="31">
        <v>23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18.399999999999999</v>
      </c>
      <c r="D57" s="112">
        <f t="shared" ca="1" si="1"/>
        <v>23.4</v>
      </c>
      <c r="E57" s="31">
        <v>18.399999999999999</v>
      </c>
      <c r="F57" s="31">
        <v>23.4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456</v>
      </c>
      <c r="D6" s="18" t="s">
        <v>460</v>
      </c>
      <c r="E6" s="19" t="s">
        <v>109</v>
      </c>
      <c r="F6" t="s">
        <v>110</v>
      </c>
      <c r="G6" t="s">
        <v>443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-2.4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-3.1760000000000002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-3.6</v>
      </c>
      <c r="E47" s="97" t="e">
        <f t="shared" si="3"/>
        <v>#N/A</v>
      </c>
      <c r="F47" s="97">
        <f t="shared" ca="1" si="1"/>
        <v>-3.6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-2.8</v>
      </c>
      <c r="E48" s="97" t="e">
        <f t="shared" si="3"/>
        <v>#N/A</v>
      </c>
      <c r="F48" s="97">
        <f t="shared" ca="1" si="1"/>
        <v>-2.8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-3.3</v>
      </c>
      <c r="E49" s="97" t="e">
        <f t="shared" si="3"/>
        <v>#N/A</v>
      </c>
      <c r="F49" s="97">
        <f t="shared" ca="1" si="1"/>
        <v>-3.3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-3.6</v>
      </c>
      <c r="E50" s="97" t="e">
        <f t="shared" si="3"/>
        <v>#N/A</v>
      </c>
      <c r="F50" s="97">
        <f t="shared" ca="1" si="1"/>
        <v>-3.6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-4</v>
      </c>
      <c r="E51" s="97" t="e">
        <f t="shared" si="3"/>
        <v>#N/A</v>
      </c>
      <c r="F51" s="97">
        <f t="shared" ca="1" si="1"/>
        <v>-4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-4.5</v>
      </c>
      <c r="E52" s="97" t="e">
        <f t="shared" si="3"/>
        <v>#N/A</v>
      </c>
      <c r="F52" s="97">
        <f t="shared" ca="1" si="1"/>
        <v>-4.5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-4.7</v>
      </c>
      <c r="E55" s="97" t="e">
        <f t="shared" si="3"/>
        <v>#N/A</v>
      </c>
      <c r="F55" s="97">
        <f t="shared" ca="1" si="1"/>
        <v>-4.7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-5</v>
      </c>
      <c r="E56" s="97" t="e">
        <f t="shared" si="3"/>
        <v>#N/A</v>
      </c>
      <c r="F56" s="97">
        <f t="shared" ca="1" si="1"/>
        <v>-5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460</v>
      </c>
      <c r="D5" t="s">
        <v>111</v>
      </c>
      <c r="E5" t="s">
        <v>112</v>
      </c>
      <c r="F5" t="s">
        <v>443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76.7</v>
      </c>
      <c r="D46" s="28" t="e">
        <f t="shared" si="0"/>
        <v>#N/A</v>
      </c>
      <c r="E46" s="30">
        <f t="shared" ca="1" si="1"/>
        <v>76.7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78</v>
      </c>
      <c r="D47" s="28" t="e">
        <f t="shared" si="0"/>
        <v>#N/A</v>
      </c>
      <c r="E47" s="30">
        <f t="shared" ca="1" si="1"/>
        <v>78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78.8</v>
      </c>
      <c r="D48" s="28" t="e">
        <f t="shared" si="0"/>
        <v>#N/A</v>
      </c>
      <c r="E48" s="30">
        <f t="shared" ca="1" si="1"/>
        <v>78.8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</v>
      </c>
      <c r="D49" s="28" t="e">
        <f t="shared" si="0"/>
        <v>#N/A</v>
      </c>
      <c r="E49" s="30">
        <f t="shared" ca="1" si="1"/>
        <v>80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81.400000000000006</v>
      </c>
      <c r="D50" s="28" t="e">
        <f t="shared" si="0"/>
        <v>#N/A</v>
      </c>
      <c r="E50" s="30">
        <f t="shared" ca="1" si="1"/>
        <v>81.400000000000006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82.9</v>
      </c>
      <c r="D51" s="28" t="e">
        <f t="shared" si="0"/>
        <v>#N/A</v>
      </c>
      <c r="E51" s="30">
        <f t="shared" ca="1" si="1"/>
        <v>82.9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84.4</v>
      </c>
      <c r="D52" s="28" t="e">
        <f t="shared" si="0"/>
        <v>#N/A</v>
      </c>
      <c r="E52" s="30">
        <f t="shared" ca="1" si="1"/>
        <v>84.4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85.7</v>
      </c>
      <c r="D53" s="28" t="e">
        <f t="shared" si="0"/>
        <v>#N/A</v>
      </c>
      <c r="E53" s="30">
        <f t="shared" ca="1" si="1"/>
        <v>85.7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87.3</v>
      </c>
      <c r="D54" s="28" t="e">
        <f t="shared" si="0"/>
        <v>#N/A</v>
      </c>
      <c r="E54" s="30">
        <f t="shared" ca="1" si="1"/>
        <v>87.3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89.2</v>
      </c>
      <c r="D55" s="28" t="e">
        <f t="shared" si="0"/>
        <v>#N/A</v>
      </c>
      <c r="E55" s="30">
        <f t="shared" ca="1" si="1"/>
        <v>89.2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451</v>
      </c>
      <c r="D4" s="5" t="s">
        <v>453</v>
      </c>
      <c r="E4" s="5" t="s">
        <v>453</v>
      </c>
      <c r="F4" s="5" t="s">
        <v>453</v>
      </c>
      <c r="G4" s="114" t="s">
        <v>455</v>
      </c>
      <c r="H4" s="114" t="s">
        <v>54</v>
      </c>
      <c r="I4" s="118" t="s">
        <v>54</v>
      </c>
      <c r="J4" s="119" t="s">
        <v>458</v>
      </c>
      <c r="M4" s="2" t="s">
        <v>459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450</v>
      </c>
      <c r="D6" s="5" t="s">
        <v>452</v>
      </c>
      <c r="E6" s="5" t="s">
        <v>452</v>
      </c>
      <c r="F6" s="5" t="s">
        <v>452</v>
      </c>
      <c r="G6" s="114" t="s">
        <v>454</v>
      </c>
      <c r="H6" s="114" t="s">
        <v>456</v>
      </c>
      <c r="I6" s="118" t="s">
        <v>456</v>
      </c>
      <c r="J6" s="119" t="s">
        <v>457</v>
      </c>
      <c r="M6" s="2" t="s">
        <v>443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2.254</v>
      </c>
      <c r="H21" s="120">
        <v>4.2060000000000004</v>
      </c>
      <c r="I21" s="120">
        <v>2.9449999999999998</v>
      </c>
      <c r="J21" s="121">
        <v>11.243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5.7629999999999999</v>
      </c>
      <c r="H49" s="48">
        <v>4.9450000000000003</v>
      </c>
      <c r="I49" s="48">
        <v>1.304</v>
      </c>
      <c r="J49" s="46">
        <v>8.918000000000001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12000</v>
      </c>
      <c r="C100" s="21" t="str">
        <f>IF(ISNUMBER('Change in Employment'!J107),TEXT('Change in Employment'!J107, "0"),"")</f>
        <v>7667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-7000</v>
      </c>
      <c r="C101" s="21" t="str">
        <f>IF(ISNUMBER('Change in Employment'!J108),TEXT('Change in Employment'!J108, "0"),"")</f>
        <v>6333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20000</v>
      </c>
      <c r="C102" s="21" t="str">
        <f>IF(ISNUMBER('Change in Employment'!J109),TEXT('Change in Employment'!J109, "0"),"")</f>
        <v>8333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-13000</v>
      </c>
      <c r="C103" s="21" t="str">
        <f>IF(ISNUMBER('Change in Employment'!J110),TEXT('Change in Employment'!J110, "0"),"")</f>
        <v>0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38000</v>
      </c>
      <c r="C104" s="21" t="str">
        <f>IF(ISNUMBER('Change in Employment'!J111),TEXT('Change in Employment'!J111, "0"),"")</f>
        <v>15000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4000</v>
      </c>
      <c r="C105" s="21" t="str">
        <f>IF(ISNUMBER('Change in Employment'!J112),TEXT('Change in Employment'!J112, "0"),"")</f>
        <v>9667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-599.99999999990905</v>
      </c>
      <c r="C100" s="19" t="str">
        <f>IFERROR(IF(ISNUMBER('Change in Employment'!M107),TEXT('Change in Employment'!M107, "0"), ""), "")</f>
        <v>1933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-3000</v>
      </c>
      <c r="C101" s="19" t="str">
        <f>IFERROR(IF(ISNUMBER('Change in Employment'!M108),TEXT('Change in Employment'!M108, "0"), ""), "")</f>
        <v>-1233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-2099.9999999999091</v>
      </c>
      <c r="C102" s="19" t="str">
        <f>IFERROR(IF(ISNUMBER('Change in Employment'!M109),TEXT('Change in Employment'!M109, "0"), ""), "")</f>
        <v>-1900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-2000</v>
      </c>
      <c r="C103" s="19" t="str">
        <f>IFERROR(IF(ISNUMBER('Change in Employment'!M110),TEXT('Change in Employment'!M110, "0"), ""), "")</f>
        <v>-2367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-800.0000000001819</v>
      </c>
      <c r="C104" s="19" t="str">
        <f>IFERROR(IF(ISNUMBER('Change in Employment'!M111),TEXT('Change in Employment'!M111, "0"), ""), "")</f>
        <v>-1633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-2199.9999999998181</v>
      </c>
      <c r="C105" s="19" t="str">
        <f>IFERROR(IF(ISNUMBER('Change in Employment'!M112),TEXT('Change in Employment'!M112, "0"), ""), "")</f>
        <v>-1667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5" sqref="B5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222.8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227.6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228.3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229.9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228.4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239.2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239.8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229.9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239.5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229.4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222.2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224.7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223.4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211.1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0.025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20.93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17.30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17.70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17.80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18.00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22.10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22.60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18.20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22.60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22.60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18.30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23.00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18.40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-3.60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-2.80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-3.30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-4.00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-4.50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-4.70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-5.00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76.70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78.00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78.80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80.00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81.40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82.90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84.40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85.70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87.30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89.20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1.30</v>
      </c>
      <c r="I43" s="19" t="str">
        <f>IFERROR(IF(ISNUMBER('Spending by Category'!J49),TEXT('Spending by Category'!J49,"0.00"), ""), "")</f>
        <v>8.92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317F8B-D288-44B8-B277-7ACBF1C7C0D5}"/>
</file>

<file path=customXml/itemProps2.xml><?xml version="1.0" encoding="utf-8"?>
<ds:datastoreItem xmlns:ds="http://schemas.openxmlformats.org/officeDocument/2006/customXml" ds:itemID="{A28667A1-6DD2-4AE4-A79C-EDBECB910FFD}"/>
</file>

<file path=customXml/itemProps3.xml><?xml version="1.0" encoding="utf-8"?>
<ds:datastoreItem xmlns:ds="http://schemas.openxmlformats.org/officeDocument/2006/customXml" ds:itemID="{A5503956-26BD-473D-9F87-4158715E68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Sara Belz</cp:lastModifiedBy>
  <cp:lastPrinted>2017-01-30T16:08:07Z</cp:lastPrinted>
  <dcterms:created xsi:type="dcterms:W3CDTF">2014-07-22T13:55:17Z</dcterms:created>
  <dcterms:modified xsi:type="dcterms:W3CDTF">2017-08-30T14:13:36Z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