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05" windowWidth="18720" windowHeight="11730" tabRatio="717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E45" i="7" l="1"/>
  <c r="E46" i="7"/>
  <c r="E47" i="7"/>
  <c r="E48" i="7"/>
  <c r="E49" i="7"/>
  <c r="E50" i="7"/>
  <c r="E51" i="7"/>
  <c r="E52" i="7"/>
  <c r="E53" i="7"/>
  <c r="E54" i="7"/>
  <c r="E55" i="7"/>
  <c r="E5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D45" i="9"/>
  <c r="D46" i="9"/>
  <c r="D47" i="9"/>
  <c r="D48" i="9"/>
  <c r="D49" i="9"/>
  <c r="D50" i="9"/>
  <c r="D51" i="9"/>
  <c r="D52" i="9"/>
  <c r="D53" i="9"/>
  <c r="D54" i="9"/>
  <c r="D5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I93" i="3" l="1"/>
  <c r="L93" i="3"/>
  <c r="J9" i="4" l="1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" i="4"/>
  <c r="C47" i="21" l="1"/>
  <c r="C46" i="21"/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H65" i="4" s="1"/>
  <c r="I68" i="4" s="1"/>
  <c r="G60" i="4"/>
  <c r="H64" i="4" s="1"/>
  <c r="I67" i="4" s="1"/>
  <c r="G59" i="4"/>
  <c r="H63" i="4" s="1"/>
  <c r="I66" i="4" s="1"/>
  <c r="G58" i="4"/>
  <c r="H62" i="4" l="1"/>
  <c r="I65" i="4" s="1"/>
  <c r="I69" i="4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9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9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4" i="18"/>
  <c r="B113" i="18"/>
  <c r="B97" i="18"/>
  <c r="B95" i="18"/>
  <c r="M104" i="3"/>
  <c r="L133" i="3"/>
  <c r="B126" i="18" s="1"/>
  <c r="L132" i="3"/>
  <c r="B125" i="18" s="1"/>
  <c r="M133" i="3"/>
  <c r="C126" i="18" s="1"/>
  <c r="L131" i="3"/>
  <c r="M132" i="3"/>
  <c r="C125" i="18" s="1"/>
  <c r="L130" i="3"/>
  <c r="B123" i="18" s="1"/>
  <c r="L129" i="3"/>
  <c r="M130" i="3" s="1"/>
  <c r="C123" i="18" s="1"/>
  <c r="L128" i="3"/>
  <c r="B121" i="18" s="1"/>
  <c r="L127" i="3"/>
  <c r="M128" i="3" s="1"/>
  <c r="C121" i="18" s="1"/>
  <c r="L126" i="3"/>
  <c r="B119" i="18" s="1"/>
  <c r="L125" i="3"/>
  <c r="M126" i="3" s="1"/>
  <c r="C119" i="18" s="1"/>
  <c r="L124" i="3"/>
  <c r="B117" i="18" s="1"/>
  <c r="L123" i="3"/>
  <c r="M124" i="3" s="1"/>
  <c r="C117" i="18" s="1"/>
  <c r="L122" i="3"/>
  <c r="B115" i="18" s="1"/>
  <c r="L121" i="3"/>
  <c r="B114" i="18" s="1"/>
  <c r="L120" i="3"/>
  <c r="M121" i="3"/>
  <c r="C114" i="18" s="1"/>
  <c r="L119" i="3"/>
  <c r="M120" i="3" s="1"/>
  <c r="C113" i="18" s="1"/>
  <c r="L118" i="3"/>
  <c r="B111" i="18" s="1"/>
  <c r="L117" i="3"/>
  <c r="M118" i="3" s="1"/>
  <c r="C111" i="18" s="1"/>
  <c r="L116" i="3"/>
  <c r="B109" i="18" s="1"/>
  <c r="M117" i="3"/>
  <c r="C110" i="18" s="1"/>
  <c r="L115" i="3"/>
  <c r="B108" i="18" s="1"/>
  <c r="L114" i="3"/>
  <c r="B107" i="18" s="1"/>
  <c r="L113" i="3"/>
  <c r="B106" i="18" s="1"/>
  <c r="L112" i="3"/>
  <c r="B105" i="18" s="1"/>
  <c r="M113" i="3"/>
  <c r="C106" i="18" s="1"/>
  <c r="L111" i="3"/>
  <c r="M112" i="3" s="1"/>
  <c r="C105" i="18" s="1"/>
  <c r="L110" i="3"/>
  <c r="M111" i="3" s="1"/>
  <c r="C104" i="18" s="1"/>
  <c r="L109" i="3"/>
  <c r="M110" i="3" s="1"/>
  <c r="C103" i="18" s="1"/>
  <c r="L108" i="3"/>
  <c r="B101" i="18" s="1"/>
  <c r="M109" i="3"/>
  <c r="C102" i="18" s="1"/>
  <c r="L107" i="3"/>
  <c r="M108" i="3" s="1"/>
  <c r="C101" i="18" s="1"/>
  <c r="L106" i="3"/>
  <c r="B99" i="18" s="1"/>
  <c r="L105" i="3"/>
  <c r="B98" i="18" s="1"/>
  <c r="L104" i="3"/>
  <c r="M105" i="3"/>
  <c r="C98" i="18" s="1"/>
  <c r="L103" i="3"/>
  <c r="B96" i="18" s="1"/>
  <c r="L102" i="3"/>
  <c r="M103" i="3" s="1"/>
  <c r="C96" i="18" s="1"/>
  <c r="L101" i="3"/>
  <c r="B94" i="18" s="1"/>
  <c r="L100" i="3"/>
  <c r="B93" i="18" s="1"/>
  <c r="M101" i="3"/>
  <c r="C94" i="18" s="1"/>
  <c r="L99" i="3"/>
  <c r="M100" i="3" s="1"/>
  <c r="C93" i="18" s="1"/>
  <c r="L98" i="3"/>
  <c r="B91" i="18" s="1"/>
  <c r="L97" i="3"/>
  <c r="B90" i="18" s="1"/>
  <c r="L96" i="3"/>
  <c r="B89" i="18" s="1"/>
  <c r="M97" i="3"/>
  <c r="C90" i="18" s="1"/>
  <c r="L95" i="3"/>
  <c r="L94" i="3"/>
  <c r="L92" i="3"/>
  <c r="L91" i="3"/>
  <c r="B84" i="18" s="1"/>
  <c r="L90" i="3"/>
  <c r="B83" i="18" s="1"/>
  <c r="L89" i="3"/>
  <c r="B82" i="18" s="1"/>
  <c r="L88" i="3"/>
  <c r="B81" i="18" s="1"/>
  <c r="L87" i="3"/>
  <c r="B80" i="18" s="1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C125" i="17" s="1"/>
  <c r="J120" i="3"/>
  <c r="C113" i="17" s="1"/>
  <c r="J108" i="3"/>
  <c r="C101" i="17" s="1"/>
  <c r="J107" i="3"/>
  <c r="C100" i="17" s="1"/>
  <c r="I133" i="3"/>
  <c r="B126" i="17" s="1"/>
  <c r="I132" i="3"/>
  <c r="J133" i="3" s="1"/>
  <c r="C126" i="17" s="1"/>
  <c r="I131" i="3"/>
  <c r="B124" i="17" s="1"/>
  <c r="I130" i="3"/>
  <c r="J131" i="3" s="1"/>
  <c r="C124" i="17" s="1"/>
  <c r="I129" i="3"/>
  <c r="J130" i="3" s="1"/>
  <c r="C123" i="17" s="1"/>
  <c r="I128" i="3"/>
  <c r="B121" i="17" s="1"/>
  <c r="I127" i="3"/>
  <c r="J128" i="3" s="1"/>
  <c r="C121" i="17" s="1"/>
  <c r="I126" i="3"/>
  <c r="B119" i="17" s="1"/>
  <c r="I125" i="3"/>
  <c r="B118" i="17" s="1"/>
  <c r="I124" i="3"/>
  <c r="J125" i="3" s="1"/>
  <c r="C118" i="17" s="1"/>
  <c r="I123" i="3"/>
  <c r="B116" i="17" s="1"/>
  <c r="I122" i="3"/>
  <c r="B115" i="17" s="1"/>
  <c r="I121" i="3"/>
  <c r="J122" i="3" s="1"/>
  <c r="C115" i="17" s="1"/>
  <c r="I120" i="3"/>
  <c r="J121" i="3" s="1"/>
  <c r="C114" i="17" s="1"/>
  <c r="I119" i="3"/>
  <c r="B112" i="17" s="1"/>
  <c r="I118" i="3"/>
  <c r="B111" i="17" s="1"/>
  <c r="I117" i="3"/>
  <c r="J118" i="3" s="1"/>
  <c r="C111" i="17" s="1"/>
  <c r="I116" i="3"/>
  <c r="B109" i="17" s="1"/>
  <c r="I115" i="3"/>
  <c r="J116" i="3" s="1"/>
  <c r="C109" i="17" s="1"/>
  <c r="I114" i="3"/>
  <c r="J115" i="3" s="1"/>
  <c r="C108" i="17" s="1"/>
  <c r="I113" i="3"/>
  <c r="J114" i="3" s="1"/>
  <c r="C107" i="17" s="1"/>
  <c r="I112" i="3"/>
  <c r="J113" i="3" s="1"/>
  <c r="C106" i="17" s="1"/>
  <c r="I111" i="3"/>
  <c r="J112" i="3" s="1"/>
  <c r="C105" i="17" s="1"/>
  <c r="I110" i="3"/>
  <c r="B103" i="17" s="1"/>
  <c r="I109" i="3"/>
  <c r="B102" i="17" s="1"/>
  <c r="I108" i="3"/>
  <c r="B101" i="17" s="1"/>
  <c r="J109" i="3"/>
  <c r="C102" i="17" s="1"/>
  <c r="I107" i="3"/>
  <c r="B100" i="17" s="1"/>
  <c r="I106" i="3"/>
  <c r="B99" i="17" s="1"/>
  <c r="I105" i="3"/>
  <c r="J106" i="3" s="1"/>
  <c r="C99" i="17" s="1"/>
  <c r="I104" i="3"/>
  <c r="B97" i="17" s="1"/>
  <c r="I103" i="3"/>
  <c r="J104" i="3" s="1"/>
  <c r="C97" i="17" s="1"/>
  <c r="I102" i="3"/>
  <c r="B95" i="17" s="1"/>
  <c r="I101" i="3"/>
  <c r="J102" i="3" s="1"/>
  <c r="C95" i="17" s="1"/>
  <c r="I100" i="3"/>
  <c r="B93" i="17" s="1"/>
  <c r="I99" i="3"/>
  <c r="J100" i="3" s="1"/>
  <c r="C93" i="17" s="1"/>
  <c r="I98" i="3"/>
  <c r="J99" i="3" s="1"/>
  <c r="C92" i="17" s="1"/>
  <c r="I97" i="3"/>
  <c r="J98" i="3" s="1"/>
  <c r="C91" i="17" s="1"/>
  <c r="I96" i="3"/>
  <c r="B89" i="17" s="1"/>
  <c r="I95" i="3"/>
  <c r="I94" i="3"/>
  <c r="B87" i="17" s="1"/>
  <c r="B86" i="17"/>
  <c r="I92" i="3"/>
  <c r="I91" i="3"/>
  <c r="I90" i="3"/>
  <c r="I89" i="3"/>
  <c r="B82" i="17" s="1"/>
  <c r="I88" i="3"/>
  <c r="B81" i="17" s="1"/>
  <c r="I87" i="3"/>
  <c r="I86" i="3"/>
  <c r="I85" i="3"/>
  <c r="I84" i="3"/>
  <c r="B77" i="17" s="1"/>
  <c r="I83" i="3"/>
  <c r="I82" i="3"/>
  <c r="B75" i="17" s="1"/>
  <c r="I81" i="3"/>
  <c r="B74" i="17" s="1"/>
  <c r="I80" i="3"/>
  <c r="A1" i="3"/>
  <c r="J117" i="3"/>
  <c r="C110" i="17" s="1"/>
  <c r="M99" i="3"/>
  <c r="C92" i="18" s="1"/>
  <c r="M115" i="3"/>
  <c r="C108" i="18" s="1"/>
  <c r="M116" i="3"/>
  <c r="C109" i="18" s="1"/>
  <c r="J105" i="3"/>
  <c r="C98" i="17" s="1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C2" i="24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M96" i="3" l="1"/>
  <c r="C89" i="18" s="1"/>
  <c r="J96" i="3"/>
  <c r="C89" i="17" s="1"/>
  <c r="J97" i="3"/>
  <c r="C90" i="17" s="1"/>
  <c r="J94" i="3"/>
  <c r="C87" i="17" s="1"/>
  <c r="M95" i="3"/>
  <c r="C88" i="18" s="1"/>
  <c r="M94" i="3"/>
  <c r="C87" i="18" s="1"/>
  <c r="M107" i="3"/>
  <c r="C100" i="18" s="1"/>
  <c r="M127" i="3"/>
  <c r="C120" i="18" s="1"/>
  <c r="B120" i="18"/>
  <c r="B96" i="17"/>
  <c r="B114" i="17"/>
  <c r="J129" i="3"/>
  <c r="C122" i="17" s="1"/>
  <c r="M129" i="3"/>
  <c r="C122" i="18" s="1"/>
  <c r="B120" i="17"/>
  <c r="M114" i="3"/>
  <c r="C107" i="18" s="1"/>
  <c r="B113" i="17"/>
  <c r="B100" i="18"/>
  <c r="J127" i="3"/>
  <c r="C120" i="17" s="1"/>
  <c r="M98" i="3"/>
  <c r="C91" i="18" s="1"/>
  <c r="B102" i="18"/>
  <c r="B98" i="17"/>
  <c r="J123" i="3"/>
  <c r="C116" i="17" s="1"/>
  <c r="M102" i="3"/>
  <c r="C95" i="18" s="1"/>
  <c r="B103" i="18"/>
  <c r="B104" i="17"/>
  <c r="B122" i="17"/>
  <c r="B85" i="17"/>
  <c r="J93" i="3"/>
  <c r="C86" i="17" s="1"/>
  <c r="J101" i="3"/>
  <c r="C94" i="17" s="1"/>
  <c r="B85" i="18"/>
  <c r="M93" i="3"/>
  <c r="C86" i="18" s="1"/>
  <c r="M125" i="3"/>
  <c r="C118" i="18" s="1"/>
  <c r="B88" i="17"/>
  <c r="B105" i="17"/>
  <c r="B106" i="17"/>
  <c r="M123" i="3"/>
  <c r="C116" i="18" s="1"/>
  <c r="B118" i="18"/>
  <c r="B90" i="17"/>
  <c r="J110" i="3"/>
  <c r="C103" i="17" s="1"/>
  <c r="B88" i="18"/>
  <c r="B112" i="18"/>
  <c r="B91" i="17"/>
  <c r="B107" i="17"/>
  <c r="B123" i="17"/>
  <c r="B110" i="18"/>
  <c r="M119" i="3"/>
  <c r="C112" i="18" s="1"/>
  <c r="B104" i="18"/>
  <c r="J124" i="3"/>
  <c r="C117" i="17" s="1"/>
  <c r="J111" i="3"/>
  <c r="C104" i="17" s="1"/>
  <c r="J126" i="3"/>
  <c r="C119" i="17" s="1"/>
  <c r="M106" i="3"/>
  <c r="C99" i="18" s="1"/>
  <c r="M122" i="3"/>
  <c r="C115" i="18" s="1"/>
  <c r="B122" i="18"/>
  <c r="B92" i="17"/>
  <c r="B108" i="17"/>
  <c r="J119" i="3"/>
  <c r="C112" i="17" s="1"/>
  <c r="M131" i="3"/>
  <c r="C124" i="18" s="1"/>
  <c r="J103" i="3"/>
  <c r="C96" i="17" s="1"/>
  <c r="B117" i="17"/>
  <c r="B125" i="17"/>
  <c r="B92" i="18"/>
  <c r="B116" i="18"/>
  <c r="B110" i="17"/>
  <c r="B86" i="18"/>
  <c r="J95" i="3"/>
  <c r="C88" i="17" s="1"/>
  <c r="B87" i="18"/>
  <c r="J92" i="3"/>
  <c r="C85" i="17" s="1"/>
  <c r="M92" i="3"/>
  <c r="C85" i="18" s="1"/>
  <c r="B84" i="17"/>
  <c r="J91" i="3"/>
  <c r="C84" i="17" s="1"/>
  <c r="M91" i="3"/>
  <c r="C84" i="18" s="1"/>
  <c r="B83" i="17"/>
  <c r="M89" i="3"/>
  <c r="C82" i="18" s="1"/>
  <c r="M90" i="3"/>
  <c r="C83" i="18" s="1"/>
  <c r="J90" i="3"/>
  <c r="C83" i="17" s="1"/>
  <c r="J88" i="3"/>
  <c r="C81" i="17" s="1"/>
  <c r="J89" i="3"/>
  <c r="C82" i="17" s="1"/>
  <c r="B80" i="17"/>
  <c r="M88" i="3"/>
  <c r="C81" i="18" s="1"/>
  <c r="J87" i="3"/>
  <c r="C80" i="17" s="1"/>
  <c r="B79" i="17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62" i="4" l="1"/>
  <c r="B49" i="21" s="1"/>
  <c r="I41" i="4"/>
  <c r="B28" i="21" s="1"/>
  <c r="I39" i="4"/>
  <c r="B26" i="21" s="1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B36" i="21" s="1"/>
  <c r="I55" i="4"/>
  <c r="B42" i="21" s="1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</calcChain>
</file>

<file path=xl/sharedStrings.xml><?xml version="1.0" encoding="utf-8"?>
<sst xmlns="http://schemas.openxmlformats.org/spreadsheetml/2006/main" count="795" uniqueCount="454">
  <si>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</si>
  <si>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</si>
  <si>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</si>
  <si>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</si>
  <si>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</si>
  <si>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</si>
  <si>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</si>
  <si>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</si>
  <si>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</si>
  <si>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</si>
  <si>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</si>
  <si>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</si>
  <si>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</si>
  <si>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</si>
  <si>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</si>
  <si>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</si>
  <si>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</si>
  <si>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</si>
  <si>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</si>
  <si>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</si>
  <si>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</si>
  <si>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</si>
  <si>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</si>
  <si>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</si>
  <si>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</si>
  <si>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</si>
  <si>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</si>
  <si>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</si>
  <si>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</si>
  <si>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</si>
  <si>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</si>
  <si>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</si>
  <si>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</si>
  <si>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</si>
  <si>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</si>
  <si>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</si>
  <si>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</si>
  <si>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</si>
  <si>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</si>
  <si>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</si>
  <si>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</si>
  <si>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</si>
  <si>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</si>
  <si>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</si>
  <si>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</si>
  <si>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</si>
  <si>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</si>
  <si>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</si>
  <si>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</si>
  <si>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</si>
  <si>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</si>
  <si>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</si>
  <si>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</si>
  <si>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</si>
  <si>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</si>
  <si>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</si>
  <si>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</si>
  <si>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</si>
  <si>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</si>
  <si>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</si>
  <si>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</si>
  <si>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</si>
  <si>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</si>
  <si>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</si>
  <si>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</si>
  <si>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</si>
  <si>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</si>
  <si>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</si>
  <si>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</si>
  <si>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</si>
  <si>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</si>
  <si>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</si>
  <si>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</si>
  <si>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</si>
  <si>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</si>
  <si>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</si>
  <si>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</si>
  <si>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</si>
  <si>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</si>
  <si>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</si>
  <si>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</si>
  <si>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</si>
  <si>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</si>
  <si>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</si>
  <si>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</si>
  <si>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</si>
  <si>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</si>
  <si>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</si>
  <si>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</si>
  <si>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</si>
  <si>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</si>
  <si>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</si>
  <si>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</si>
  <si>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</si>
  <si>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</si>
  <si>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</si>
  <si>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</si>
  <si>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</si>
  <si>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</si>
  <si>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</si>
  <si>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</si>
  <si>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</si>
  <si>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</si>
  <si>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</si>
  <si>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</si>
  <si>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</si>
  <si>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</si>
  <si>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</si>
  <si>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</si>
  <si>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</si>
  <si>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</si>
  <si>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</si>
  <si>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</si>
  <si>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</si>
  <si>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</si>
  <si>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</si>
  <si>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</si>
  <si>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</si>
  <si>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</si>
  <si>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</si>
  <si>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</si>
  <si>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</si>
  <si>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</si>
  <si>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</si>
  <si>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</si>
  <si>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</si>
  <si>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</si>
  <si>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</si>
  <si>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</si>
  <si>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</si>
  <si>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</si>
  <si>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</si>
  <si>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</si>
  <si>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</si>
  <si>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</si>
  <si>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</si>
  <si>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</si>
  <si>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</si>
  <si>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</si>
  <si>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</si>
  <si>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</si>
  <si>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</si>
  <si>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</si>
  <si>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</si>
  <si>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</si>
  <si>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</si>
  <si>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</si>
  <si>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</si>
  <si>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</si>
  <si>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</si>
  <si>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</si>
  <si>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</si>
  <si>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</si>
  <si>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</si>
  <si>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</si>
  <si>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</si>
  <si>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</si>
  <si>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</si>
  <si>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</si>
  <si>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</si>
  <si>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</si>
  <si>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</si>
  <si>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</si>
  <si>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</si>
  <si>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</si>
  <si>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</si>
  <si>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</si>
  <si>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</si>
  <si>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</si>
  <si>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</si>
  <si>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</si>
  <si>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</si>
  <si>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</si>
  <si>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</si>
  <si>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</si>
  <si>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</si>
  <si>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</si>
  <si>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</si>
  <si>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</si>
  <si>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</si>
  <si>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</si>
  <si>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</si>
  <si>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</si>
  <si>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</si>
  <si>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</si>
  <si>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</si>
  <si>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</si>
  <si>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</si>
  <si>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</si>
  <si>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</si>
  <si>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</si>
  <si>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</si>
  <si>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</si>
  <si>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</si>
  <si>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</si>
  <si>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</si>
  <si>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</si>
  <si>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</si>
  <si>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</si>
  <si>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</si>
  <si>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</si>
  <si>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</si>
  <si>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</si>
  <si>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</si>
  <si>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</si>
  <si>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</si>
  <si>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</si>
  <si>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</si>
  <si>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</si>
  <si>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</si>
  <si>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</si>
  <si>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</si>
  <si>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</si>
  <si>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</si>
  <si>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</si>
  <si>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</si>
  <si>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</si>
  <si>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</si>
  <si>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</si>
  <si>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</si>
  <si>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</si>
  <si>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</si>
  <si>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</si>
  <si>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</si>
  <si>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</si>
  <si>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</si>
  <si>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</si>
  <si>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</si>
  <si>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</si>
  <si>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</si>
  <si>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</si>
  <si>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</si>
  <si>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</si>
  <si>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</si>
  <si>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</si>
  <si>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</si>
  <si>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</si>
  <si>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</si>
  <si>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</si>
  <si>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</si>
  <si>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</si>
  <si>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</si>
  <si>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</si>
  <si>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</si>
  <si>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</si>
  <si>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</si>
  <si>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</si>
  <si>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</si>
  <si>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</si>
  <si>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</si>
  <si>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</si>
  <si>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</si>
  <si>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</si>
  <si>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</si>
  <si>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</si>
  <si>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</si>
  <si>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</si>
  <si>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</si>
  <si>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</si>
  <si>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</si>
  <si>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</si>
  <si>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</si>
  <si>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</si>
  <si>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</si>
  <si>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</si>
  <si>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</si>
  <si>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</si>
  <si>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</si>
  <si>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</si>
  <si>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</si>
  <si>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</si>
  <si>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</si>
  <si>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</si>
  <si>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</si>
  <si>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</si>
  <si>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</si>
  <si>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</si>
  <si>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</si>
  <si>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</si>
  <si>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</si>
  <si>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</si>
  <si>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</si>
  <si>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</si>
  <si>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</si>
  <si>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</si>
  <si>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</si>
  <si>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</si>
  <si>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</si>
  <si>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</si>
  <si>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</si>
  <si>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</si>
  <si>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</si>
  <si>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</si>
  <si>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</si>
  <si>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</si>
  <si>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</si>
  <si>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</si>
  <si>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</si>
  <si>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</si>
  <si>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</si>
  <si>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</si>
  <si>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</si>
  <si>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</si>
  <si>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</si>
  <si>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</si>
  <si>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</si>
  <si>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</si>
  <si>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</si>
  <si>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</si>
  <si>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</si>
  <si>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</si>
  <si>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</si>
  <si>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</si>
  <si>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</si>
  <si>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</si>
  <si>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</si>
  <si>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</si>
  <si>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</si>
  <si>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</si>
  <si>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</si>
  <si>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</si>
  <si>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</si>
  <si>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</si>
  <si>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4. Click on the Get Data Button (Below) -- This copies in the updated CBO data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</si>
  <si>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</si>
  <si>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</si>
  <si>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</si>
  <si>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</si>
  <si>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</si>
  <si>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</si>
  <si>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</si>
  <si>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</si>
  <si>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</si>
  <si>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</si>
  <si>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</si>
  <si>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</si>
  <si>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</si>
  <si>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</si>
  <si>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</si>
  <si>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</si>
  <si>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</si>
  <si>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</si>
  <si>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</si>
  <si>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</si>
  <si>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</si>
  <si>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</si>
  <si>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</si>
  <si>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</si>
  <si>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</si>
  <si>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</si>
  <si>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</si>
  <si>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</si>
  <si>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</si>
  <si>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</si>
  <si>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</si>
  <si>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</si>
  <si>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</si>
  <si>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</si>
  <si>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</si>
  <si>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</si>
  <si>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</si>
  <si>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</si>
  <si>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</si>
  <si>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</si>
  <si>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</si>
  <si>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</si>
  <si>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</si>
  <si>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</si>
  <si>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</si>
  <si>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</si>
  <si>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</si>
  <si>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</si>
  <si>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</si>
  <si>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</si>
  <si>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</si>
  <si>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</si>
  <si>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</si>
  <si>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</si>
  <si>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</si>
  <si>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</si>
  <si>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</si>
  <si>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</si>
  <si>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</si>
  <si>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</si>
  <si>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</si>
  <si>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</si>
  <si>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</si>
  <si>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</si>
  <si>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</si>
  <si>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</si>
  <si>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</si>
  <si>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</si>
  <si>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</si>
  <si>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</si>
  <si>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</si>
  <si>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Jun-16-2015 11:25 FJBLMCP: Jun-16-2015 11:25</t>
  </si>
  <si>
    <t>FJBLMDP: CBO FJBLMCP: CBO</t>
  </si>
  <si>
    <t>RESULT: 2090 FJBLMDP: 2090 FJBLMCP: 2090</t>
  </si>
  <si>
    <t>RESULT: 2015 FJBLMDP: 2015 FJBLMCP: 2015</t>
  </si>
  <si>
    <t>FJBLMDP: CBO Ext Baseline as % of GDP: Outlays: Medicaid, CHIP &amp; Exch Subsidies(FY, %) FJBLMCP: CBO Extended Baseline as % of GDP: Outlays: Medicare (Fiscal Year, %)</t>
  </si>
  <si>
    <t>Jun-16-2015 11:25</t>
  </si>
  <si>
    <t>CBO</t>
  </si>
  <si>
    <t>2090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</si>
  <si>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</si>
  <si>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</si>
  <si>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</si>
  <si>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</si>
  <si>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2015 HJBDEMMP: 2015 HJBDEMDP: 2015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</si>
  <si>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</si>
  <si>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</si>
  <si>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Jan-25-2016 14:52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</si>
  <si>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</si>
  <si>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</si>
  <si>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</si>
  <si>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</si>
  <si>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2015 HJBUDEP: 2015 HJBDEIP: 2015 HJBDEMSP: 2015 HJBDEMMP: 2015 HJBDEMDP: 2015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</si>
  <si>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</si>
  <si>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</si>
  <si>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</si>
  <si>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</si>
  <si>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</si>
  <si>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</si>
  <si>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</si>
  <si>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</si>
  <si>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</si>
  <si>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</si>
  <si>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</si>
  <si>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</si>
  <si>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</si>
  <si>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</si>
  <si>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</si>
  <si>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Mar-22-2016 17:34</t>
  </si>
  <si>
    <t>201602</t>
  </si>
  <si>
    <t>HJBDEMMP: Mar-24-2016 14:41 HJBDEMDP: Jan-25-2016 14:52</t>
  </si>
  <si>
    <t>Mar-24-2016 14:41</t>
  </si>
  <si>
    <t>HJBUDEP: Mar-24-2016 14:41 HJBDEIP: Mar-24-2016 14:41 HJBDEMSP: Jan-25-2016 14:52 HJBDEMMP: Mar-24-2016 14:41 HJBDEMDP: Jan-25-2016 14:52</t>
  </si>
  <si>
    <t>Mar-24-2016 14:31</t>
  </si>
  <si>
    <t>4.5</t>
  </si>
  <si>
    <t>4.7</t>
  </si>
  <si>
    <t>Apr-01-2016 08:31</t>
  </si>
  <si>
    <t>Apr-01-2016 08:33</t>
  </si>
  <si>
    <t>Apr-01-2016 08:51</t>
  </si>
  <si>
    <t>201603</t>
  </si>
  <si>
    <t>2016 [Q1-2016]</t>
  </si>
  <si>
    <t>2016-Q1</t>
  </si>
  <si>
    <t>Q1-2016</t>
  </si>
  <si>
    <t>6.2</t>
  </si>
  <si>
    <t>6.5</t>
  </si>
  <si>
    <t>4.8</t>
  </si>
  <si>
    <t>3.9</t>
  </si>
  <si>
    <t>-1.1</t>
  </si>
  <si>
    <t>4.0</t>
  </si>
  <si>
    <t>8.1</t>
  </si>
  <si>
    <t>10.3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</si>
</sst>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9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21" fillId="2" borderId="0" xfId="0" applyFont="1" applyFill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-6000</c:v>
                </c:pt>
                <c:pt idx="40">
                  <c:v>2000</c:v>
                </c:pt>
                <c:pt idx="41">
                  <c:v>1000</c:v>
                </c:pt>
                <c:pt idx="42">
                  <c:v>-13000</c:v>
                </c:pt>
                <c:pt idx="43">
                  <c:v>-14000</c:v>
                </c:pt>
                <c:pt idx="44">
                  <c:v>15000</c:v>
                </c:pt>
                <c:pt idx="45">
                  <c:v>-8000</c:v>
                </c:pt>
                <c:pt idx="46">
                  <c:v>13000</c:v>
                </c:pt>
                <c:pt idx="47">
                  <c:v>-2000</c:v>
                </c:pt>
                <c:pt idx="48">
                  <c:v>-33000</c:v>
                </c:pt>
                <c:pt idx="49">
                  <c:v>-8000</c:v>
                </c:pt>
                <c:pt idx="50">
                  <c:v>13000</c:v>
                </c:pt>
                <c:pt idx="51">
                  <c:v>-15000</c:v>
                </c:pt>
                <c:pt idx="52">
                  <c:v>12000</c:v>
                </c:pt>
                <c:pt idx="53">
                  <c:v>2000</c:v>
                </c:pt>
                <c:pt idx="54">
                  <c:v>-1000</c:v>
                </c:pt>
                <c:pt idx="55">
                  <c:v>11000</c:v>
                </c:pt>
                <c:pt idx="56">
                  <c:v>-21000</c:v>
                </c:pt>
                <c:pt idx="57">
                  <c:v>-14000</c:v>
                </c:pt>
                <c:pt idx="58">
                  <c:v>36000</c:v>
                </c:pt>
                <c:pt idx="59">
                  <c:v>6000</c:v>
                </c:pt>
                <c:pt idx="60">
                  <c:v>-4000</c:v>
                </c:pt>
                <c:pt idx="61">
                  <c:v>10000</c:v>
                </c:pt>
                <c:pt idx="62">
                  <c:v>-23000</c:v>
                </c:pt>
                <c:pt idx="63">
                  <c:v>-3000</c:v>
                </c:pt>
                <c:pt idx="64">
                  <c:v>13000</c:v>
                </c:pt>
                <c:pt idx="65">
                  <c:v>13000</c:v>
                </c:pt>
                <c:pt idx="66">
                  <c:v>30000</c:v>
                </c:pt>
                <c:pt idx="67">
                  <c:v>-2000</c:v>
                </c:pt>
                <c:pt idx="68">
                  <c:v>36000</c:v>
                </c:pt>
                <c:pt idx="69">
                  <c:v>-13000</c:v>
                </c:pt>
                <c:pt idx="70">
                  <c:v>-16000</c:v>
                </c:pt>
                <c:pt idx="71">
                  <c:v>47000</c:v>
                </c:pt>
                <c:pt idx="72">
                  <c:v>10000</c:v>
                </c:pt>
                <c:pt idx="73">
                  <c:v>0</c:v>
                </c:pt>
                <c:pt idx="74">
                  <c:v>9000</c:v>
                </c:pt>
                <c:pt idx="75">
                  <c:v>10000</c:v>
                </c:pt>
                <c:pt idx="76">
                  <c:v>9000</c:v>
                </c:pt>
                <c:pt idx="77">
                  <c:v>-6000</c:v>
                </c:pt>
                <c:pt idx="78">
                  <c:v>7000</c:v>
                </c:pt>
                <c:pt idx="79">
                  <c:v>15000</c:v>
                </c:pt>
                <c:pt idx="80">
                  <c:v>2000</c:v>
                </c:pt>
                <c:pt idx="81">
                  <c:v>33000</c:v>
                </c:pt>
                <c:pt idx="82">
                  <c:v>25000</c:v>
                </c:pt>
                <c:pt idx="83">
                  <c:v>-14000</c:v>
                </c:pt>
                <c:pt idx="84">
                  <c:v>-7000</c:v>
                </c:pt>
                <c:pt idx="85">
                  <c:v>-5000</c:v>
                </c:pt>
                <c:pt idx="86">
                  <c:v>2000</c:v>
                </c:pt>
                <c:pt idx="87">
                  <c:v>18000</c:v>
                </c:pt>
                <c:pt idx="88">
                  <c:v>4000</c:v>
                </c:pt>
                <c:pt idx="89">
                  <c:v>18000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68946304"/>
        <c:axId val="16894809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-12000</c:v>
                </c:pt>
                <c:pt idx="40">
                  <c:v>-5000</c:v>
                </c:pt>
                <c:pt idx="41">
                  <c:v>-1000</c:v>
                </c:pt>
                <c:pt idx="42">
                  <c:v>-3333.3333333333335</c:v>
                </c:pt>
                <c:pt idx="43">
                  <c:v>-8666.6666666666661</c:v>
                </c:pt>
                <c:pt idx="44">
                  <c:v>-4000</c:v>
                </c:pt>
                <c:pt idx="45">
                  <c:v>-2333.3333333333335</c:v>
                </c:pt>
                <c:pt idx="46">
                  <c:v>6666.666666666667</c:v>
                </c:pt>
                <c:pt idx="47">
                  <c:v>1000</c:v>
                </c:pt>
                <c:pt idx="48">
                  <c:v>-7333.333333333333</c:v>
                </c:pt>
                <c:pt idx="49">
                  <c:v>-14333.333333333334</c:v>
                </c:pt>
                <c:pt idx="50">
                  <c:v>-9333.3333333333339</c:v>
                </c:pt>
                <c:pt idx="51">
                  <c:v>-3333.3333333333335</c:v>
                </c:pt>
                <c:pt idx="52">
                  <c:v>3333.3333333333335</c:v>
                </c:pt>
                <c:pt idx="53">
                  <c:v>-333.33333333333331</c:v>
                </c:pt>
                <c:pt idx="54">
                  <c:v>4333.333333333333</c:v>
                </c:pt>
                <c:pt idx="55">
                  <c:v>4000</c:v>
                </c:pt>
                <c:pt idx="56">
                  <c:v>-3666.6666666666665</c:v>
                </c:pt>
                <c:pt idx="57">
                  <c:v>-8000</c:v>
                </c:pt>
                <c:pt idx="58">
                  <c:v>333.33333333333331</c:v>
                </c:pt>
                <c:pt idx="59">
                  <c:v>9333.3333333333339</c:v>
                </c:pt>
                <c:pt idx="60">
                  <c:v>12666.666666666666</c:v>
                </c:pt>
                <c:pt idx="61">
                  <c:v>4000</c:v>
                </c:pt>
                <c:pt idx="62">
                  <c:v>-5666.666666666667</c:v>
                </c:pt>
                <c:pt idx="63">
                  <c:v>-5333.333333333333</c:v>
                </c:pt>
                <c:pt idx="64">
                  <c:v>-4333.333333333333</c:v>
                </c:pt>
                <c:pt idx="65">
                  <c:v>7666.666666666667</c:v>
                </c:pt>
                <c:pt idx="66">
                  <c:v>18666.666666666668</c:v>
                </c:pt>
                <c:pt idx="67">
                  <c:v>13666.666666666666</c:v>
                </c:pt>
                <c:pt idx="68">
                  <c:v>21333.333333333332</c:v>
                </c:pt>
                <c:pt idx="69">
                  <c:v>7000</c:v>
                </c:pt>
                <c:pt idx="70">
                  <c:v>2333.3333333333335</c:v>
                </c:pt>
                <c:pt idx="71">
                  <c:v>6000</c:v>
                </c:pt>
                <c:pt idx="72">
                  <c:v>13666.666666666666</c:v>
                </c:pt>
                <c:pt idx="73">
                  <c:v>19000</c:v>
                </c:pt>
                <c:pt idx="74">
                  <c:v>6333.333333333333</c:v>
                </c:pt>
                <c:pt idx="75">
                  <c:v>6333.333333333333</c:v>
                </c:pt>
                <c:pt idx="76">
                  <c:v>9333.3333333333339</c:v>
                </c:pt>
                <c:pt idx="77">
                  <c:v>4333.333333333333</c:v>
                </c:pt>
                <c:pt idx="78">
                  <c:v>3333.3333333333335</c:v>
                </c:pt>
                <c:pt idx="79">
                  <c:v>5333.333333333333</c:v>
                </c:pt>
                <c:pt idx="80">
                  <c:v>8000</c:v>
                </c:pt>
                <c:pt idx="81">
                  <c:v>16666.666666666668</c:v>
                </c:pt>
                <c:pt idx="82">
                  <c:v>20000</c:v>
                </c:pt>
                <c:pt idx="83">
                  <c:v>14666.666666666666</c:v>
                </c:pt>
                <c:pt idx="84">
                  <c:v>1333.3333333333333</c:v>
                </c:pt>
                <c:pt idx="85">
                  <c:v>-8666.6666666666661</c:v>
                </c:pt>
                <c:pt idx="86">
                  <c:v>-3333.3333333333335</c:v>
                </c:pt>
                <c:pt idx="87">
                  <c:v>5000</c:v>
                </c:pt>
                <c:pt idx="88">
                  <c:v>8000</c:v>
                </c:pt>
                <c:pt idx="89">
                  <c:v>13333.333333333334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46304"/>
        <c:axId val="168948096"/>
      </c:lineChart>
      <c:dateAx>
        <c:axId val="16894630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68948096"/>
        <c:crosses val="autoZero"/>
        <c:auto val="1"/>
        <c:lblOffset val="100"/>
        <c:baseTimeUnit val="months"/>
        <c:majorUnit val="1"/>
        <c:majorTimeUnit val="years"/>
      </c:dateAx>
      <c:valAx>
        <c:axId val="168948096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68946304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-5000</c:v>
                </c:pt>
                <c:pt idx="40">
                  <c:v>-2500</c:v>
                </c:pt>
                <c:pt idx="41">
                  <c:v>1300.0000000001819</c:v>
                </c:pt>
                <c:pt idx="42">
                  <c:v>-1000</c:v>
                </c:pt>
                <c:pt idx="43">
                  <c:v>-100.0000000003638</c:v>
                </c:pt>
                <c:pt idx="44">
                  <c:v>1700.0000000002728</c:v>
                </c:pt>
                <c:pt idx="45">
                  <c:v>-9200.0000000002728</c:v>
                </c:pt>
                <c:pt idx="46">
                  <c:v>5900.0000000000909</c:v>
                </c:pt>
                <c:pt idx="47">
                  <c:v>8200.0000000002728</c:v>
                </c:pt>
                <c:pt idx="48">
                  <c:v>-4400.0000000000909</c:v>
                </c:pt>
                <c:pt idx="49">
                  <c:v>-3599.9999999999091</c:v>
                </c:pt>
                <c:pt idx="50">
                  <c:v>-1000</c:v>
                </c:pt>
                <c:pt idx="51">
                  <c:v>-3900.0000000000909</c:v>
                </c:pt>
                <c:pt idx="52">
                  <c:v>-99.999999999909051</c:v>
                </c:pt>
                <c:pt idx="53">
                  <c:v>-2500</c:v>
                </c:pt>
                <c:pt idx="54">
                  <c:v>-9100.0000000003638</c:v>
                </c:pt>
                <c:pt idx="55">
                  <c:v>-10099.999999999909</c:v>
                </c:pt>
                <c:pt idx="56">
                  <c:v>-6500</c:v>
                </c:pt>
                <c:pt idx="57">
                  <c:v>-7199.9999999998181</c:v>
                </c:pt>
                <c:pt idx="58">
                  <c:v>-8599.9999999999091</c:v>
                </c:pt>
                <c:pt idx="59">
                  <c:v>-900.00000000009095</c:v>
                </c:pt>
                <c:pt idx="60">
                  <c:v>-8900.0000000000909</c:v>
                </c:pt>
                <c:pt idx="61">
                  <c:v>2500</c:v>
                </c:pt>
                <c:pt idx="62">
                  <c:v>-5000</c:v>
                </c:pt>
                <c:pt idx="63">
                  <c:v>-3199.9999999998181</c:v>
                </c:pt>
                <c:pt idx="64">
                  <c:v>-5500</c:v>
                </c:pt>
                <c:pt idx="65">
                  <c:v>-2000</c:v>
                </c:pt>
                <c:pt idx="66">
                  <c:v>-2700.0000000002728</c:v>
                </c:pt>
                <c:pt idx="67">
                  <c:v>-699.9999999998181</c:v>
                </c:pt>
                <c:pt idx="68">
                  <c:v>2299.9999999997272</c:v>
                </c:pt>
                <c:pt idx="69">
                  <c:v>3000</c:v>
                </c:pt>
                <c:pt idx="70">
                  <c:v>1200.0000000002728</c:v>
                </c:pt>
                <c:pt idx="71">
                  <c:v>400.00000000009095</c:v>
                </c:pt>
                <c:pt idx="72">
                  <c:v>2299.9999999997272</c:v>
                </c:pt>
                <c:pt idx="73">
                  <c:v>2500</c:v>
                </c:pt>
                <c:pt idx="74">
                  <c:v>1900.0000000000909</c:v>
                </c:pt>
                <c:pt idx="75">
                  <c:v>4400.0000000000909</c:v>
                </c:pt>
                <c:pt idx="76">
                  <c:v>-700.00000000027285</c:v>
                </c:pt>
                <c:pt idx="77">
                  <c:v>1000</c:v>
                </c:pt>
                <c:pt idx="78">
                  <c:v>1600.0000000003638</c:v>
                </c:pt>
                <c:pt idx="79">
                  <c:v>3099.9999999999091</c:v>
                </c:pt>
                <c:pt idx="80">
                  <c:v>-800.0000000001819</c:v>
                </c:pt>
                <c:pt idx="81">
                  <c:v>800.0000000001819</c:v>
                </c:pt>
                <c:pt idx="82">
                  <c:v>599.99999999990905</c:v>
                </c:pt>
                <c:pt idx="83">
                  <c:v>400.00000000009095</c:v>
                </c:pt>
                <c:pt idx="84">
                  <c:v>-400.00000000009095</c:v>
                </c:pt>
                <c:pt idx="85">
                  <c:v>2300.0000000001819</c:v>
                </c:pt>
                <c:pt idx="86">
                  <c:v>4500</c:v>
                </c:pt>
                <c:pt idx="87">
                  <c:v>799.99999999972715</c:v>
                </c:pt>
                <c:pt idx="88">
                  <c:v>0</c:v>
                </c:pt>
                <c:pt idx="89">
                  <c:v>-400.00000000009095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69072896"/>
        <c:axId val="16907878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-3566.666666666606</c:v>
                </c:pt>
                <c:pt idx="40" formatCode="0.00">
                  <c:v>-3466.666666666697</c:v>
                </c:pt>
                <c:pt idx="41" formatCode="0.00">
                  <c:v>-2066.666666666606</c:v>
                </c:pt>
                <c:pt idx="42" formatCode="0.00">
                  <c:v>-733.33333333327266</c:v>
                </c:pt>
                <c:pt idx="43" formatCode="0.00">
                  <c:v>66.666666666606034</c:v>
                </c:pt>
                <c:pt idx="44" formatCode="0.00">
                  <c:v>199.99999999996967</c:v>
                </c:pt>
                <c:pt idx="45" formatCode="0.00">
                  <c:v>-2533.3333333334544</c:v>
                </c:pt>
                <c:pt idx="46" formatCode="0.00">
                  <c:v>-533.33333333330302</c:v>
                </c:pt>
                <c:pt idx="47" formatCode="0.00">
                  <c:v>1633.3333333333637</c:v>
                </c:pt>
                <c:pt idx="48" formatCode="0.00">
                  <c:v>3233.3333333334244</c:v>
                </c:pt>
                <c:pt idx="49" formatCode="0.00">
                  <c:v>66.666666666757621</c:v>
                </c:pt>
                <c:pt idx="50" formatCode="0.00">
                  <c:v>-3000</c:v>
                </c:pt>
                <c:pt idx="51" formatCode="0.00">
                  <c:v>-2833.3333333333335</c:v>
                </c:pt>
                <c:pt idx="52" formatCode="0.00">
                  <c:v>-1666.6666666666667</c:v>
                </c:pt>
                <c:pt idx="53" formatCode="0.00">
                  <c:v>-2166.6666666666665</c:v>
                </c:pt>
                <c:pt idx="54" formatCode="0.00">
                  <c:v>-3900.0000000000909</c:v>
                </c:pt>
                <c:pt idx="55" formatCode="0.00">
                  <c:v>-7233.333333333424</c:v>
                </c:pt>
                <c:pt idx="56" formatCode="0.00">
                  <c:v>-8566.666666666757</c:v>
                </c:pt>
                <c:pt idx="57" formatCode="0.00">
                  <c:v>-7933.3333333332421</c:v>
                </c:pt>
                <c:pt idx="58" formatCode="0.00">
                  <c:v>-7433.3333333332421</c:v>
                </c:pt>
                <c:pt idx="59" formatCode="0.00">
                  <c:v>-5566.666666666606</c:v>
                </c:pt>
                <c:pt idx="60" formatCode="0.00">
                  <c:v>-6133.333333333364</c:v>
                </c:pt>
                <c:pt idx="61" formatCode="0.00">
                  <c:v>-2433.333333333394</c:v>
                </c:pt>
                <c:pt idx="62" formatCode="0.00">
                  <c:v>-3800.0000000000305</c:v>
                </c:pt>
                <c:pt idx="63" formatCode="0.00">
                  <c:v>-1899.9999999999393</c:v>
                </c:pt>
                <c:pt idx="64" formatCode="0.00">
                  <c:v>-4566.666666666606</c:v>
                </c:pt>
                <c:pt idx="65" formatCode="0.00">
                  <c:v>-3566.666666666606</c:v>
                </c:pt>
                <c:pt idx="66" formatCode="0.00">
                  <c:v>-3400.0000000000909</c:v>
                </c:pt>
                <c:pt idx="67" formatCode="0.00">
                  <c:v>-1800.0000000000302</c:v>
                </c:pt>
                <c:pt idx="68" formatCode="0.00">
                  <c:v>-366.66666666678793</c:v>
                </c:pt>
                <c:pt idx="69" formatCode="0.00">
                  <c:v>1533.333333333303</c:v>
                </c:pt>
                <c:pt idx="70" formatCode="0.00">
                  <c:v>2166.6666666666665</c:v>
                </c:pt>
                <c:pt idx="71" formatCode="0.00">
                  <c:v>1533.3333333334547</c:v>
                </c:pt>
                <c:pt idx="72" formatCode="0.00">
                  <c:v>1300.0000000000302</c:v>
                </c:pt>
                <c:pt idx="73" formatCode="0.00">
                  <c:v>1733.3333333332728</c:v>
                </c:pt>
                <c:pt idx="74" formatCode="0.00">
                  <c:v>2233.3333333332725</c:v>
                </c:pt>
                <c:pt idx="75" formatCode="0.00">
                  <c:v>2933.333333333394</c:v>
                </c:pt>
                <c:pt idx="76" formatCode="0.00">
                  <c:v>1866.6666666666363</c:v>
                </c:pt>
                <c:pt idx="77" formatCode="0.00">
                  <c:v>1566.666666666606</c:v>
                </c:pt>
                <c:pt idx="78" formatCode="0.00">
                  <c:v>633.33333333336361</c:v>
                </c:pt>
                <c:pt idx="79" formatCode="0.00">
                  <c:v>1900.0000000000909</c:v>
                </c:pt>
                <c:pt idx="80" formatCode="0.00">
                  <c:v>1300.0000000000302</c:v>
                </c:pt>
                <c:pt idx="81" formatCode="0.00">
                  <c:v>1033.333333333303</c:v>
                </c:pt>
                <c:pt idx="82" formatCode="0.00">
                  <c:v>199.99999999996967</c:v>
                </c:pt>
                <c:pt idx="83" formatCode="0.00">
                  <c:v>600.0000000000606</c:v>
                </c:pt>
                <c:pt idx="84" formatCode="0.00">
                  <c:v>199.99999999996967</c:v>
                </c:pt>
                <c:pt idx="85" formatCode="0.00">
                  <c:v>766.66666666672734</c:v>
                </c:pt>
                <c:pt idx="86" formatCode="0.00">
                  <c:v>2133.3333333333635</c:v>
                </c:pt>
                <c:pt idx="87" formatCode="0.00">
                  <c:v>2533.333333333303</c:v>
                </c:pt>
                <c:pt idx="88" formatCode="0.00">
                  <c:v>1766.6666666665758</c:v>
                </c:pt>
                <c:pt idx="89" formatCode="0.00">
                  <c:v>133.33333333321207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072896"/>
        <c:axId val="169078784"/>
      </c:lineChart>
      <c:dateAx>
        <c:axId val="16907289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69078784"/>
        <c:crosses val="autoZero"/>
        <c:auto val="1"/>
        <c:lblOffset val="100"/>
        <c:baseTimeUnit val="months"/>
        <c:majorUnit val="1"/>
        <c:majorTimeUnit val="years"/>
      </c:dateAx>
      <c:valAx>
        <c:axId val="16907878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6907289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227.6</c:v>
                </c:pt>
                <c:pt idx="17">
                  <c:v>228.7</c:v>
                </c:pt>
                <c:pt idx="18">
                  <c:v>228.1</c:v>
                </c:pt>
                <c:pt idx="19">
                  <c:v>224.7</c:v>
                </c:pt>
                <c:pt idx="20">
                  <c:v>221.4</c:v>
                </c:pt>
                <c:pt idx="21">
                  <c:v>228.1</c:v>
                </c:pt>
                <c:pt idx="22">
                  <c:v>228.2</c:v>
                </c:pt>
                <c:pt idx="23">
                  <c:v>230.5</c:v>
                </c:pt>
                <c:pt idx="24">
                  <c:v>225.2</c:v>
                </c:pt>
                <c:pt idx="25">
                  <c:v>241.4</c:v>
                </c:pt>
                <c:pt idx="26">
                  <c:v>246.9</c:v>
                </c:pt>
                <c:pt idx="27">
                  <c:v>240.5</c:v>
                </c:pt>
                <c:pt idx="28">
                  <c:v>250.1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35328"/>
        <c:axId val="170436864"/>
      </c:lineChart>
      <c:dateAx>
        <c:axId val="1704353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0436864"/>
        <c:crosses val="autoZero"/>
        <c:auto val="1"/>
        <c:lblOffset val="100"/>
        <c:baseTimeUnit val="months"/>
        <c:majorUnit val="1"/>
        <c:majorTimeUnit val="years"/>
      </c:dateAx>
      <c:valAx>
        <c:axId val="17043686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04353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3.1631538354072786E-2</c:v>
                </c:pt>
                <c:pt idx="42">
                  <c:v>2.0132977572384581E-2</c:v>
                </c:pt>
                <c:pt idx="43">
                  <c:v>2.7448666096725083E-2</c:v>
                </c:pt>
                <c:pt idx="44">
                  <c:v>3.3399632048569494E-2</c:v>
                </c:pt>
                <c:pt idx="45">
                  <c:v>5.0591412087171495E-2</c:v>
                </c:pt>
                <c:pt idx="46">
                  <c:v>5.8896692212126955E-2</c:v>
                </c:pt>
                <c:pt idx="47">
                  <c:v>5.5479352937989557E-2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22528"/>
        <c:axId val="169224064"/>
      </c:lineChart>
      <c:dateAx>
        <c:axId val="16922252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69224064"/>
        <c:crossesAt val="0"/>
        <c:auto val="1"/>
        <c:lblOffset val="100"/>
        <c:baseTimeUnit val="months"/>
        <c:majorUnit val="1"/>
        <c:majorTimeUnit val="years"/>
      </c:dateAx>
      <c:valAx>
        <c:axId val="16922406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6922252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5.524</c:v>
                </c:pt>
                <c:pt idx="41">
                  <c:v>5.4</c:v>
                </c:pt>
                <c:pt idx="42">
                  <c:v>5.3</c:v>
                </c:pt>
                <c:pt idx="43">
                  <c:v>5.1999999999999993</c:v>
                </c:pt>
                <c:pt idx="44">
                  <c:v>5.4</c:v>
                </c:pt>
                <c:pt idx="45">
                  <c:v>5.5</c:v>
                </c:pt>
                <c:pt idx="46">
                  <c:v>5.6</c:v>
                </c:pt>
                <c:pt idx="47">
                  <c:v>5.9</c:v>
                </c:pt>
                <c:pt idx="48">
                  <c:v>5.9</c:v>
                </c:pt>
                <c:pt idx="49">
                  <c:v>5.8</c:v>
                </c:pt>
                <c:pt idx="50">
                  <c:v>6.1</c:v>
                </c:pt>
                <c:pt idx="51">
                  <c:v>6.2</c:v>
                </c:pt>
                <c:pt idx="52">
                  <c:v>6.3</c:v>
                </c:pt>
                <c:pt idx="53">
                  <c:v>6.4</c:v>
                </c:pt>
                <c:pt idx="54">
                  <c:v>6.6</c:v>
                </c:pt>
                <c:pt idx="55">
                  <c:v>6.8000000000000007</c:v>
                </c:pt>
                <c:pt idx="56">
                  <c:v>6.9</c:v>
                </c:pt>
                <c:pt idx="57">
                  <c:v>7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4.952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5.9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6.2</c:v>
                </c:pt>
                <c:pt idx="60">
                  <c:v>6.3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1.2529999999999999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2.2000000000000002</c:v>
                </c:pt>
                <c:pt idx="45">
                  <c:v>2.4</c:v>
                </c:pt>
                <c:pt idx="46">
                  <c:v>2.6</c:v>
                </c:pt>
                <c:pt idx="47">
                  <c:v>2.7</c:v>
                </c:pt>
                <c:pt idx="48">
                  <c:v>2.8</c:v>
                </c:pt>
                <c:pt idx="49">
                  <c:v>2.9</c:v>
                </c:pt>
                <c:pt idx="50">
                  <c:v>3</c:v>
                </c:pt>
                <c:pt idx="51">
                  <c:v>3.1</c:v>
                </c:pt>
                <c:pt idx="52">
                  <c:v>3.2</c:v>
                </c:pt>
                <c:pt idx="53">
                  <c:v>3.3</c:v>
                </c:pt>
                <c:pt idx="54">
                  <c:v>3.4</c:v>
                </c:pt>
                <c:pt idx="55">
                  <c:v>3.5</c:v>
                </c:pt>
                <c:pt idx="56">
                  <c:v>3.6</c:v>
                </c:pt>
                <c:pt idx="57">
                  <c:v>3.7</c:v>
                </c:pt>
                <c:pt idx="58">
                  <c:v>3.7</c:v>
                </c:pt>
                <c:pt idx="59">
                  <c:v>3.8</c:v>
                </c:pt>
                <c:pt idx="60">
                  <c:v>3.9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8.9799999999999986</c:v>
                </c:pt>
                <c:pt idx="41">
                  <c:v>9.1999999999999993</c:v>
                </c:pt>
                <c:pt idx="42">
                  <c:v>8.8000000000000007</c:v>
                </c:pt>
                <c:pt idx="43">
                  <c:v>8.4</c:v>
                </c:pt>
                <c:pt idx="44">
                  <c:v>8.1999999999999993</c:v>
                </c:pt>
                <c:pt idx="45">
                  <c:v>8.1</c:v>
                </c:pt>
                <c:pt idx="46">
                  <c:v>7.9</c:v>
                </c:pt>
                <c:pt idx="47">
                  <c:v>7.9</c:v>
                </c:pt>
                <c:pt idx="48">
                  <c:v>7.6</c:v>
                </c:pt>
                <c:pt idx="49">
                  <c:v>7.4</c:v>
                </c:pt>
                <c:pt idx="50">
                  <c:v>7.4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2.2530000000000001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5.1560000000000006</c:v>
                </c:pt>
                <c:pt idx="39">
                  <c:v>5.2450000000000001</c:v>
                </c:pt>
                <c:pt idx="40">
                  <c:v>5.524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1.339</c:v>
                </c:pt>
                <c:pt idx="39">
                  <c:v>1.3320000000000001</c:v>
                </c:pt>
                <c:pt idx="40">
                  <c:v>1.2529999999999999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4.8970000000000002</c:v>
                </c:pt>
                <c:pt idx="39">
                  <c:v>4.9169999999999998</c:v>
                </c:pt>
                <c:pt idx="40">
                  <c:v>4.952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11.244000000000002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9.5480000000000018</c:v>
                </c:pt>
                <c:pt idx="39">
                  <c:v>8.91</c:v>
                </c:pt>
                <c:pt idx="40">
                  <c:v>8.9799999999999986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20544"/>
        <c:axId val="171822080"/>
      </c:lineChart>
      <c:dateAx>
        <c:axId val="17182054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1822080"/>
        <c:crosses val="autoZero"/>
        <c:auto val="1"/>
        <c:lblOffset val="100"/>
        <c:baseTimeUnit val="months"/>
        <c:majorUnit val="10"/>
        <c:majorTimeUnit val="years"/>
      </c:dateAx>
      <c:valAx>
        <c:axId val="17182208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182054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74.400000000000006</c:v>
                </c:pt>
                <c:pt idx="38">
                  <c:v>73.599999999999994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73.599999999999994</c:v>
                </c:pt>
                <c:pt idx="39">
                  <c:v>75.400000000000006</c:v>
                </c:pt>
                <c:pt idx="40">
                  <c:v>75.5</c:v>
                </c:pt>
                <c:pt idx="41">
                  <c:v>75.400000000000006</c:v>
                </c:pt>
                <c:pt idx="42">
                  <c:v>76.2</c:v>
                </c:pt>
                <c:pt idx="43">
                  <c:v>77.2</c:v>
                </c:pt>
                <c:pt idx="44">
                  <c:v>78.3</c:v>
                </c:pt>
                <c:pt idx="45">
                  <c:v>79.8</c:v>
                </c:pt>
                <c:pt idx="46">
                  <c:v>81.2</c:v>
                </c:pt>
                <c:pt idx="47">
                  <c:v>82.4</c:v>
                </c:pt>
                <c:pt idx="48">
                  <c:v>83.9</c:v>
                </c:pt>
                <c:pt idx="49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31712"/>
        <c:axId val="169337600"/>
      </c:lineChart>
      <c:dateAx>
        <c:axId val="1693317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69337600"/>
        <c:crosses val="autoZero"/>
        <c:auto val="1"/>
        <c:lblOffset val="100"/>
        <c:baseTimeUnit val="months"/>
        <c:majorUnit val="5"/>
        <c:majorTimeUnit val="years"/>
      </c:dateAx>
      <c:valAx>
        <c:axId val="1693376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6933171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-4.1189999999999998</c:v>
                </c:pt>
                <c:pt idx="37">
                  <c:v>-2.82</c:v>
                </c:pt>
                <c:pt idx="38">
                  <c:v>-2.4620000000000002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-2.5</c:v>
                </c:pt>
                <c:pt idx="39">
                  <c:v>-2.9</c:v>
                </c:pt>
                <c:pt idx="40">
                  <c:v>-2.8</c:v>
                </c:pt>
                <c:pt idx="41">
                  <c:v>-2.7</c:v>
                </c:pt>
                <c:pt idx="42">
                  <c:v>-3.4</c:v>
                </c:pt>
                <c:pt idx="43">
                  <c:v>-3.7</c:v>
                </c:pt>
                <c:pt idx="44">
                  <c:v>-3.9</c:v>
                </c:pt>
                <c:pt idx="45">
                  <c:v>-4.4000000000000004</c:v>
                </c:pt>
                <c:pt idx="46">
                  <c:v>-4.4000000000000004</c:v>
                </c:pt>
                <c:pt idx="47">
                  <c:v>-4.3</c:v>
                </c:pt>
                <c:pt idx="48">
                  <c:v>-4.5999999999999996</c:v>
                </c:pt>
                <c:pt idx="49">
                  <c:v>-4.9000000000000004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71232"/>
        <c:axId val="171873024"/>
      </c:lineChart>
      <c:dateAx>
        <c:axId val="171871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1873024"/>
        <c:crossesAt val="0"/>
        <c:auto val="1"/>
        <c:lblOffset val="100"/>
        <c:baseTimeUnit val="months"/>
        <c:majorUnit val="5"/>
        <c:majorTimeUnit val="years"/>
      </c:dateAx>
      <c:valAx>
        <c:axId val="17187302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1871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16.821000000000002</c:v>
                </c:pt>
                <c:pt idx="37">
                  <c:v>17.584</c:v>
                </c:pt>
                <c:pt idx="38">
                  <c:v>18.248000000000001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20.94</c:v>
                </c:pt>
                <c:pt idx="37">
                  <c:v>20.404</c:v>
                </c:pt>
                <c:pt idx="38">
                  <c:v>20.709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18.2</c:v>
                </c:pt>
                <c:pt idx="39">
                  <c:v>18.2</c:v>
                </c:pt>
                <c:pt idx="40">
                  <c:v>18.2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20.7</c:v>
                </c:pt>
                <c:pt idx="39">
                  <c:v>21.1</c:v>
                </c:pt>
                <c:pt idx="40">
                  <c:v>21</c:v>
                </c:pt>
                <c:pt idx="41">
                  <c:v>20.8</c:v>
                </c:pt>
                <c:pt idx="42">
                  <c:v>21.4</c:v>
                </c:pt>
                <c:pt idx="43">
                  <c:v>21.8</c:v>
                </c:pt>
                <c:pt idx="44">
                  <c:v>22</c:v>
                </c:pt>
                <c:pt idx="45">
                  <c:v>22.5</c:v>
                </c:pt>
                <c:pt idx="46">
                  <c:v>22.5</c:v>
                </c:pt>
                <c:pt idx="47">
                  <c:v>22.4</c:v>
                </c:pt>
                <c:pt idx="48">
                  <c:v>22.8</c:v>
                </c:pt>
                <c:pt idx="49">
                  <c:v>23.1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56512"/>
        <c:axId val="172658048"/>
      </c:lineChart>
      <c:dateAx>
        <c:axId val="1726565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2658048"/>
        <c:crosses val="autoZero"/>
        <c:auto val="1"/>
        <c:lblOffset val="100"/>
        <c:baseTimeUnit val="months"/>
        <c:majorUnit val="5"/>
        <c:majorTimeUnit val="years"/>
      </c:dateAx>
      <c:valAx>
        <c:axId val="17265804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26565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5" sqref="A5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2">
      <c r="A1" s="24" t="s">
        <v>215</v>
      </c>
    </row>
    <row r="2" spans="1:2">
      <c r="A2" s="24" t="s">
        <v>350</v>
      </c>
    </row>
    <row r="3" spans="1:2">
      <c r="A3" s="128" t="s">
        <v>349</v>
      </c>
    </row>
    <row r="4" spans="1:2">
      <c r="A4" s="24" t="s">
        <v>309</v>
      </c>
    </row>
    <row r="5" spans="1:2">
      <c r="A5" s="24" t="s">
        <v>323</v>
      </c>
    </row>
    <row r="6" spans="1:2">
      <c r="A6" s="128" t="s">
        <v>310</v>
      </c>
    </row>
    <row r="7" spans="1:2">
      <c r="A7" s="24" t="s">
        <v>311</v>
      </c>
    </row>
    <row r="8" spans="1:2">
      <c r="A8" s="24" t="s">
        <v>312</v>
      </c>
    </row>
    <row r="9" spans="1:2">
      <c r="A9" s="24" t="s">
        <v>313</v>
      </c>
    </row>
    <row r="10" spans="1:2">
      <c r="A10" s="24" t="s">
        <v>314</v>
      </c>
    </row>
    <row r="16" spans="1:2">
      <c r="B16" s="62" t="s">
        <v>216</v>
      </c>
    </row>
    <row r="17" spans="1:3">
      <c r="B17" s="24" t="s">
        <v>221</v>
      </c>
      <c r="C17" s="24" t="s">
        <v>222</v>
      </c>
    </row>
    <row r="18" spans="1:3">
      <c r="B18" s="24" t="s">
        <v>223</v>
      </c>
      <c r="C18" s="24" t="s">
        <v>224</v>
      </c>
    </row>
    <row r="19" spans="1:3">
      <c r="B19" s="24" t="s">
        <v>225</v>
      </c>
      <c r="C19" s="24" t="s">
        <v>226</v>
      </c>
    </row>
    <row r="20" spans="1:3">
      <c r="B20" s="24" t="s">
        <v>227</v>
      </c>
      <c r="C20" s="24" t="s">
        <v>234</v>
      </c>
    </row>
    <row r="21" spans="1:3">
      <c r="B21" s="24" t="s">
        <v>228</v>
      </c>
      <c r="C21" s="24" t="s">
        <v>140</v>
      </c>
    </row>
    <row r="22" spans="1:3">
      <c r="B22" s="24" t="s">
        <v>229</v>
      </c>
      <c r="C22" s="24" t="s">
        <v>235</v>
      </c>
    </row>
    <row r="23" spans="1:3">
      <c r="B23" s="24" t="s">
        <v>230</v>
      </c>
      <c r="C23" s="24" t="s">
        <v>237</v>
      </c>
    </row>
    <row r="24" spans="1:3">
      <c r="B24" s="24" t="s">
        <v>231</v>
      </c>
      <c r="C24" s="24" t="s">
        <v>236</v>
      </c>
    </row>
    <row r="25" spans="1:3">
      <c r="B25" s="24" t="s">
        <v>233</v>
      </c>
      <c r="C25" s="24" t="s">
        <v>238</v>
      </c>
    </row>
    <row r="26" spans="1:3">
      <c r="B26" s="24" t="s">
        <v>232</v>
      </c>
      <c r="C26" s="24" t="s">
        <v>239</v>
      </c>
    </row>
    <row r="30" spans="1:3">
      <c r="A30" s="63" t="s">
        <v>217</v>
      </c>
    </row>
    <row r="31" spans="1:3">
      <c r="A31" s="24" t="s">
        <v>218</v>
      </c>
      <c r="B31" s="24" t="s">
        <v>219</v>
      </c>
      <c r="C31" s="24" t="s">
        <v>220</v>
      </c>
    </row>
    <row r="32" spans="1:3">
      <c r="A32" s="64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  <row r="39" spans="1:1">
      <c r="A39" s="65"/>
    </row>
    <row r="40" spans="1:1">
      <c r="A40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="160" zoomScaleNormal="100" zoomScaleSheetLayoutView="160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5" t="s">
        <v>294</v>
      </c>
      <c r="D1" s="125"/>
      <c r="E1" s="125"/>
      <c r="F1" s="125"/>
      <c r="G1" s="125"/>
      <c r="H1" s="88"/>
      <c r="I1" s="88"/>
    </row>
    <row r="2" spans="1:9" ht="15" customHeight="1">
      <c r="A2" s="88"/>
      <c r="B2" s="88"/>
      <c r="C2" s="125"/>
      <c r="D2" s="125"/>
      <c r="E2" s="125"/>
      <c r="F2" s="125"/>
      <c r="G2" s="125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4"/>
  </cols>
  <sheetData>
    <row r="1" spans="1:9" ht="15" customHeight="1">
      <c r="B1" s="88"/>
      <c r="C1" s="125" t="s">
        <v>294</v>
      </c>
      <c r="D1" s="125"/>
      <c r="E1" s="125"/>
      <c r="F1" s="125"/>
      <c r="G1" s="125"/>
      <c r="H1" s="88"/>
      <c r="I1" s="88"/>
    </row>
    <row r="2" spans="1:9" ht="15" customHeight="1">
      <c r="A2" s="88"/>
      <c r="B2" s="88"/>
      <c r="C2" s="125"/>
      <c r="D2" s="125"/>
      <c r="E2" s="125"/>
      <c r="F2" s="125"/>
      <c r="G2" s="125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26" t="s">
        <v>240</v>
      </c>
      <c r="E9" s="126"/>
      <c r="F9" s="126"/>
      <c r="G9" s="126" t="s">
        <v>293</v>
      </c>
      <c r="H9" s="126"/>
      <c r="I9" s="127"/>
    </row>
    <row r="10" spans="1:9">
      <c r="A10" s="77"/>
      <c r="B10" s="78"/>
      <c r="C10" s="78"/>
      <c r="D10" s="126"/>
      <c r="E10" s="126"/>
      <c r="F10" s="126"/>
      <c r="G10" s="126"/>
      <c r="H10" s="126"/>
      <c r="I10" s="127"/>
    </row>
    <row r="11" spans="1:9">
      <c r="A11" s="71" t="s">
        <v>96</v>
      </c>
      <c r="B11" s="66"/>
      <c r="C11" s="66"/>
      <c r="D11" s="66"/>
      <c r="E11" s="100">
        <v>3307</v>
      </c>
      <c r="F11" s="68"/>
      <c r="G11" s="91"/>
      <c r="H11" s="122" t="s">
        <v>446</v>
      </c>
      <c r="I11" s="92"/>
    </row>
    <row r="12" spans="1:9">
      <c r="A12" s="70" t="s">
        <v>97</v>
      </c>
      <c r="B12" s="66"/>
      <c r="C12" s="66"/>
      <c r="D12" s="66"/>
      <c r="E12" s="100">
        <v>2654</v>
      </c>
      <c r="F12" s="68"/>
      <c r="G12" s="69"/>
      <c r="H12" s="122" t="s">
        <v>447</v>
      </c>
      <c r="I12" s="92"/>
    </row>
    <row r="13" spans="1:9">
      <c r="A13" s="70" t="s">
        <v>98</v>
      </c>
      <c r="B13" s="66"/>
      <c r="C13" s="66"/>
      <c r="D13" s="66"/>
      <c r="E13" s="100">
        <v>652</v>
      </c>
      <c r="F13" s="68"/>
      <c r="G13" s="69"/>
      <c r="H13" s="122" t="s">
        <v>448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3769</v>
      </c>
      <c r="F15" s="68"/>
      <c r="G15" s="69"/>
      <c r="H15" s="122" t="s">
        <v>449</v>
      </c>
      <c r="I15" s="92"/>
    </row>
    <row r="16" spans="1:9">
      <c r="A16" s="70" t="s">
        <v>102</v>
      </c>
      <c r="B16" s="66"/>
      <c r="C16" s="66"/>
      <c r="D16" s="66"/>
      <c r="E16" s="100">
        <v>563</v>
      </c>
      <c r="F16" s="68"/>
      <c r="G16" s="69"/>
      <c r="H16" s="122" t="s">
        <v>450</v>
      </c>
      <c r="I16" s="92"/>
    </row>
    <row r="17" spans="1:9">
      <c r="A17" s="70" t="s">
        <v>100</v>
      </c>
      <c r="B17" s="66"/>
      <c r="C17" s="66"/>
      <c r="D17" s="66"/>
      <c r="E17" s="100">
        <v>892</v>
      </c>
      <c r="F17" s="68"/>
      <c r="G17" s="69"/>
      <c r="H17" s="122" t="s">
        <v>451</v>
      </c>
      <c r="I17" s="92"/>
    </row>
    <row r="18" spans="1:9">
      <c r="A18" s="70" t="s">
        <v>99</v>
      </c>
      <c r="B18" s="66"/>
      <c r="C18" s="66"/>
      <c r="D18" s="66"/>
      <c r="E18" s="100">
        <v>555</v>
      </c>
      <c r="F18" s="68"/>
      <c r="G18" s="69"/>
      <c r="H18" s="122" t="s">
        <v>437</v>
      </c>
      <c r="I18" s="92"/>
    </row>
    <row r="19" spans="1:9">
      <c r="A19" s="70" t="s">
        <v>94</v>
      </c>
      <c r="B19" s="66"/>
      <c r="C19" s="66"/>
      <c r="D19" s="66"/>
      <c r="E19" s="100">
        <v>359</v>
      </c>
      <c r="F19" s="68"/>
      <c r="G19" s="69"/>
      <c r="H19" s="122" t="s">
        <v>452</v>
      </c>
      <c r="I19" s="92"/>
    </row>
    <row r="20" spans="1:9">
      <c r="A20" s="70" t="s">
        <v>95</v>
      </c>
      <c r="B20" s="66"/>
      <c r="C20" s="66"/>
      <c r="D20" s="66"/>
      <c r="E20" s="100">
        <v>279</v>
      </c>
      <c r="F20" s="68"/>
      <c r="G20" s="69"/>
      <c r="H20" s="122" t="s">
        <v>453</v>
      </c>
      <c r="I20" s="92"/>
    </row>
    <row r="21" spans="1:9">
      <c r="A21" s="72" t="s">
        <v>101</v>
      </c>
      <c r="B21" s="73"/>
      <c r="C21" s="73"/>
      <c r="D21" s="73"/>
      <c r="E21" s="102">
        <v>1117</v>
      </c>
      <c r="F21" s="75"/>
      <c r="G21" s="76"/>
      <c r="H21" s="123" t="s">
        <v>438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5" t="s">
        <v>294</v>
      </c>
      <c r="D1" s="125"/>
      <c r="E1" s="125"/>
      <c r="F1" s="125"/>
      <c r="G1" s="125"/>
      <c r="H1" s="88"/>
      <c r="I1" s="88"/>
    </row>
    <row r="2" spans="1:9" ht="15" customHeight="1">
      <c r="A2" s="88"/>
      <c r="B2" s="88"/>
      <c r="C2" s="125"/>
      <c r="D2" s="125"/>
      <c r="E2" s="125"/>
      <c r="F2" s="125"/>
      <c r="G2" s="125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61" zoomScale="85" zoomScaleNormal="85" workbookViewId="0">
      <selection activeCell="B7" sqref="B7:B96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201604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321</v>
      </c>
      <c r="H3" s="20"/>
    </row>
    <row r="4" spans="1:20">
      <c r="A4" s="7" t="s">
        <v>7</v>
      </c>
      <c r="C4" t="s">
        <v>387</v>
      </c>
      <c r="D4" t="s">
        <v>388</v>
      </c>
      <c r="E4" t="s">
        <v>389</v>
      </c>
      <c r="F4" t="s">
        <v>391</v>
      </c>
      <c r="G4" s="19" t="s">
        <v>393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386</v>
      </c>
      <c r="D5" t="s">
        <v>386</v>
      </c>
      <c r="E5" t="s">
        <v>386</v>
      </c>
      <c r="F5" t="s">
        <v>390</v>
      </c>
      <c r="G5" s="19" t="s">
        <v>392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439</v>
      </c>
      <c r="D6" t="s">
        <v>439</v>
      </c>
      <c r="E6" t="s">
        <v>439</v>
      </c>
      <c r="F6" t="s">
        <v>440</v>
      </c>
      <c r="G6" s="19" t="s">
        <v>441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3">IF(L10&lt;&gt;"", IF(L11&lt;&gt;"", AVERAGE(L9:L11), ""), "")</f>
        <v>6166.6666666665915</v>
      </c>
      <c r="N11" s="14"/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3"/>
        <v>5466.666666666697</v>
      </c>
      <c r="N12" s="14"/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3"/>
        <v>6766.666666666727</v>
      </c>
      <c r="N13" s="14"/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3"/>
        <v>6800.00000000003</v>
      </c>
      <c r="N14" s="14"/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3"/>
        <v>12333.333333333334</v>
      </c>
      <c r="N15" s="14"/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3"/>
        <v>13666.666666666666</v>
      </c>
      <c r="N16" s="14"/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3"/>
        <v>14033.333333333305</v>
      </c>
      <c r="N17" s="14"/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3"/>
        <v>9533.333333333303</v>
      </c>
      <c r="N18" s="14"/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3"/>
        <v>7933.3333333332421</v>
      </c>
      <c r="N19" s="14"/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3"/>
        <v>7100.0000000000609</v>
      </c>
      <c r="N20" s="14"/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3"/>
        <v>8866.666666666637</v>
      </c>
      <c r="N21" s="14"/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3"/>
        <v>6699.99999999997</v>
      </c>
      <c r="N22" s="14"/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3"/>
        <v>6266.666666666727</v>
      </c>
      <c r="N23" s="14"/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3"/>
        <v>5433.333333333394</v>
      </c>
      <c r="N24" s="14"/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3"/>
        <v>3200.0000000001214</v>
      </c>
      <c r="N25" s="14"/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3"/>
        <v>9433.333333333243</v>
      </c>
      <c r="N26" s="14"/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3"/>
        <v>7766.666666666727</v>
      </c>
      <c r="N27" s="14"/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3"/>
        <v>10366.666666666637</v>
      </c>
      <c r="N28" s="14"/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3"/>
        <v>4466.666666666697</v>
      </c>
      <c r="N29" s="14"/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3"/>
        <v>4533.333333333303</v>
      </c>
      <c r="N30" s="14"/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3"/>
        <v>4199.99999999997</v>
      </c>
      <c r="N31" s="14"/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3"/>
        <v>3000</v>
      </c>
      <c r="N32" s="14"/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3"/>
        <v>4199.99999999997</v>
      </c>
      <c r="N33" s="14"/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3"/>
        <v>5033.333333333303</v>
      </c>
      <c r="N34" s="14"/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3"/>
        <v>4733.333333333273</v>
      </c>
      <c r="N35" s="14"/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3"/>
        <v>4266.666666666727</v>
      </c>
      <c r="N36" s="14"/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3"/>
        <v>1933.333333333394</v>
      </c>
      <c r="N37" s="14"/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3"/>
        <v>1800.0000000000302</v>
      </c>
      <c r="N38" s="14"/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3"/>
        <v>-1600.0000000000607</v>
      </c>
      <c r="N39" s="14"/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3"/>
        <v>-2533.333333333303</v>
      </c>
      <c r="N40" s="14"/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3"/>
        <v>-4099.9999999999091</v>
      </c>
      <c r="N41" s="14"/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3"/>
        <v>-1699.9999999999698</v>
      </c>
      <c r="N42" s="14"/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3"/>
        <v>-866.66666666678793</v>
      </c>
      <c r="N43" s="14"/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3"/>
        <v>-633.33333333336361</v>
      </c>
      <c r="N44" s="14"/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3"/>
        <v>-1966.666666666697</v>
      </c>
      <c r="N45" s="14"/>
      <c r="R45" s="13"/>
    </row>
    <row r="46" spans="1:18">
      <c r="A46" s="7" t="s">
        <v>180</v>
      </c>
      <c r="B46" s="12">
        <v>40939</v>
      </c>
      <c r="C46" s="13">
        <v>5046</v>
      </c>
      <c r="D46" s="13">
        <v>14066</v>
      </c>
      <c r="E46" s="22">
        <v>2213</v>
      </c>
      <c r="F46" s="13">
        <v>0</v>
      </c>
      <c r="G46" s="13">
        <v>0</v>
      </c>
      <c r="H46" s="13"/>
      <c r="I46" s="30">
        <f t="shared" si="0"/>
        <v>-6000</v>
      </c>
      <c r="J46" s="30">
        <f t="shared" si="1"/>
        <v>-12000</v>
      </c>
      <c r="K46" s="34"/>
      <c r="L46" s="37">
        <f t="shared" si="2"/>
        <v>-5000</v>
      </c>
      <c r="M46" s="60">
        <f t="shared" si="3"/>
        <v>-3566.666666666606</v>
      </c>
      <c r="N46" s="14"/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14066</v>
      </c>
      <c r="E47" s="22">
        <v>2210.5</v>
      </c>
      <c r="F47" s="13">
        <v>0</v>
      </c>
      <c r="G47" s="13">
        <v>0</v>
      </c>
      <c r="H47" s="13"/>
      <c r="I47" s="30">
        <f t="shared" si="0"/>
        <v>2000</v>
      </c>
      <c r="J47" s="30">
        <f t="shared" si="1"/>
        <v>-5000</v>
      </c>
      <c r="K47" s="34"/>
      <c r="L47" s="37">
        <f t="shared" si="2"/>
        <v>-2500</v>
      </c>
      <c r="M47" s="60">
        <f t="shared" si="3"/>
        <v>-3466.666666666697</v>
      </c>
      <c r="N47" s="14"/>
      <c r="R47" s="13"/>
    </row>
    <row r="48" spans="1:18">
      <c r="A48" s="7" t="s">
        <v>182</v>
      </c>
      <c r="B48" s="12">
        <v>40999</v>
      </c>
      <c r="C48" s="13">
        <v>5050</v>
      </c>
      <c r="D48" s="13">
        <v>14065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1000</v>
      </c>
      <c r="J48" s="30">
        <f t="shared" si="1"/>
        <v>-1000</v>
      </c>
      <c r="K48" s="34"/>
      <c r="L48" s="37">
        <f t="shared" si="2"/>
        <v>1300.0000000001819</v>
      </c>
      <c r="M48" s="60">
        <f t="shared" si="3"/>
        <v>-2066.666666666606</v>
      </c>
      <c r="N48" s="14"/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14047</v>
      </c>
      <c r="E49" s="22">
        <v>2210.8000000000002</v>
      </c>
      <c r="F49" s="13">
        <v>0</v>
      </c>
      <c r="G49" s="13">
        <v>0</v>
      </c>
      <c r="H49" s="13"/>
      <c r="I49" s="30">
        <f t="shared" si="0"/>
        <v>-13000</v>
      </c>
      <c r="J49" s="30">
        <f t="shared" si="1"/>
        <v>-3333.3333333333335</v>
      </c>
      <c r="K49" s="34"/>
      <c r="L49" s="37">
        <f t="shared" si="2"/>
        <v>-1000</v>
      </c>
      <c r="M49" s="60">
        <f t="shared" si="3"/>
        <v>-733.33333333327266</v>
      </c>
      <c r="N49" s="14"/>
      <c r="R49" s="13"/>
    </row>
    <row r="50" spans="1:18">
      <c r="A50" s="7" t="s">
        <v>184</v>
      </c>
      <c r="B50" s="12">
        <v>41060</v>
      </c>
      <c r="C50" s="13">
        <v>5051</v>
      </c>
      <c r="D50" s="13">
        <v>14037</v>
      </c>
      <c r="E50" s="22">
        <v>2210.6999999999998</v>
      </c>
      <c r="F50" s="13">
        <v>0</v>
      </c>
      <c r="G50" s="13">
        <v>0</v>
      </c>
      <c r="H50" s="13"/>
      <c r="I50" s="30">
        <f t="shared" si="0"/>
        <v>-14000</v>
      </c>
      <c r="J50" s="30">
        <f t="shared" si="1"/>
        <v>-8666.6666666666661</v>
      </c>
      <c r="K50" s="34"/>
      <c r="L50" s="37">
        <f>IF(E50&lt;&gt;"", ((E50-F50)-(E49-F49))*1000, "")</f>
        <v>-100.0000000003638</v>
      </c>
      <c r="M50" s="60">
        <f t="shared" si="3"/>
        <v>66.666666666606034</v>
      </c>
      <c r="N50" s="14"/>
      <c r="R50" s="22"/>
    </row>
    <row r="51" spans="1:18">
      <c r="A51" s="7" t="s">
        <v>185</v>
      </c>
      <c r="B51" s="12">
        <v>41090</v>
      </c>
      <c r="C51" s="13">
        <v>5058</v>
      </c>
      <c r="D51" s="13">
        <v>14045</v>
      </c>
      <c r="E51" s="22">
        <v>2212.4</v>
      </c>
      <c r="F51" s="13">
        <v>0</v>
      </c>
      <c r="G51" s="13">
        <v>0</v>
      </c>
      <c r="H51" s="13"/>
      <c r="I51" s="30">
        <f t="shared" si="0"/>
        <v>15000</v>
      </c>
      <c r="J51" s="30">
        <f t="shared" si="1"/>
        <v>-4000</v>
      </c>
      <c r="K51" s="34"/>
      <c r="L51" s="37">
        <f t="shared" si="2"/>
        <v>1700.0000000002728</v>
      </c>
      <c r="M51" s="60">
        <f t="shared" si="3"/>
        <v>199.99999999996967</v>
      </c>
      <c r="N51" s="22"/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14040</v>
      </c>
      <c r="E52" s="22">
        <v>2203.1999999999998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-9200.0000000002728</v>
      </c>
      <c r="M52" s="60">
        <f t="shared" si="3"/>
        <v>-2533.3333333334544</v>
      </c>
      <c r="N52" s="14"/>
      <c r="R52" s="22"/>
    </row>
    <row r="53" spans="1:18">
      <c r="A53" s="7" t="s">
        <v>187</v>
      </c>
      <c r="B53" s="12">
        <v>41152</v>
      </c>
      <c r="C53" s="13">
        <v>5062</v>
      </c>
      <c r="D53" s="13">
        <v>14046</v>
      </c>
      <c r="E53" s="22">
        <v>2209.1</v>
      </c>
      <c r="F53" s="13">
        <v>0</v>
      </c>
      <c r="G53" s="13">
        <v>0</v>
      </c>
      <c r="H53" s="13"/>
      <c r="I53" s="30">
        <f t="shared" si="0"/>
        <v>13000</v>
      </c>
      <c r="J53" s="30">
        <f t="shared" si="1"/>
        <v>6666.666666666667</v>
      </c>
      <c r="K53" s="34"/>
      <c r="L53" s="37">
        <f t="shared" si="2"/>
        <v>5900.0000000000909</v>
      </c>
      <c r="M53" s="60">
        <f t="shared" si="3"/>
        <v>-533.33333333330302</v>
      </c>
      <c r="N53" s="14"/>
      <c r="R53" s="13"/>
    </row>
    <row r="54" spans="1:18">
      <c r="A54" s="7" t="s">
        <v>188</v>
      </c>
      <c r="B54" s="12">
        <v>41182</v>
      </c>
      <c r="C54" s="13">
        <v>5075</v>
      </c>
      <c r="D54" s="13">
        <v>14031</v>
      </c>
      <c r="E54" s="22">
        <v>2217.3000000000002</v>
      </c>
      <c r="F54" s="13">
        <v>0</v>
      </c>
      <c r="G54" s="13">
        <v>0</v>
      </c>
      <c r="H54" s="13"/>
      <c r="I54" s="30">
        <f t="shared" si="0"/>
        <v>-2000</v>
      </c>
      <c r="J54" s="30">
        <f t="shared" si="1"/>
        <v>1000</v>
      </c>
      <c r="K54" s="34"/>
      <c r="L54" s="37">
        <f t="shared" si="2"/>
        <v>8200.0000000002728</v>
      </c>
      <c r="M54" s="60">
        <f t="shared" si="3"/>
        <v>1633.3333333333637</v>
      </c>
      <c r="N54" s="14"/>
      <c r="R54" s="22"/>
    </row>
    <row r="55" spans="1:18">
      <c r="A55" s="7" t="s">
        <v>189</v>
      </c>
      <c r="B55" s="12">
        <v>41213</v>
      </c>
      <c r="C55" s="13">
        <v>5053</v>
      </c>
      <c r="D55" s="13">
        <v>14020</v>
      </c>
      <c r="E55" s="22">
        <v>2212.9</v>
      </c>
      <c r="F55" s="13">
        <v>0</v>
      </c>
      <c r="G55" s="13">
        <v>0</v>
      </c>
      <c r="H55" s="13"/>
      <c r="I55" s="30">
        <f t="shared" si="0"/>
        <v>-33000</v>
      </c>
      <c r="J55" s="30">
        <f t="shared" si="1"/>
        <v>-7333.333333333333</v>
      </c>
      <c r="K55" s="34"/>
      <c r="L55" s="37">
        <f t="shared" si="2"/>
        <v>-4400.0000000000909</v>
      </c>
      <c r="M55" s="60">
        <f t="shared" si="3"/>
        <v>3233.3333333334244</v>
      </c>
      <c r="N55" s="14"/>
      <c r="R55" s="13"/>
    </row>
    <row r="56" spans="1:18">
      <c r="A56" s="7" t="s">
        <v>190</v>
      </c>
      <c r="B56" s="12">
        <v>41243</v>
      </c>
      <c r="C56" s="13">
        <v>5051</v>
      </c>
      <c r="D56" s="13">
        <v>14014</v>
      </c>
      <c r="E56" s="22">
        <v>2209.3000000000002</v>
      </c>
      <c r="F56" s="13">
        <v>0</v>
      </c>
      <c r="G56" s="13">
        <v>0</v>
      </c>
      <c r="H56" s="13"/>
      <c r="I56" s="30">
        <f t="shared" si="0"/>
        <v>-8000</v>
      </c>
      <c r="J56" s="30">
        <f t="shared" si="1"/>
        <v>-14333.333333333334</v>
      </c>
      <c r="K56" s="34"/>
      <c r="L56" s="37">
        <f t="shared" si="2"/>
        <v>-3599.9999999999091</v>
      </c>
      <c r="M56" s="60">
        <f t="shared" si="3"/>
        <v>66.666666666757621</v>
      </c>
      <c r="N56" s="14"/>
      <c r="R56" s="22"/>
    </row>
    <row r="57" spans="1:18">
      <c r="A57" s="7" t="s">
        <v>191</v>
      </c>
      <c r="B57" s="12">
        <v>41274</v>
      </c>
      <c r="C57" s="13">
        <v>5047</v>
      </c>
      <c r="D57" s="13">
        <v>14031</v>
      </c>
      <c r="E57" s="22">
        <v>2208.3000000000002</v>
      </c>
      <c r="F57" s="13">
        <v>0</v>
      </c>
      <c r="G57" s="13">
        <v>0</v>
      </c>
      <c r="H57" s="13"/>
      <c r="I57" s="30">
        <f t="shared" si="0"/>
        <v>13000</v>
      </c>
      <c r="J57" s="30">
        <f t="shared" si="1"/>
        <v>-9333.3333333333339</v>
      </c>
      <c r="K57" s="34"/>
      <c r="L57" s="37">
        <f t="shared" si="2"/>
        <v>-1000</v>
      </c>
      <c r="M57" s="60">
        <f t="shared" si="3"/>
        <v>-3000</v>
      </c>
      <c r="N57" s="14"/>
      <c r="R57" s="13"/>
    </row>
    <row r="58" spans="1:18">
      <c r="A58" s="7" t="s">
        <v>192</v>
      </c>
      <c r="B58" s="12">
        <v>41305</v>
      </c>
      <c r="C58" s="13">
        <v>5031</v>
      </c>
      <c r="D58" s="13">
        <v>14032</v>
      </c>
      <c r="E58" s="22">
        <v>2204.4</v>
      </c>
      <c r="F58" s="13">
        <v>0</v>
      </c>
      <c r="G58" s="13">
        <v>0</v>
      </c>
      <c r="H58" s="13"/>
      <c r="I58" s="30">
        <f t="shared" si="0"/>
        <v>-15000</v>
      </c>
      <c r="J58" s="30">
        <f t="shared" si="1"/>
        <v>-3333.3333333333335</v>
      </c>
      <c r="K58" s="34"/>
      <c r="L58" s="37">
        <f t="shared" si="2"/>
        <v>-3900.0000000000909</v>
      </c>
      <c r="M58" s="60">
        <f t="shared" si="3"/>
        <v>-2833.3333333333335</v>
      </c>
      <c r="N58" s="14"/>
      <c r="R58" s="22"/>
    </row>
    <row r="59" spans="1:18">
      <c r="A59" s="7" t="s">
        <v>193</v>
      </c>
      <c r="B59" s="12">
        <v>41333</v>
      </c>
      <c r="C59" s="13">
        <v>5045</v>
      </c>
      <c r="D59" s="13">
        <v>14030</v>
      </c>
      <c r="E59" s="22">
        <v>2204.3000000000002</v>
      </c>
      <c r="F59" s="13">
        <v>0</v>
      </c>
      <c r="G59" s="13">
        <v>0</v>
      </c>
      <c r="H59" s="13"/>
      <c r="I59" s="30">
        <f t="shared" si="0"/>
        <v>12000</v>
      </c>
      <c r="J59" s="30">
        <f t="shared" si="1"/>
        <v>3333.3333333333335</v>
      </c>
      <c r="K59" s="34"/>
      <c r="L59" s="37">
        <f t="shared" si="2"/>
        <v>-99.999999999909051</v>
      </c>
      <c r="M59" s="60">
        <f t="shared" si="3"/>
        <v>-1666.6666666666667</v>
      </c>
      <c r="N59" s="14"/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14025</v>
      </c>
      <c r="E60" s="22">
        <v>2201.8000000000002</v>
      </c>
      <c r="F60" s="13">
        <v>0</v>
      </c>
      <c r="G60" s="13">
        <v>0</v>
      </c>
      <c r="H60" s="13"/>
      <c r="I60" s="30">
        <f t="shared" si="0"/>
        <v>2000</v>
      </c>
      <c r="J60" s="30">
        <f t="shared" si="1"/>
        <v>-333.33333333333331</v>
      </c>
      <c r="K60" s="34"/>
      <c r="L60" s="37">
        <f t="shared" si="2"/>
        <v>-2500</v>
      </c>
      <c r="M60" s="60">
        <f t="shared" si="3"/>
        <v>-2166.6666666666665</v>
      </c>
      <c r="N60" s="14"/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14029</v>
      </c>
      <c r="E61" s="22">
        <v>2192.6999999999998</v>
      </c>
      <c r="F61" s="13">
        <v>0</v>
      </c>
      <c r="G61" s="13">
        <v>0</v>
      </c>
      <c r="H61" s="13"/>
      <c r="I61" s="30">
        <f t="shared" si="0"/>
        <v>-1000</v>
      </c>
      <c r="J61" s="30">
        <f t="shared" si="1"/>
        <v>4333.333333333333</v>
      </c>
      <c r="K61" s="34"/>
      <c r="L61" s="37">
        <f t="shared" si="2"/>
        <v>-9100.0000000003638</v>
      </c>
      <c r="M61" s="60">
        <f t="shared" si="3"/>
        <v>-3900.0000000000909</v>
      </c>
      <c r="N61" s="14"/>
      <c r="R61" s="13"/>
    </row>
    <row r="62" spans="1:18">
      <c r="A62" s="7" t="s">
        <v>196</v>
      </c>
      <c r="B62" s="12">
        <v>41425</v>
      </c>
      <c r="C62" s="13">
        <v>5049</v>
      </c>
      <c r="D62" s="13">
        <v>14038</v>
      </c>
      <c r="E62" s="22">
        <v>2182.6</v>
      </c>
      <c r="F62" s="13">
        <v>0</v>
      </c>
      <c r="G62" s="13">
        <v>0</v>
      </c>
      <c r="H62" s="13"/>
      <c r="I62" s="30">
        <f t="shared" si="0"/>
        <v>11000</v>
      </c>
      <c r="J62" s="30">
        <f t="shared" si="1"/>
        <v>4000</v>
      </c>
      <c r="K62" s="34"/>
      <c r="L62" s="37">
        <f t="shared" si="2"/>
        <v>-10099.999999999909</v>
      </c>
      <c r="M62" s="60">
        <f t="shared" si="3"/>
        <v>-7233.333333333424</v>
      </c>
      <c r="N62" s="14"/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14028</v>
      </c>
      <c r="E63" s="22">
        <v>2176.1</v>
      </c>
      <c r="F63" s="13">
        <v>0</v>
      </c>
      <c r="G63" s="13">
        <v>0</v>
      </c>
      <c r="H63" s="13"/>
      <c r="I63" s="30">
        <f t="shared" si="0"/>
        <v>-21000</v>
      </c>
      <c r="J63" s="30">
        <f t="shared" si="1"/>
        <v>-3666.6666666666665</v>
      </c>
      <c r="K63" s="34"/>
      <c r="L63" s="37">
        <f t="shared" si="2"/>
        <v>-6500</v>
      </c>
      <c r="M63" s="60">
        <f t="shared" si="3"/>
        <v>-8566.666666666757</v>
      </c>
      <c r="N63" s="14"/>
      <c r="R63" s="13"/>
    </row>
    <row r="64" spans="1:18">
      <c r="A64" s="7" t="s">
        <v>198</v>
      </c>
      <c r="B64" s="12">
        <v>41486</v>
      </c>
      <c r="C64" s="13">
        <v>5030</v>
      </c>
      <c r="D64" s="13">
        <v>14022</v>
      </c>
      <c r="E64" s="22">
        <v>2168.9</v>
      </c>
      <c r="F64" s="13">
        <v>0</v>
      </c>
      <c r="G64" s="13">
        <v>0</v>
      </c>
      <c r="H64" s="13"/>
      <c r="I64" s="30">
        <f t="shared" si="0"/>
        <v>-14000</v>
      </c>
      <c r="J64" s="30">
        <f t="shared" si="1"/>
        <v>-8000</v>
      </c>
      <c r="K64" s="34"/>
      <c r="L64" s="37">
        <f t="shared" si="2"/>
        <v>-7199.9999999998181</v>
      </c>
      <c r="M64" s="60">
        <f t="shared" si="3"/>
        <v>-7933.3333333332421</v>
      </c>
      <c r="N64" s="14"/>
      <c r="R64" s="22"/>
    </row>
    <row r="65" spans="1:18">
      <c r="A65" s="7" t="s">
        <v>199</v>
      </c>
      <c r="B65" s="12">
        <v>41517</v>
      </c>
      <c r="C65" s="13">
        <v>5045</v>
      </c>
      <c r="D65" s="13">
        <v>14043</v>
      </c>
      <c r="E65" s="22">
        <v>2160.3000000000002</v>
      </c>
      <c r="F65" s="13">
        <v>0</v>
      </c>
      <c r="G65" s="13">
        <v>0</v>
      </c>
      <c r="H65" s="13"/>
      <c r="I65" s="30">
        <f t="shared" si="0"/>
        <v>36000</v>
      </c>
      <c r="J65" s="30">
        <f t="shared" si="1"/>
        <v>333.33333333333331</v>
      </c>
      <c r="K65" s="34"/>
      <c r="L65" s="37">
        <f t="shared" si="2"/>
        <v>-8599.9999999999091</v>
      </c>
      <c r="M65" s="60">
        <f t="shared" si="3"/>
        <v>-7433.3333333332421</v>
      </c>
      <c r="N65" s="14"/>
      <c r="R65" s="13"/>
    </row>
    <row r="66" spans="1:18">
      <c r="A66" s="7" t="s">
        <v>200</v>
      </c>
      <c r="B66" s="12">
        <v>41547</v>
      </c>
      <c r="C66" s="13">
        <v>5050</v>
      </c>
      <c r="D66" s="13">
        <v>14044</v>
      </c>
      <c r="E66" s="22">
        <v>2159.4</v>
      </c>
      <c r="F66" s="13">
        <v>0</v>
      </c>
      <c r="G66" s="13">
        <v>0</v>
      </c>
      <c r="H66" s="13"/>
      <c r="I66" s="30">
        <f t="shared" si="0"/>
        <v>6000</v>
      </c>
      <c r="J66" s="30">
        <f t="shared" si="1"/>
        <v>9333.3333333333339</v>
      </c>
      <c r="K66" s="34"/>
      <c r="L66" s="37">
        <f t="shared" si="2"/>
        <v>-900.00000000009095</v>
      </c>
      <c r="M66" s="60">
        <f t="shared" si="3"/>
        <v>-5566.666666666606</v>
      </c>
      <c r="N66" s="14"/>
      <c r="R66" s="22"/>
    </row>
    <row r="67" spans="1:18">
      <c r="A67" s="7" t="s">
        <v>201</v>
      </c>
      <c r="B67" s="12">
        <v>41578</v>
      </c>
      <c r="C67" s="13">
        <v>5054</v>
      </c>
      <c r="D67" s="13">
        <v>14036</v>
      </c>
      <c r="E67" s="22">
        <v>2150.5</v>
      </c>
      <c r="F67" s="13">
        <v>0</v>
      </c>
      <c r="G67" s="13">
        <v>0</v>
      </c>
      <c r="H67" s="13"/>
      <c r="I67" s="30">
        <f t="shared" si="0"/>
        <v>-4000</v>
      </c>
      <c r="J67" s="30">
        <f t="shared" si="1"/>
        <v>12666.666666666666</v>
      </c>
      <c r="K67" s="34"/>
      <c r="L67" s="37">
        <f t="shared" si="2"/>
        <v>-8900.0000000000909</v>
      </c>
      <c r="M67" s="60">
        <f t="shared" si="3"/>
        <v>-6133.333333333364</v>
      </c>
      <c r="N67" s="14"/>
      <c r="R67" s="13"/>
    </row>
    <row r="68" spans="1:18">
      <c r="A68" s="7" t="s">
        <v>202</v>
      </c>
      <c r="B68" s="12">
        <v>41608</v>
      </c>
      <c r="C68" s="13">
        <v>5058</v>
      </c>
      <c r="D68" s="13">
        <v>14042</v>
      </c>
      <c r="E68" s="22">
        <v>2153</v>
      </c>
      <c r="F68" s="13">
        <v>0</v>
      </c>
      <c r="G68" s="13">
        <v>0</v>
      </c>
      <c r="H68" s="13"/>
      <c r="I68" s="30">
        <f t="shared" si="0"/>
        <v>10000</v>
      </c>
      <c r="J68" s="30">
        <f t="shared" si="1"/>
        <v>4000</v>
      </c>
      <c r="K68" s="34"/>
      <c r="L68" s="37">
        <f t="shared" si="2"/>
        <v>2500</v>
      </c>
      <c r="M68" s="60">
        <f t="shared" si="3"/>
        <v>-2433.333333333394</v>
      </c>
      <c r="N68" s="14"/>
      <c r="R68" s="22"/>
    </row>
    <row r="69" spans="1:18">
      <c r="A69" s="7" t="s">
        <v>203</v>
      </c>
      <c r="B69" s="12">
        <v>41639</v>
      </c>
      <c r="C69" s="13">
        <v>5052</v>
      </c>
      <c r="D69" s="13">
        <v>14025</v>
      </c>
      <c r="E69" s="22">
        <v>2148</v>
      </c>
      <c r="F69" s="13">
        <v>0</v>
      </c>
      <c r="G69" s="13">
        <v>0</v>
      </c>
      <c r="H69" s="13"/>
      <c r="I69" s="30">
        <f t="shared" si="0"/>
        <v>-23000</v>
      </c>
      <c r="J69" s="30">
        <f t="shared" si="1"/>
        <v>-5666.666666666667</v>
      </c>
      <c r="K69" s="34"/>
      <c r="L69" s="37">
        <f t="shared" si="2"/>
        <v>-5000</v>
      </c>
      <c r="M69" s="60">
        <f t="shared" si="3"/>
        <v>-3800.0000000000305</v>
      </c>
      <c r="N69" s="14"/>
      <c r="R69" s="13"/>
    </row>
    <row r="70" spans="1:18">
      <c r="A70" s="7" t="s">
        <v>204</v>
      </c>
      <c r="B70" s="12">
        <v>41670</v>
      </c>
      <c r="C70" s="13">
        <v>5048</v>
      </c>
      <c r="D70" s="13">
        <v>14026</v>
      </c>
      <c r="E70" s="22">
        <v>2144.8000000000002</v>
      </c>
      <c r="F70" s="13">
        <v>0</v>
      </c>
      <c r="G70" s="13">
        <v>0</v>
      </c>
      <c r="H70" s="13"/>
      <c r="I70" s="30">
        <f t="shared" si="0"/>
        <v>-3000</v>
      </c>
      <c r="J70" s="30">
        <f t="shared" si="1"/>
        <v>-5333.333333333333</v>
      </c>
      <c r="K70" s="34"/>
      <c r="L70" s="37">
        <f t="shared" si="2"/>
        <v>-3199.9999999998181</v>
      </c>
      <c r="M70" s="60">
        <f t="shared" si="3"/>
        <v>-1899.9999999999393</v>
      </c>
      <c r="N70" s="14"/>
      <c r="R70" s="22"/>
    </row>
    <row r="71" spans="1:18">
      <c r="A71" s="7" t="s">
        <v>205</v>
      </c>
      <c r="B71" s="12">
        <v>41698</v>
      </c>
      <c r="C71" s="13">
        <v>5055</v>
      </c>
      <c r="D71" s="13">
        <v>14032</v>
      </c>
      <c r="E71" s="22">
        <v>2139.3000000000002</v>
      </c>
      <c r="F71" s="13">
        <v>0</v>
      </c>
      <c r="G71" s="13">
        <v>0</v>
      </c>
      <c r="H71" s="13"/>
      <c r="I71" s="30">
        <f t="shared" si="0"/>
        <v>13000</v>
      </c>
      <c r="J71" s="30">
        <f t="shared" si="1"/>
        <v>-4333.333333333333</v>
      </c>
      <c r="K71" s="34"/>
      <c r="L71" s="37">
        <f t="shared" si="2"/>
        <v>-5500</v>
      </c>
      <c r="M71" s="60">
        <f t="shared" si="3"/>
        <v>-4566.666666666606</v>
      </c>
      <c r="N71" s="14"/>
      <c r="R71" s="13"/>
    </row>
    <row r="72" spans="1:18">
      <c r="A72" s="7" t="s">
        <v>206</v>
      </c>
      <c r="B72" s="12">
        <v>41729</v>
      </c>
      <c r="C72" s="13">
        <v>5054</v>
      </c>
      <c r="D72" s="13">
        <v>14046</v>
      </c>
      <c r="E72" s="22">
        <v>2137.3000000000002</v>
      </c>
      <c r="F72" s="13">
        <v>0</v>
      </c>
      <c r="G72" s="13">
        <v>0</v>
      </c>
      <c r="H72" s="13"/>
      <c r="I72" s="30">
        <f t="shared" si="0"/>
        <v>13000</v>
      </c>
      <c r="J72" s="30">
        <f t="shared" si="1"/>
        <v>7666.666666666667</v>
      </c>
      <c r="K72" s="34"/>
      <c r="L72" s="37">
        <f t="shared" si="2"/>
        <v>-2000</v>
      </c>
      <c r="M72" s="60">
        <f t="shared" si="3"/>
        <v>-3566.666666666606</v>
      </c>
      <c r="N72" s="14"/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14072</v>
      </c>
      <c r="E73" s="22">
        <v>2134.6</v>
      </c>
      <c r="F73" s="13">
        <v>0</v>
      </c>
      <c r="G73" s="13">
        <v>0</v>
      </c>
      <c r="H73" s="13"/>
      <c r="I73" s="30">
        <f t="shared" ref="I73:I133" si="4">IF(C73&lt;&gt;"", ((C73+D73)-(C72+D72))*1000, "")</f>
        <v>30000</v>
      </c>
      <c r="J73" s="30">
        <f t="shared" ref="J73:J133" si="5">IF(I72&lt;&gt;"", IF(I73&lt;&gt;"", (AVERAGE(I71:I73)), ""), "")</f>
        <v>18666.666666666668</v>
      </c>
      <c r="K73" s="34"/>
      <c r="L73" s="37">
        <f t="shared" ref="L73:L133" si="6">IF(E73&lt;&gt;"", ((E73-F73)-(E72-F72))*1000, "")</f>
        <v>-2700.0000000002728</v>
      </c>
      <c r="M73" s="60">
        <f t="shared" si="3"/>
        <v>-3400.0000000000909</v>
      </c>
      <c r="N73" s="14"/>
      <c r="R73" s="13"/>
    </row>
    <row r="74" spans="1:18">
      <c r="A74" s="7" t="s">
        <v>208</v>
      </c>
      <c r="B74" s="12">
        <v>41790</v>
      </c>
      <c r="C74" s="13">
        <v>5058</v>
      </c>
      <c r="D74" s="13">
        <v>14070</v>
      </c>
      <c r="E74" s="22">
        <v>2133.9</v>
      </c>
      <c r="F74" s="13">
        <v>0</v>
      </c>
      <c r="G74" s="13">
        <v>0</v>
      </c>
      <c r="H74" s="13"/>
      <c r="I74" s="30">
        <f t="shared" si="4"/>
        <v>-2000</v>
      </c>
      <c r="J74" s="30">
        <f t="shared" si="5"/>
        <v>13666.666666666666</v>
      </c>
      <c r="K74" s="34"/>
      <c r="L74" s="37">
        <f t="shared" si="6"/>
        <v>-699.9999999998181</v>
      </c>
      <c r="M74" s="60">
        <f t="shared" si="3"/>
        <v>-1800.0000000000302</v>
      </c>
      <c r="N74" s="14"/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14101</v>
      </c>
      <c r="E75" s="22">
        <v>2136.1999999999998</v>
      </c>
      <c r="F75" s="13">
        <v>0</v>
      </c>
      <c r="G75" s="13">
        <v>0</v>
      </c>
      <c r="H75" s="13"/>
      <c r="I75" s="30">
        <f t="shared" si="4"/>
        <v>36000</v>
      </c>
      <c r="J75" s="30">
        <f t="shared" si="5"/>
        <v>21333.333333333332</v>
      </c>
      <c r="K75" s="34"/>
      <c r="L75" s="37">
        <f t="shared" si="6"/>
        <v>2299.9999999997272</v>
      </c>
      <c r="M75" s="60">
        <f t="shared" ref="M75:M133" si="7">IF(L74&lt;&gt;"", IF(L75&lt;&gt;"", AVERAGE(L73:L75), ""), "")</f>
        <v>-366.66666666678793</v>
      </c>
      <c r="N75" s="14"/>
      <c r="R75" s="13"/>
    </row>
    <row r="76" spans="1:18">
      <c r="A76" s="7" t="s">
        <v>210</v>
      </c>
      <c r="B76" s="12">
        <v>41851</v>
      </c>
      <c r="C76" s="13">
        <v>5061</v>
      </c>
      <c r="D76" s="13">
        <v>14090</v>
      </c>
      <c r="E76" s="22">
        <v>2139.1999999999998</v>
      </c>
      <c r="F76" s="13">
        <v>0</v>
      </c>
      <c r="G76" s="13">
        <v>0</v>
      </c>
      <c r="H76" s="13"/>
      <c r="I76" s="30">
        <f t="shared" si="4"/>
        <v>-13000</v>
      </c>
      <c r="J76" s="30">
        <f t="shared" si="5"/>
        <v>7000</v>
      </c>
      <c r="K76" s="34"/>
      <c r="L76" s="37">
        <f t="shared" si="6"/>
        <v>3000</v>
      </c>
      <c r="M76" s="60">
        <f t="shared" si="7"/>
        <v>1533.333333333303</v>
      </c>
      <c r="N76" s="14"/>
      <c r="R76" s="22"/>
    </row>
    <row r="77" spans="1:18">
      <c r="A77" s="7" t="s">
        <v>211</v>
      </c>
      <c r="B77" s="12">
        <v>41882</v>
      </c>
      <c r="C77" s="13">
        <v>5048</v>
      </c>
      <c r="D77" s="13">
        <v>14087</v>
      </c>
      <c r="E77" s="22">
        <v>2140.4</v>
      </c>
      <c r="F77" s="13">
        <v>0</v>
      </c>
      <c r="G77" s="13">
        <v>0</v>
      </c>
      <c r="H77" s="13"/>
      <c r="I77" s="30">
        <f t="shared" si="4"/>
        <v>-16000</v>
      </c>
      <c r="J77" s="30">
        <f t="shared" si="5"/>
        <v>2333.3333333333335</v>
      </c>
      <c r="K77" s="34"/>
      <c r="L77" s="37">
        <f t="shared" si="6"/>
        <v>1200.0000000002728</v>
      </c>
      <c r="M77" s="60">
        <f t="shared" si="7"/>
        <v>2166.6666666666665</v>
      </c>
      <c r="N77" s="14"/>
      <c r="R77" s="13"/>
    </row>
    <row r="78" spans="1:18">
      <c r="A78" s="7" t="s">
        <v>303</v>
      </c>
      <c r="B78" s="12">
        <v>41912</v>
      </c>
      <c r="C78" s="13">
        <v>5069</v>
      </c>
      <c r="D78" s="13">
        <v>14113</v>
      </c>
      <c r="E78" s="22">
        <v>2140.8000000000002</v>
      </c>
      <c r="F78" s="13">
        <v>0</v>
      </c>
      <c r="G78" s="13">
        <v>0</v>
      </c>
      <c r="H78" s="13"/>
      <c r="I78" s="30">
        <f t="shared" si="4"/>
        <v>47000</v>
      </c>
      <c r="J78" s="30">
        <f t="shared" si="5"/>
        <v>6000</v>
      </c>
      <c r="K78" s="34"/>
      <c r="L78" s="37">
        <f t="shared" si="6"/>
        <v>400.00000000009095</v>
      </c>
      <c r="M78" s="60">
        <f t="shared" si="7"/>
        <v>1533.3333333334547</v>
      </c>
      <c r="N78" s="14"/>
      <c r="R78" s="22"/>
    </row>
    <row r="79" spans="1:18">
      <c r="A79" s="7" t="s">
        <v>315</v>
      </c>
      <c r="B79" s="12">
        <v>41943</v>
      </c>
      <c r="C79" s="13">
        <v>5079</v>
      </c>
      <c r="D79" s="13">
        <v>14113</v>
      </c>
      <c r="E79" s="22">
        <v>2143.1</v>
      </c>
      <c r="F79" s="13">
        <v>0</v>
      </c>
      <c r="G79" s="13">
        <v>0</v>
      </c>
      <c r="H79" s="13"/>
      <c r="I79" s="30">
        <f t="shared" si="4"/>
        <v>10000</v>
      </c>
      <c r="J79" s="30">
        <f>IF(I78&lt;&gt;"", IF(I79&lt;&gt;"", (AVERAGE(I77:I79)), ""), "")</f>
        <v>13666.666666666666</v>
      </c>
      <c r="K79" s="34"/>
      <c r="L79" s="37">
        <f t="shared" si="6"/>
        <v>2299.9999999997272</v>
      </c>
      <c r="M79" s="60">
        <f t="shared" si="7"/>
        <v>1300.0000000000302</v>
      </c>
      <c r="N79" s="14"/>
      <c r="R79" s="13"/>
    </row>
    <row r="80" spans="1:18">
      <c r="A80" s="7" t="s">
        <v>317</v>
      </c>
      <c r="B80" s="12">
        <v>41973</v>
      </c>
      <c r="C80" s="13">
        <v>5080</v>
      </c>
      <c r="D80" s="13">
        <v>14112</v>
      </c>
      <c r="E80" s="22">
        <v>2145.6</v>
      </c>
      <c r="F80" s="13">
        <v>0</v>
      </c>
      <c r="G80" s="13">
        <v>0</v>
      </c>
      <c r="H80" s="13"/>
      <c r="I80" s="30">
        <f t="shared" si="4"/>
        <v>0</v>
      </c>
      <c r="J80" s="30">
        <f t="shared" si="5"/>
        <v>19000</v>
      </c>
      <c r="K80" s="34"/>
      <c r="L80" s="37">
        <f t="shared" si="6"/>
        <v>2500</v>
      </c>
      <c r="M80" s="60">
        <f t="shared" si="7"/>
        <v>1733.3333333332728</v>
      </c>
      <c r="N80" s="14"/>
      <c r="R80" s="22"/>
    </row>
    <row r="81" spans="1:18">
      <c r="A81" s="7" t="s">
        <v>353</v>
      </c>
      <c r="B81" s="12">
        <v>42004</v>
      </c>
      <c r="C81" s="13">
        <v>5088</v>
      </c>
      <c r="D81" s="13">
        <v>14113</v>
      </c>
      <c r="E81" s="22">
        <v>2147.5</v>
      </c>
      <c r="F81" s="13">
        <v>0</v>
      </c>
      <c r="G81" s="13">
        <v>0</v>
      </c>
      <c r="H81" s="13"/>
      <c r="I81" s="30">
        <f t="shared" si="4"/>
        <v>9000</v>
      </c>
      <c r="J81" s="30">
        <f t="shared" si="5"/>
        <v>6333.333333333333</v>
      </c>
      <c r="K81" s="34"/>
      <c r="L81" s="37">
        <f t="shared" si="6"/>
        <v>1900.0000000000909</v>
      </c>
      <c r="M81" s="60">
        <f t="shared" si="7"/>
        <v>2233.3333333332725</v>
      </c>
      <c r="N81" s="14"/>
      <c r="R81" s="13"/>
    </row>
    <row r="82" spans="1:18">
      <c r="A82" s="7" t="s">
        <v>354</v>
      </c>
      <c r="B82" s="12">
        <v>42035</v>
      </c>
      <c r="C82" s="13">
        <v>5092</v>
      </c>
      <c r="D82" s="13">
        <v>14119</v>
      </c>
      <c r="E82" s="22">
        <v>2151.9</v>
      </c>
      <c r="F82" s="13">
        <v>0</v>
      </c>
      <c r="G82" s="13">
        <v>0</v>
      </c>
      <c r="H82" s="13"/>
      <c r="I82" s="30">
        <f t="shared" si="4"/>
        <v>10000</v>
      </c>
      <c r="J82" s="30">
        <f t="shared" si="5"/>
        <v>6333.333333333333</v>
      </c>
      <c r="K82" s="34"/>
      <c r="L82" s="37">
        <f t="shared" si="6"/>
        <v>4400.0000000000909</v>
      </c>
      <c r="M82" s="60">
        <f t="shared" si="7"/>
        <v>2933.333333333394</v>
      </c>
      <c r="N82" s="14"/>
      <c r="R82" s="22"/>
    </row>
    <row r="83" spans="1:18">
      <c r="A83" s="7" t="s">
        <v>356</v>
      </c>
      <c r="B83" s="12">
        <v>42063</v>
      </c>
      <c r="C83" s="13">
        <v>5096</v>
      </c>
      <c r="D83" s="13">
        <v>14124</v>
      </c>
      <c r="E83" s="22">
        <v>2151.1999999999998</v>
      </c>
      <c r="F83" s="13">
        <v>0</v>
      </c>
      <c r="G83" s="13">
        <v>0</v>
      </c>
      <c r="H83" s="13"/>
      <c r="I83" s="30">
        <f t="shared" si="4"/>
        <v>9000</v>
      </c>
      <c r="J83" s="30">
        <f t="shared" si="5"/>
        <v>9333.3333333333339</v>
      </c>
      <c r="K83" s="34"/>
      <c r="L83" s="37">
        <f t="shared" si="6"/>
        <v>-700.00000000027285</v>
      </c>
      <c r="M83" s="60">
        <f t="shared" si="7"/>
        <v>1866.6666666666363</v>
      </c>
      <c r="N83" s="14"/>
      <c r="R83" s="13"/>
    </row>
    <row r="84" spans="1:18">
      <c r="A84" s="7" t="s">
        <v>358</v>
      </c>
      <c r="B84" s="12">
        <v>42094</v>
      </c>
      <c r="C84" s="13">
        <v>5094</v>
      </c>
      <c r="D84" s="13">
        <v>14120</v>
      </c>
      <c r="E84" s="22">
        <v>2152.1999999999998</v>
      </c>
      <c r="F84" s="13">
        <v>0</v>
      </c>
      <c r="G84" s="13">
        <v>0</v>
      </c>
      <c r="H84" s="13"/>
      <c r="I84" s="30">
        <f t="shared" si="4"/>
        <v>-6000</v>
      </c>
      <c r="J84" s="30">
        <f t="shared" si="5"/>
        <v>4333.333333333333</v>
      </c>
      <c r="K84" s="34"/>
      <c r="L84" s="37">
        <f t="shared" si="6"/>
        <v>1000</v>
      </c>
      <c r="M84" s="60">
        <f t="shared" si="7"/>
        <v>1566.666666666606</v>
      </c>
      <c r="N84" s="14"/>
      <c r="R84" s="22"/>
    </row>
    <row r="85" spans="1:18">
      <c r="A85" s="7" t="s">
        <v>360</v>
      </c>
      <c r="B85" s="12">
        <v>42124</v>
      </c>
      <c r="C85" s="13">
        <v>5096</v>
      </c>
      <c r="D85" s="13">
        <v>14125</v>
      </c>
      <c r="E85" s="22">
        <v>2153.8000000000002</v>
      </c>
      <c r="F85" s="13">
        <v>0</v>
      </c>
      <c r="G85" s="13">
        <v>0</v>
      </c>
      <c r="H85" s="13"/>
      <c r="I85" s="30">
        <f t="shared" si="4"/>
        <v>7000</v>
      </c>
      <c r="J85" s="30">
        <f t="shared" si="5"/>
        <v>3333.3333333333335</v>
      </c>
      <c r="K85" s="34"/>
      <c r="L85" s="37">
        <f t="shared" si="6"/>
        <v>1600.0000000003638</v>
      </c>
      <c r="M85" s="60">
        <f t="shared" si="7"/>
        <v>633.33333333336361</v>
      </c>
      <c r="N85" s="14"/>
      <c r="R85" s="13"/>
    </row>
    <row r="86" spans="1:18">
      <c r="A86" s="7" t="s">
        <v>362</v>
      </c>
      <c r="B86" s="12">
        <v>42155</v>
      </c>
      <c r="C86" s="13">
        <v>5096</v>
      </c>
      <c r="D86" s="13">
        <v>14140</v>
      </c>
      <c r="E86" s="22">
        <v>2156.9</v>
      </c>
      <c r="F86" s="13">
        <v>0</v>
      </c>
      <c r="G86" s="13">
        <v>0</v>
      </c>
      <c r="H86" s="13"/>
      <c r="I86" s="30">
        <f t="shared" si="4"/>
        <v>15000</v>
      </c>
      <c r="J86" s="30">
        <f t="shared" si="5"/>
        <v>5333.333333333333</v>
      </c>
      <c r="K86" s="34"/>
      <c r="L86" s="37">
        <f t="shared" si="6"/>
        <v>3099.9999999999091</v>
      </c>
      <c r="M86" s="60">
        <f t="shared" si="7"/>
        <v>1900.0000000000909</v>
      </c>
      <c r="N86" s="14"/>
      <c r="R86" s="22"/>
    </row>
    <row r="87" spans="1:18">
      <c r="A87" s="7" t="s">
        <v>366</v>
      </c>
      <c r="B87" s="12">
        <v>42185</v>
      </c>
      <c r="C87" s="13">
        <v>5099</v>
      </c>
      <c r="D87" s="13">
        <v>14139</v>
      </c>
      <c r="E87" s="22">
        <v>2156.1</v>
      </c>
      <c r="F87" s="13">
        <v>0</v>
      </c>
      <c r="G87" s="13">
        <v>0</v>
      </c>
      <c r="H87" s="13"/>
      <c r="I87" s="30">
        <f t="shared" si="4"/>
        <v>2000</v>
      </c>
      <c r="J87" s="30">
        <f t="shared" si="5"/>
        <v>8000</v>
      </c>
      <c r="K87" s="34"/>
      <c r="L87" s="37">
        <f t="shared" si="6"/>
        <v>-800.0000000001819</v>
      </c>
      <c r="M87" s="60">
        <f t="shared" si="7"/>
        <v>1300.0000000000302</v>
      </c>
      <c r="N87" s="14"/>
      <c r="R87" s="13"/>
    </row>
    <row r="88" spans="1:18">
      <c r="A88" s="7" t="s">
        <v>369</v>
      </c>
      <c r="B88" s="12">
        <v>42216</v>
      </c>
      <c r="C88" s="13">
        <v>5098</v>
      </c>
      <c r="D88" s="13">
        <v>14173</v>
      </c>
      <c r="E88" s="22">
        <v>2156.9</v>
      </c>
      <c r="F88" s="13">
        <v>0</v>
      </c>
      <c r="G88" s="13">
        <v>0</v>
      </c>
      <c r="H88" s="13"/>
      <c r="I88" s="30">
        <f t="shared" si="4"/>
        <v>33000</v>
      </c>
      <c r="J88" s="30">
        <f t="shared" si="5"/>
        <v>16666.666666666668</v>
      </c>
      <c r="K88" s="34"/>
      <c r="L88" s="37">
        <f t="shared" si="6"/>
        <v>800.0000000001819</v>
      </c>
      <c r="M88" s="60">
        <f t="shared" si="7"/>
        <v>1033.333333333303</v>
      </c>
      <c r="N88" s="14"/>
      <c r="R88" s="22"/>
    </row>
    <row r="89" spans="1:18">
      <c r="A89" s="7" t="s">
        <v>370</v>
      </c>
      <c r="B89" s="12">
        <v>42247</v>
      </c>
      <c r="C89" s="13">
        <v>5106</v>
      </c>
      <c r="D89" s="13">
        <v>14190</v>
      </c>
      <c r="E89" s="22">
        <v>2157.5</v>
      </c>
      <c r="F89" s="13">
        <v>0</v>
      </c>
      <c r="G89" s="13">
        <v>0</v>
      </c>
      <c r="H89" s="13"/>
      <c r="I89" s="30">
        <f t="shared" si="4"/>
        <v>25000</v>
      </c>
      <c r="J89" s="30">
        <f t="shared" si="5"/>
        <v>20000</v>
      </c>
      <c r="K89" s="34"/>
      <c r="L89" s="37">
        <f t="shared" si="6"/>
        <v>599.99999999990905</v>
      </c>
      <c r="M89" s="60">
        <f t="shared" si="7"/>
        <v>199.99999999996967</v>
      </c>
      <c r="N89" s="14"/>
      <c r="R89" s="13"/>
    </row>
    <row r="90" spans="1:18">
      <c r="A90" s="7" t="s">
        <v>371</v>
      </c>
      <c r="B90" s="12">
        <v>42277</v>
      </c>
      <c r="C90" s="13">
        <v>5113</v>
      </c>
      <c r="D90" s="13">
        <v>14169</v>
      </c>
      <c r="E90" s="22">
        <v>2157.9</v>
      </c>
      <c r="F90" s="13">
        <v>0</v>
      </c>
      <c r="G90" s="13">
        <v>0</v>
      </c>
      <c r="H90" s="13"/>
      <c r="I90" s="30">
        <f t="shared" si="4"/>
        <v>-14000</v>
      </c>
      <c r="J90" s="30">
        <f t="shared" si="5"/>
        <v>14666.666666666666</v>
      </c>
      <c r="K90" s="34"/>
      <c r="L90" s="37">
        <f t="shared" si="6"/>
        <v>400.00000000009095</v>
      </c>
      <c r="M90" s="60">
        <f t="shared" si="7"/>
        <v>600.0000000000606</v>
      </c>
      <c r="N90" s="14"/>
      <c r="R90" s="22"/>
    </row>
    <row r="91" spans="1:18">
      <c r="A91" s="7" t="s">
        <v>374</v>
      </c>
      <c r="B91" s="12">
        <v>42308</v>
      </c>
      <c r="C91" s="13">
        <v>5114</v>
      </c>
      <c r="D91" s="13">
        <v>14161</v>
      </c>
      <c r="E91" s="22">
        <v>2157.5</v>
      </c>
      <c r="F91" s="13">
        <v>0</v>
      </c>
      <c r="G91" s="13">
        <v>0</v>
      </c>
      <c r="H91" s="13"/>
      <c r="I91" s="30">
        <f t="shared" si="4"/>
        <v>-7000</v>
      </c>
      <c r="J91" s="30">
        <f t="shared" si="5"/>
        <v>1333.3333333333333</v>
      </c>
      <c r="K91" s="34"/>
      <c r="L91" s="37">
        <f t="shared" si="6"/>
        <v>-400.00000000009095</v>
      </c>
      <c r="M91" s="60">
        <f t="shared" si="7"/>
        <v>199.99999999996967</v>
      </c>
      <c r="N91" s="14"/>
      <c r="R91" s="13"/>
    </row>
    <row r="92" spans="1:18">
      <c r="A92" s="7" t="s">
        <v>375</v>
      </c>
      <c r="B92" s="12">
        <v>42338</v>
      </c>
      <c r="C92" s="13">
        <v>5110</v>
      </c>
      <c r="D92" s="13">
        <v>14160</v>
      </c>
      <c r="E92" s="22">
        <v>2159.8000000000002</v>
      </c>
      <c r="F92" s="13">
        <v>0</v>
      </c>
      <c r="G92" s="13">
        <v>0</v>
      </c>
      <c r="H92" s="13"/>
      <c r="I92" s="30">
        <f t="shared" si="4"/>
        <v>-5000</v>
      </c>
      <c r="J92" s="30">
        <f t="shared" si="5"/>
        <v>-8666.6666666666661</v>
      </c>
      <c r="K92" s="34"/>
      <c r="L92" s="37">
        <f t="shared" si="6"/>
        <v>2300.0000000001819</v>
      </c>
      <c r="M92" s="60">
        <f t="shared" si="7"/>
        <v>766.66666666672734</v>
      </c>
      <c r="N92" s="14"/>
      <c r="R92" s="22"/>
    </row>
    <row r="93" spans="1:18">
      <c r="A93" s="7" t="s">
        <v>378</v>
      </c>
      <c r="B93" s="12">
        <v>42369</v>
      </c>
      <c r="C93" s="13">
        <v>5108</v>
      </c>
      <c r="D93" s="13">
        <v>14164</v>
      </c>
      <c r="E93" s="22">
        <v>2164.3000000000002</v>
      </c>
      <c r="F93" s="13">
        <v>0</v>
      </c>
      <c r="G93" s="13">
        <v>0</v>
      </c>
      <c r="H93" s="13"/>
      <c r="I93" s="30">
        <f t="shared" si="4"/>
        <v>2000</v>
      </c>
      <c r="J93" s="30">
        <f t="shared" si="5"/>
        <v>-3333.3333333333335</v>
      </c>
      <c r="K93" s="34"/>
      <c r="L93" s="37">
        <f t="shared" si="6"/>
        <v>4500</v>
      </c>
      <c r="M93" s="60">
        <f t="shared" si="7"/>
        <v>2133.3333333333635</v>
      </c>
      <c r="N93" s="14"/>
      <c r="R93" s="13"/>
    </row>
    <row r="94" spans="1:18">
      <c r="A94" s="7" t="s">
        <v>394</v>
      </c>
      <c r="B94" s="12">
        <v>42400</v>
      </c>
      <c r="C94" s="13">
        <v>5107</v>
      </c>
      <c r="D94" s="13">
        <v>14183</v>
      </c>
      <c r="E94" s="22">
        <v>2165.1</v>
      </c>
      <c r="F94" s="13">
        <v>0</v>
      </c>
      <c r="G94" s="13">
        <v>0</v>
      </c>
      <c r="H94" s="13"/>
      <c r="I94" s="30">
        <f>IF(C94&lt;&gt;"", ((C94+D94)-(C93+D93))*1000, "")</f>
        <v>18000</v>
      </c>
      <c r="J94" s="30">
        <f>IF(I93&lt;&gt;"", IF(I94&lt;&gt;"", (AVERAGE(I92:I94)), ""), "")</f>
        <v>5000</v>
      </c>
      <c r="K94" s="34"/>
      <c r="L94" s="37">
        <f>IF(E94&lt;&gt;"", ((E94-F94)-(E93-F93))*1000, "")</f>
        <v>799.99999999972715</v>
      </c>
      <c r="M94" s="60">
        <f>IF(L93&lt;&gt;"", IF(L94&lt;&gt;"", AVERAGE(L92:L94), ""), "")</f>
        <v>2533.333333333303</v>
      </c>
      <c r="N94" s="14"/>
      <c r="R94" s="22"/>
    </row>
    <row r="95" spans="1:18">
      <c r="A95" s="7" t="s">
        <v>432</v>
      </c>
      <c r="B95" s="12">
        <v>42429</v>
      </c>
      <c r="C95" s="13">
        <v>5101</v>
      </c>
      <c r="D95" s="13">
        <v>14193</v>
      </c>
      <c r="E95" s="22">
        <v>2165.1</v>
      </c>
      <c r="F95" s="13">
        <v>0</v>
      </c>
      <c r="G95" s="13">
        <v>0</v>
      </c>
      <c r="H95" s="13"/>
      <c r="I95" s="30">
        <f t="shared" si="4"/>
        <v>4000</v>
      </c>
      <c r="J95" s="30">
        <f>IF(I94&lt;&gt;"", IF(I95&lt;&gt;"", (AVERAGE(I93:I95)), ""), "")</f>
        <v>8000</v>
      </c>
      <c r="K95" s="34"/>
      <c r="L95" s="37">
        <f t="shared" si="6"/>
        <v>0</v>
      </c>
      <c r="M95" s="60">
        <f>IF(L94&lt;&gt;"", IF(L95&lt;&gt;"", AVERAGE(L93:L95), ""), "")</f>
        <v>1766.6666666665758</v>
      </c>
      <c r="N95" s="14"/>
      <c r="R95" s="13"/>
    </row>
    <row r="96" spans="1:18">
      <c r="A96" s="7" t="s">
        <v>442</v>
      </c>
      <c r="B96" s="12">
        <v>42460</v>
      </c>
      <c r="C96" s="13">
        <v>5100</v>
      </c>
      <c r="D96" s="13">
        <v>14212</v>
      </c>
      <c r="E96" s="22">
        <v>2164.6999999999998</v>
      </c>
      <c r="F96" s="13">
        <v>0</v>
      </c>
      <c r="G96" s="13">
        <v>0</v>
      </c>
      <c r="H96" s="13"/>
      <c r="I96" s="30">
        <f t="shared" si="4"/>
        <v>18000</v>
      </c>
      <c r="J96" s="30">
        <f t="shared" si="5"/>
        <v>13333.333333333334</v>
      </c>
      <c r="K96" s="34"/>
      <c r="L96" s="37">
        <f t="shared" si="6"/>
        <v>-400.00000000009095</v>
      </c>
      <c r="M96" s="60">
        <f t="shared" si="7"/>
        <v>133.33333333321207</v>
      </c>
      <c r="N96" s="14"/>
      <c r="R96" s="22"/>
    </row>
    <row r="97" spans="2:18">
      <c r="B97" s="12"/>
      <c r="C97" s="13"/>
      <c r="D97" s="13"/>
      <c r="E97" s="22"/>
      <c r="F97" s="13"/>
      <c r="G97" s="13"/>
      <c r="H97" s="13"/>
      <c r="I97" s="30" t="str">
        <f t="shared" si="4"/>
        <v/>
      </c>
      <c r="J97" s="30" t="str">
        <f t="shared" si="5"/>
        <v/>
      </c>
      <c r="K97" s="34"/>
      <c r="L97" s="37" t="str">
        <f t="shared" si="6"/>
        <v/>
      </c>
      <c r="M97" s="60" t="str">
        <f t="shared" si="7"/>
        <v/>
      </c>
      <c r="N97" s="14"/>
      <c r="R97" s="13"/>
    </row>
    <row r="98" spans="2:18">
      <c r="B98" s="12"/>
      <c r="C98" s="13"/>
      <c r="D98" s="13"/>
      <c r="E98" s="22"/>
      <c r="F98" s="13"/>
      <c r="G98" s="13"/>
      <c r="H98" s="13"/>
      <c r="I98" s="30" t="str">
        <f t="shared" si="4"/>
        <v/>
      </c>
      <c r="J98" s="30" t="str">
        <f t="shared" si="5"/>
        <v/>
      </c>
      <c r="K98" s="34"/>
      <c r="L98" s="37" t="str">
        <f t="shared" si="6"/>
        <v/>
      </c>
      <c r="M98" s="60" t="str">
        <f t="shared" si="7"/>
        <v/>
      </c>
      <c r="N98" s="14"/>
      <c r="R98" s="22"/>
    </row>
    <row r="99" spans="2:18">
      <c r="B99" s="12"/>
      <c r="C99" s="13"/>
      <c r="D99" s="13"/>
      <c r="E99" s="22"/>
      <c r="F99" s="13"/>
      <c r="G99" s="13"/>
      <c r="H99" s="13"/>
      <c r="I99" s="30" t="str">
        <f t="shared" si="4"/>
        <v/>
      </c>
      <c r="J99" s="30" t="str">
        <f t="shared" si="5"/>
        <v/>
      </c>
      <c r="K99" s="34"/>
      <c r="L99" s="37" t="str">
        <f t="shared" si="6"/>
        <v/>
      </c>
      <c r="M99" s="60" t="str">
        <f t="shared" si="7"/>
        <v/>
      </c>
      <c r="N99" s="14"/>
      <c r="R99" s="13"/>
    </row>
    <row r="100" spans="2:18">
      <c r="B100" s="12"/>
      <c r="C100" s="13"/>
      <c r="D100" s="13"/>
      <c r="E100" s="22"/>
      <c r="F100" s="13"/>
      <c r="G100" s="13"/>
      <c r="H100" s="13"/>
      <c r="I100" s="30" t="str">
        <f t="shared" si="4"/>
        <v/>
      </c>
      <c r="J100" s="30" t="str">
        <f t="shared" si="5"/>
        <v/>
      </c>
      <c r="K100" s="34"/>
      <c r="L100" s="37" t="str">
        <f t="shared" si="6"/>
        <v/>
      </c>
      <c r="M100" s="60" t="str">
        <f t="shared" si="7"/>
        <v/>
      </c>
      <c r="N100" s="14"/>
      <c r="R100" s="22"/>
    </row>
    <row r="101" spans="2:18">
      <c r="B101" s="12"/>
      <c r="C101" s="13"/>
      <c r="D101" s="13"/>
      <c r="E101" s="22"/>
      <c r="F101" s="13"/>
      <c r="G101" s="13"/>
      <c r="H101" s="13"/>
      <c r="I101" s="30" t="str">
        <f t="shared" si="4"/>
        <v/>
      </c>
      <c r="J101" s="30" t="str">
        <f t="shared" si="5"/>
        <v/>
      </c>
      <c r="K101" s="34"/>
      <c r="L101" s="37" t="str">
        <f t="shared" si="6"/>
        <v/>
      </c>
      <c r="M101" s="60" t="str">
        <f t="shared" si="7"/>
        <v/>
      </c>
      <c r="N101" s="14"/>
      <c r="R101" s="13"/>
    </row>
    <row r="102" spans="2:18">
      <c r="B102" s="12"/>
      <c r="C102" s="13"/>
      <c r="D102" s="13"/>
      <c r="E102" s="22"/>
      <c r="F102" s="13"/>
      <c r="G102" s="13"/>
      <c r="H102" s="13"/>
      <c r="I102" s="30" t="str">
        <f t="shared" si="4"/>
        <v/>
      </c>
      <c r="J102" s="30" t="str">
        <f t="shared" si="5"/>
        <v/>
      </c>
      <c r="K102" s="34"/>
      <c r="L102" s="37" t="str">
        <f t="shared" si="6"/>
        <v/>
      </c>
      <c r="M102" s="60" t="str">
        <f t="shared" si="7"/>
        <v/>
      </c>
      <c r="N102" s="14"/>
      <c r="R102" s="22"/>
    </row>
    <row r="103" spans="2:18">
      <c r="B103" s="12"/>
      <c r="C103" s="13"/>
      <c r="D103" s="13"/>
      <c r="E103" s="22"/>
      <c r="F103" s="13"/>
      <c r="G103" s="13"/>
      <c r="H103" s="13"/>
      <c r="I103" s="30" t="str">
        <f t="shared" si="4"/>
        <v/>
      </c>
      <c r="J103" s="30" t="str">
        <f t="shared" si="5"/>
        <v/>
      </c>
      <c r="K103" s="34"/>
      <c r="L103" s="37" t="str">
        <f t="shared" si="6"/>
        <v/>
      </c>
      <c r="M103" s="60" t="str">
        <f t="shared" si="7"/>
        <v/>
      </c>
      <c r="N103" s="14"/>
      <c r="R103" s="13"/>
    </row>
    <row r="104" spans="2:18">
      <c r="B104" s="12"/>
      <c r="C104" s="13"/>
      <c r="D104" s="13"/>
      <c r="E104" s="22"/>
      <c r="F104" s="13"/>
      <c r="G104" s="13"/>
      <c r="H104" s="13"/>
      <c r="I104" s="30" t="str">
        <f t="shared" si="4"/>
        <v/>
      </c>
      <c r="J104" s="30" t="str">
        <f t="shared" si="5"/>
        <v/>
      </c>
      <c r="K104" s="34"/>
      <c r="L104" s="37" t="str">
        <f t="shared" si="6"/>
        <v/>
      </c>
      <c r="M104" s="60" t="str">
        <f t="shared" si="7"/>
        <v/>
      </c>
      <c r="N104" s="14"/>
      <c r="R104" s="22"/>
    </row>
    <row r="105" spans="2:18">
      <c r="B105" s="12"/>
      <c r="C105" s="13"/>
      <c r="D105" s="13"/>
      <c r="E105" s="22"/>
      <c r="F105" s="13"/>
      <c r="G105" s="13"/>
      <c r="H105" s="13"/>
      <c r="I105" s="30" t="str">
        <f t="shared" si="4"/>
        <v/>
      </c>
      <c r="J105" s="30" t="str">
        <f t="shared" si="5"/>
        <v/>
      </c>
      <c r="K105" s="34"/>
      <c r="L105" s="37" t="str">
        <f t="shared" si="6"/>
        <v/>
      </c>
      <c r="M105" s="60" t="str">
        <f t="shared" si="7"/>
        <v/>
      </c>
      <c r="N105" s="14"/>
      <c r="R105" s="13"/>
    </row>
    <row r="106" spans="2:18">
      <c r="B106" s="12"/>
      <c r="C106" s="13"/>
      <c r="D106" s="13"/>
      <c r="E106" s="22"/>
      <c r="F106" s="13"/>
      <c r="G106" s="13"/>
      <c r="H106" s="13"/>
      <c r="I106" s="30" t="str">
        <f t="shared" si="4"/>
        <v/>
      </c>
      <c r="J106" s="30" t="str">
        <f t="shared" si="5"/>
        <v/>
      </c>
      <c r="K106" s="34"/>
      <c r="L106" s="37" t="str">
        <f t="shared" si="6"/>
        <v/>
      </c>
      <c r="M106" s="60" t="str">
        <f t="shared" si="7"/>
        <v/>
      </c>
      <c r="N106" s="14"/>
      <c r="R106" s="22"/>
    </row>
    <row r="107" spans="2:18">
      <c r="B107" s="12"/>
      <c r="C107" s="13"/>
      <c r="D107" s="13"/>
      <c r="E107" s="22"/>
      <c r="F107" s="13"/>
      <c r="G107" s="13"/>
      <c r="H107" s="13"/>
      <c r="I107" s="30" t="str">
        <f t="shared" si="4"/>
        <v/>
      </c>
      <c r="J107" s="30" t="str">
        <f t="shared" si="5"/>
        <v/>
      </c>
      <c r="K107" s="34"/>
      <c r="L107" s="37" t="str">
        <f t="shared" si="6"/>
        <v/>
      </c>
      <c r="M107" s="60" t="str">
        <f t="shared" si="7"/>
        <v/>
      </c>
      <c r="N107" s="14"/>
      <c r="R107" s="13"/>
    </row>
    <row r="108" spans="2:18">
      <c r="B108" s="12"/>
      <c r="C108" s="13"/>
      <c r="D108" s="13"/>
      <c r="E108" s="22"/>
      <c r="F108" s="13"/>
      <c r="G108" s="13"/>
      <c r="H108" s="13"/>
      <c r="I108" s="30" t="str">
        <f t="shared" si="4"/>
        <v/>
      </c>
      <c r="J108" s="30" t="str">
        <f t="shared" si="5"/>
        <v/>
      </c>
      <c r="K108" s="34"/>
      <c r="L108" s="37" t="str">
        <f t="shared" si="6"/>
        <v/>
      </c>
      <c r="M108" s="60" t="str">
        <f t="shared" si="7"/>
        <v/>
      </c>
      <c r="N108" s="14"/>
      <c r="R108" s="22"/>
    </row>
    <row r="109" spans="2:18">
      <c r="B109" s="12"/>
      <c r="C109" s="13"/>
      <c r="D109" s="13"/>
      <c r="E109" s="22"/>
      <c r="F109" s="13"/>
      <c r="G109" s="13"/>
      <c r="H109" s="13"/>
      <c r="I109" s="30" t="str">
        <f t="shared" si="4"/>
        <v/>
      </c>
      <c r="J109" s="30" t="str">
        <f t="shared" si="5"/>
        <v/>
      </c>
      <c r="K109" s="34"/>
      <c r="L109" s="37" t="str">
        <f t="shared" si="6"/>
        <v/>
      </c>
      <c r="M109" s="60" t="str">
        <f t="shared" si="7"/>
        <v/>
      </c>
      <c r="N109" s="14"/>
      <c r="R109" s="13"/>
    </row>
    <row r="110" spans="2:18">
      <c r="B110" s="12"/>
      <c r="C110" s="13"/>
      <c r="D110" s="13"/>
      <c r="E110" s="22"/>
      <c r="F110" s="13"/>
      <c r="G110" s="13"/>
      <c r="H110" s="13"/>
      <c r="I110" s="30" t="str">
        <f t="shared" si="4"/>
        <v/>
      </c>
      <c r="J110" s="30" t="str">
        <f t="shared" si="5"/>
        <v/>
      </c>
      <c r="K110" s="34"/>
      <c r="L110" s="37" t="str">
        <f t="shared" si="6"/>
        <v/>
      </c>
      <c r="M110" s="60" t="str">
        <f t="shared" si="7"/>
        <v/>
      </c>
      <c r="N110" s="14"/>
      <c r="R110" s="22"/>
    </row>
    <row r="111" spans="2:18">
      <c r="B111" s="12"/>
      <c r="C111" s="13"/>
      <c r="D111" s="13"/>
      <c r="E111" s="22"/>
      <c r="F111" s="13"/>
      <c r="G111" s="13"/>
      <c r="H111" s="13"/>
      <c r="I111" s="30" t="str">
        <f t="shared" si="4"/>
        <v/>
      </c>
      <c r="J111" s="30" t="str">
        <f t="shared" si="5"/>
        <v/>
      </c>
      <c r="K111" s="34"/>
      <c r="L111" s="37" t="str">
        <f t="shared" si="6"/>
        <v/>
      </c>
      <c r="M111" s="60" t="str">
        <f t="shared" si="7"/>
        <v/>
      </c>
      <c r="N111" s="14"/>
      <c r="R111" s="13"/>
    </row>
    <row r="112" spans="2:18">
      <c r="B112" s="12"/>
      <c r="C112" s="13"/>
      <c r="D112" s="13"/>
      <c r="E112" s="22"/>
      <c r="F112" s="13"/>
      <c r="G112" s="13"/>
      <c r="H112" s="13"/>
      <c r="I112" s="30" t="str">
        <f t="shared" si="4"/>
        <v/>
      </c>
      <c r="J112" s="30" t="str">
        <f t="shared" si="5"/>
        <v/>
      </c>
      <c r="K112" s="34"/>
      <c r="L112" s="37" t="str">
        <f t="shared" si="6"/>
        <v/>
      </c>
      <c r="M112" s="60" t="str">
        <f t="shared" si="7"/>
        <v/>
      </c>
      <c r="N112" s="14"/>
      <c r="R112" s="22"/>
    </row>
    <row r="113" spans="2:18">
      <c r="B113" s="12"/>
      <c r="C113" s="13"/>
      <c r="D113" s="13"/>
      <c r="E113" s="22"/>
      <c r="F113" s="13"/>
      <c r="G113" s="13"/>
      <c r="H113" s="13"/>
      <c r="I113" s="30" t="str">
        <f t="shared" si="4"/>
        <v/>
      </c>
      <c r="J113" s="30" t="str">
        <f t="shared" si="5"/>
        <v/>
      </c>
      <c r="K113" s="34"/>
      <c r="L113" s="37" t="str">
        <f t="shared" si="6"/>
        <v/>
      </c>
      <c r="M113" s="60" t="str">
        <f t="shared" si="7"/>
        <v/>
      </c>
      <c r="N113" s="14"/>
      <c r="R113" s="13"/>
    </row>
    <row r="114" spans="2:18">
      <c r="B114" s="12"/>
      <c r="C114" s="13"/>
      <c r="D114" s="13"/>
      <c r="E114" s="22"/>
      <c r="F114" s="13"/>
      <c r="G114" s="13"/>
      <c r="H114" s="13"/>
      <c r="I114" s="30" t="str">
        <f t="shared" si="4"/>
        <v/>
      </c>
      <c r="J114" s="30" t="str">
        <f t="shared" si="5"/>
        <v/>
      </c>
      <c r="K114" s="34"/>
      <c r="L114" s="37" t="str">
        <f t="shared" si="6"/>
        <v/>
      </c>
      <c r="M114" s="60" t="str">
        <f t="shared" si="7"/>
        <v/>
      </c>
      <c r="N114" s="14"/>
      <c r="R114" s="22"/>
    </row>
    <row r="115" spans="2:18">
      <c r="B115" s="12"/>
      <c r="C115" s="13"/>
      <c r="D115" s="13"/>
      <c r="E115" s="22"/>
      <c r="F115" s="13"/>
      <c r="G115" s="13"/>
      <c r="H115" s="13"/>
      <c r="I115" s="30" t="str">
        <f t="shared" si="4"/>
        <v/>
      </c>
      <c r="J115" s="30" t="str">
        <f t="shared" si="5"/>
        <v/>
      </c>
      <c r="K115" s="34"/>
      <c r="L115" s="37" t="str">
        <f t="shared" si="6"/>
        <v/>
      </c>
      <c r="M115" s="60" t="str">
        <f t="shared" si="7"/>
        <v/>
      </c>
      <c r="N115" s="14"/>
      <c r="R115" s="13"/>
    </row>
    <row r="116" spans="2:18">
      <c r="B116" s="12"/>
      <c r="C116" s="13"/>
      <c r="D116" s="13"/>
      <c r="E116" s="22"/>
      <c r="F116" s="13"/>
      <c r="G116" s="13"/>
      <c r="H116" s="13"/>
      <c r="I116" s="30" t="str">
        <f t="shared" si="4"/>
        <v/>
      </c>
      <c r="J116" s="30" t="str">
        <f t="shared" si="5"/>
        <v/>
      </c>
      <c r="K116" s="34"/>
      <c r="L116" s="37" t="str">
        <f t="shared" si="6"/>
        <v/>
      </c>
      <c r="M116" s="60" t="str">
        <f t="shared" si="7"/>
        <v/>
      </c>
      <c r="N116" s="14"/>
      <c r="R116" s="22"/>
    </row>
    <row r="117" spans="2:18">
      <c r="B117" s="12"/>
      <c r="C117" s="13"/>
      <c r="D117" s="13"/>
      <c r="E117" s="22"/>
      <c r="F117" s="13"/>
      <c r="G117" s="13"/>
      <c r="H117" s="13"/>
      <c r="I117" s="30" t="str">
        <f t="shared" si="4"/>
        <v/>
      </c>
      <c r="J117" s="30" t="str">
        <f t="shared" si="5"/>
        <v/>
      </c>
      <c r="K117" s="34"/>
      <c r="L117" s="37" t="str">
        <f t="shared" si="6"/>
        <v/>
      </c>
      <c r="M117" s="60" t="str">
        <f t="shared" si="7"/>
        <v/>
      </c>
      <c r="N117" s="14"/>
      <c r="R117" s="13"/>
    </row>
    <row r="118" spans="2:18">
      <c r="B118" s="12"/>
      <c r="C118" s="13"/>
      <c r="D118" s="13"/>
      <c r="E118" s="22"/>
      <c r="F118" s="13"/>
      <c r="G118" s="13"/>
      <c r="H118" s="13"/>
      <c r="I118" s="30" t="str">
        <f t="shared" si="4"/>
        <v/>
      </c>
      <c r="J118" s="30" t="str">
        <f t="shared" si="5"/>
        <v/>
      </c>
      <c r="K118" s="34"/>
      <c r="L118" s="37" t="str">
        <f t="shared" si="6"/>
        <v/>
      </c>
      <c r="M118" s="60" t="str">
        <f t="shared" si="7"/>
        <v/>
      </c>
      <c r="N118" s="14"/>
      <c r="R118" s="22"/>
    </row>
    <row r="119" spans="2:18">
      <c r="B119" s="12"/>
      <c r="C119" s="13"/>
      <c r="D119" s="13"/>
      <c r="E119" s="22"/>
      <c r="F119" s="13"/>
      <c r="G119" s="13"/>
      <c r="H119" s="13"/>
      <c r="I119" s="30" t="str">
        <f t="shared" si="4"/>
        <v/>
      </c>
      <c r="J119" s="30" t="str">
        <f t="shared" si="5"/>
        <v/>
      </c>
      <c r="K119" s="34"/>
      <c r="L119" s="37" t="str">
        <f t="shared" si="6"/>
        <v/>
      </c>
      <c r="M119" s="60" t="str">
        <f t="shared" si="7"/>
        <v/>
      </c>
      <c r="N119" s="14"/>
      <c r="R119" s="13"/>
    </row>
    <row r="120" spans="2:18">
      <c r="B120" s="12"/>
      <c r="C120" s="13"/>
      <c r="D120" s="13"/>
      <c r="E120" s="22"/>
      <c r="F120" s="13"/>
      <c r="G120" s="13"/>
      <c r="H120" s="13"/>
      <c r="I120" s="30" t="str">
        <f t="shared" si="4"/>
        <v/>
      </c>
      <c r="J120" s="30" t="str">
        <f t="shared" si="5"/>
        <v/>
      </c>
      <c r="K120" s="34"/>
      <c r="L120" s="37" t="str">
        <f t="shared" si="6"/>
        <v/>
      </c>
      <c r="M120" s="60" t="str">
        <f t="shared" si="7"/>
        <v/>
      </c>
      <c r="N120" s="14"/>
      <c r="R120" s="22"/>
    </row>
    <row r="121" spans="2:18">
      <c r="B121" s="12"/>
      <c r="C121" s="13"/>
      <c r="D121" s="13"/>
      <c r="E121" s="22"/>
      <c r="F121" s="13"/>
      <c r="G121" s="13"/>
      <c r="H121" s="13"/>
      <c r="I121" s="30" t="str">
        <f t="shared" si="4"/>
        <v/>
      </c>
      <c r="J121" s="30" t="str">
        <f t="shared" si="5"/>
        <v/>
      </c>
      <c r="K121" s="34"/>
      <c r="L121" s="37" t="str">
        <f t="shared" si="6"/>
        <v/>
      </c>
      <c r="M121" s="60" t="str">
        <f t="shared" si="7"/>
        <v/>
      </c>
      <c r="N121" s="14"/>
      <c r="R121" s="13"/>
    </row>
    <row r="122" spans="2:18">
      <c r="B122" s="12"/>
      <c r="C122" s="13"/>
      <c r="D122" s="13"/>
      <c r="E122" s="22"/>
      <c r="F122" s="13"/>
      <c r="G122" s="13"/>
      <c r="H122" s="13"/>
      <c r="I122" s="30" t="str">
        <f t="shared" si="4"/>
        <v/>
      </c>
      <c r="J122" s="30" t="str">
        <f t="shared" si="5"/>
        <v/>
      </c>
      <c r="K122" s="34"/>
      <c r="L122" s="37" t="str">
        <f t="shared" si="6"/>
        <v/>
      </c>
      <c r="M122" s="60" t="str">
        <f t="shared" si="7"/>
        <v/>
      </c>
      <c r="N122" s="14"/>
      <c r="R122" s="22"/>
    </row>
    <row r="123" spans="2:18">
      <c r="B123" s="12"/>
      <c r="C123" s="13"/>
      <c r="D123" s="13"/>
      <c r="E123" s="22"/>
      <c r="F123" s="13"/>
      <c r="G123" s="13"/>
      <c r="H123" s="13"/>
      <c r="I123" s="30" t="str">
        <f t="shared" si="4"/>
        <v/>
      </c>
      <c r="J123" s="30" t="str">
        <f t="shared" si="5"/>
        <v/>
      </c>
      <c r="K123" s="34"/>
      <c r="L123" s="37" t="str">
        <f t="shared" si="6"/>
        <v/>
      </c>
      <c r="M123" s="60" t="str">
        <f t="shared" si="7"/>
        <v/>
      </c>
      <c r="N123" s="14"/>
      <c r="R123" s="13"/>
    </row>
    <row r="124" spans="2:18">
      <c r="B124" s="12"/>
      <c r="C124" s="13"/>
      <c r="D124" s="13"/>
      <c r="E124" s="22"/>
      <c r="F124" s="13"/>
      <c r="G124" s="13"/>
      <c r="H124" s="13"/>
      <c r="I124" s="30" t="str">
        <f t="shared" si="4"/>
        <v/>
      </c>
      <c r="J124" s="30" t="str">
        <f t="shared" si="5"/>
        <v/>
      </c>
      <c r="K124" s="34"/>
      <c r="L124" s="37" t="str">
        <f t="shared" si="6"/>
        <v/>
      </c>
      <c r="M124" s="60" t="str">
        <f t="shared" si="7"/>
        <v/>
      </c>
      <c r="N124" s="14"/>
      <c r="R124" s="22"/>
    </row>
    <row r="125" spans="2:18">
      <c r="B125" s="12"/>
      <c r="C125" s="13"/>
      <c r="D125" s="13"/>
      <c r="E125" s="22"/>
      <c r="F125" s="13"/>
      <c r="G125" s="13"/>
      <c r="H125" s="13"/>
      <c r="I125" s="30" t="str">
        <f t="shared" si="4"/>
        <v/>
      </c>
      <c r="J125" s="30" t="str">
        <f t="shared" si="5"/>
        <v/>
      </c>
      <c r="K125" s="34"/>
      <c r="L125" s="37" t="str">
        <f t="shared" si="6"/>
        <v/>
      </c>
      <c r="M125" s="60" t="str">
        <f t="shared" si="7"/>
        <v/>
      </c>
      <c r="N125" s="14"/>
      <c r="R125" s="13"/>
    </row>
    <row r="126" spans="2:18">
      <c r="B126" s="12"/>
      <c r="C126" s="13"/>
      <c r="D126" s="13"/>
      <c r="E126" s="22"/>
      <c r="F126" s="13"/>
      <c r="G126" s="13"/>
      <c r="H126" s="13"/>
      <c r="I126" s="30" t="str">
        <f t="shared" si="4"/>
        <v/>
      </c>
      <c r="J126" s="30" t="str">
        <f t="shared" si="5"/>
        <v/>
      </c>
      <c r="K126" s="34"/>
      <c r="L126" s="37" t="str">
        <f t="shared" si="6"/>
        <v/>
      </c>
      <c r="M126" s="60" t="str">
        <f t="shared" si="7"/>
        <v/>
      </c>
      <c r="N126" s="14"/>
      <c r="R126" s="22"/>
    </row>
    <row r="127" spans="2:18">
      <c r="B127" s="12"/>
      <c r="C127" s="13"/>
      <c r="D127" s="13"/>
      <c r="E127" s="22"/>
      <c r="F127" s="13"/>
      <c r="G127" s="13"/>
      <c r="H127" s="13"/>
      <c r="I127" s="30" t="str">
        <f t="shared" si="4"/>
        <v/>
      </c>
      <c r="J127" s="30" t="str">
        <f t="shared" si="5"/>
        <v/>
      </c>
      <c r="K127" s="34"/>
      <c r="L127" s="37" t="str">
        <f t="shared" si="6"/>
        <v/>
      </c>
      <c r="M127" s="60" t="str">
        <f t="shared" si="7"/>
        <v/>
      </c>
      <c r="N127" s="14"/>
      <c r="R127" s="13"/>
    </row>
    <row r="128" spans="2:18">
      <c r="B128" s="12"/>
      <c r="C128" s="13"/>
      <c r="D128" s="13"/>
      <c r="E128" s="22"/>
      <c r="F128" s="13"/>
      <c r="G128" s="13"/>
      <c r="H128" s="13"/>
      <c r="I128" s="30" t="str">
        <f t="shared" si="4"/>
        <v/>
      </c>
      <c r="J128" s="30" t="str">
        <f t="shared" si="5"/>
        <v/>
      </c>
      <c r="K128" s="34"/>
      <c r="L128" s="37" t="str">
        <f t="shared" si="6"/>
        <v/>
      </c>
      <c r="M128" s="60" t="str">
        <f t="shared" si="7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4"/>
        <v/>
      </c>
      <c r="J129" s="30" t="str">
        <f t="shared" si="5"/>
        <v/>
      </c>
      <c r="K129" s="34"/>
      <c r="L129" s="37" t="str">
        <f t="shared" si="6"/>
        <v/>
      </c>
      <c r="M129" s="60" t="str">
        <f t="shared" si="7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4"/>
        <v/>
      </c>
      <c r="J130" s="30" t="str">
        <f t="shared" si="5"/>
        <v/>
      </c>
      <c r="K130" s="34"/>
      <c r="L130" s="37" t="str">
        <f t="shared" si="6"/>
        <v/>
      </c>
      <c r="M130" s="60" t="str">
        <f t="shared" si="7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4"/>
        <v/>
      </c>
      <c r="J131" s="30" t="str">
        <f t="shared" si="5"/>
        <v/>
      </c>
      <c r="K131" s="34"/>
      <c r="L131" s="37" t="str">
        <f t="shared" si="6"/>
        <v/>
      </c>
      <c r="M131" s="60" t="str">
        <f t="shared" si="7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4"/>
        <v/>
      </c>
      <c r="J132" s="30" t="str">
        <f t="shared" si="5"/>
        <v/>
      </c>
      <c r="K132" s="34"/>
      <c r="L132" s="37" t="str">
        <f t="shared" si="6"/>
        <v/>
      </c>
      <c r="M132" s="60" t="str">
        <f t="shared" si="7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4"/>
        <v/>
      </c>
      <c r="J133" s="30" t="str">
        <f t="shared" si="5"/>
        <v/>
      </c>
      <c r="K133" s="34"/>
      <c r="L133" s="37" t="str">
        <f t="shared" si="6"/>
        <v/>
      </c>
      <c r="M133" s="60" t="str">
        <f t="shared" si="7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topLeftCell="A8" zoomScale="85" zoomScaleNormal="85" workbookViewId="0">
      <selection activeCell="D4" sqref="D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12" style="25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325</v>
      </c>
      <c r="B3" s="25" t="s">
        <v>319</v>
      </c>
      <c r="C3" s="22" t="s">
        <v>324</v>
      </c>
      <c r="D3" s="20" t="s">
        <v>320</v>
      </c>
      <c r="K3" s="19"/>
      <c r="L3" s="19"/>
      <c r="M3" s="19"/>
    </row>
    <row r="4" spans="1:13">
      <c r="A4" s="19" t="s">
        <v>7</v>
      </c>
      <c r="C4" s="22" t="s">
        <v>428</v>
      </c>
      <c r="D4" s="25" t="s">
        <v>418</v>
      </c>
      <c r="K4" s="19"/>
      <c r="L4" s="19"/>
      <c r="M4" s="19"/>
    </row>
    <row r="5" spans="1:13">
      <c r="A5" s="19" t="s">
        <v>8</v>
      </c>
      <c r="B5" s="26"/>
      <c r="C5" s="27" t="s">
        <v>427</v>
      </c>
      <c r="D5" s="26" t="s">
        <v>430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445</v>
      </c>
      <c r="D6" s="25" t="s">
        <v>445</v>
      </c>
      <c r="L6" s="103"/>
      <c r="M6" s="13"/>
    </row>
    <row r="7" spans="1:13">
      <c r="A7" s="19" t="s">
        <v>316</v>
      </c>
      <c r="C7" s="22" t="s">
        <v>426</v>
      </c>
      <c r="D7" s="25" t="s">
        <v>429</v>
      </c>
      <c r="L7" s="103"/>
      <c r="M7" s="13"/>
    </row>
    <row r="8" spans="1:13">
      <c r="A8" s="19" t="s">
        <v>326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327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328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329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330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331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332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333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334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335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336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337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338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339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340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341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342</v>
      </c>
      <c r="B24" s="25">
        <v>41275</v>
      </c>
      <c r="C24" s="22">
        <v>227.6</v>
      </c>
      <c r="D24" s="13">
        <v>0</v>
      </c>
      <c r="L24" s="103"/>
      <c r="M24" s="13"/>
    </row>
    <row r="25" spans="1:13">
      <c r="A25" s="19" t="s">
        <v>343</v>
      </c>
      <c r="B25" s="25">
        <v>41365</v>
      </c>
      <c r="C25" s="22">
        <v>228.7</v>
      </c>
      <c r="D25" s="13">
        <v>0</v>
      </c>
      <c r="L25" s="103"/>
      <c r="M25" s="13"/>
    </row>
    <row r="26" spans="1:13">
      <c r="A26" s="19" t="s">
        <v>344</v>
      </c>
      <c r="B26" s="25">
        <v>41456</v>
      </c>
      <c r="C26" s="22">
        <v>228.1</v>
      </c>
      <c r="D26" s="13">
        <v>0</v>
      </c>
      <c r="L26" s="103"/>
      <c r="M26" s="13"/>
    </row>
    <row r="27" spans="1:13">
      <c r="A27" s="19" t="s">
        <v>345</v>
      </c>
      <c r="B27" s="25">
        <v>41548</v>
      </c>
      <c r="C27" s="22">
        <v>224.7</v>
      </c>
      <c r="D27" s="13">
        <v>0</v>
      </c>
      <c r="L27" s="103"/>
      <c r="M27" s="13"/>
    </row>
    <row r="28" spans="1:13">
      <c r="A28" s="19" t="s">
        <v>346</v>
      </c>
      <c r="B28" s="25">
        <v>41640</v>
      </c>
      <c r="C28" s="22">
        <v>221.4</v>
      </c>
      <c r="D28" s="13">
        <v>0</v>
      </c>
      <c r="L28" s="103"/>
      <c r="M28" s="13"/>
    </row>
    <row r="29" spans="1:13">
      <c r="A29" s="19" t="s">
        <v>347</v>
      </c>
      <c r="B29" s="25">
        <v>41730</v>
      </c>
      <c r="C29" s="22">
        <v>228.1</v>
      </c>
      <c r="D29" s="13">
        <v>0</v>
      </c>
      <c r="L29" s="103"/>
      <c r="M29" s="13"/>
    </row>
    <row r="30" spans="1:13">
      <c r="A30" s="19" t="s">
        <v>348</v>
      </c>
      <c r="B30" s="25">
        <v>41821</v>
      </c>
      <c r="C30" s="22">
        <v>228.2</v>
      </c>
      <c r="D30" s="13">
        <v>0</v>
      </c>
      <c r="L30" s="103"/>
      <c r="M30" s="13"/>
    </row>
    <row r="31" spans="1:13">
      <c r="A31" s="19" t="s">
        <v>355</v>
      </c>
      <c r="B31" s="25">
        <v>41913</v>
      </c>
      <c r="C31" s="22">
        <v>230.5</v>
      </c>
      <c r="D31" s="13">
        <v>0</v>
      </c>
    </row>
    <row r="32" spans="1:13">
      <c r="A32" s="19" t="s">
        <v>359</v>
      </c>
      <c r="B32" s="25">
        <v>42005</v>
      </c>
      <c r="C32" s="22">
        <v>225.2</v>
      </c>
      <c r="D32" s="13">
        <v>0</v>
      </c>
    </row>
    <row r="33" spans="1:4">
      <c r="A33" s="19" t="s">
        <v>367</v>
      </c>
      <c r="B33" s="25">
        <v>42095</v>
      </c>
      <c r="C33" s="22">
        <v>241.4</v>
      </c>
      <c r="D33" s="13">
        <v>0</v>
      </c>
    </row>
    <row r="34" spans="1:4">
      <c r="A34" s="19" t="s">
        <v>372</v>
      </c>
      <c r="B34" s="25">
        <v>42186</v>
      </c>
      <c r="C34" s="22">
        <v>246.9</v>
      </c>
      <c r="D34" s="13">
        <v>0</v>
      </c>
    </row>
    <row r="35" spans="1:4">
      <c r="A35" s="19" t="s">
        <v>376</v>
      </c>
      <c r="B35" s="25">
        <v>42278</v>
      </c>
      <c r="C35" s="22">
        <v>240.5</v>
      </c>
      <c r="D35" s="13">
        <v>0</v>
      </c>
    </row>
    <row r="36" spans="1:4">
      <c r="A36" s="19" t="s">
        <v>444</v>
      </c>
      <c r="B36" s="25">
        <v>42370</v>
      </c>
      <c r="C36" s="22">
        <v>250.1</v>
      </c>
      <c r="D36" s="13">
        <v>0</v>
      </c>
    </row>
    <row r="37" spans="1:4">
      <c r="D37" s="104"/>
    </row>
    <row r="38" spans="1:4">
      <c r="D38" s="104"/>
    </row>
    <row r="39" spans="1:4">
      <c r="D39" s="104"/>
    </row>
    <row r="40" spans="1:4">
      <c r="D40" s="104"/>
    </row>
    <row r="41" spans="1:4">
      <c r="D41" s="104"/>
    </row>
    <row r="42" spans="1:4">
      <c r="D42" s="104"/>
    </row>
    <row r="43" spans="1:4">
      <c r="D43" s="104"/>
    </row>
    <row r="44" spans="1:4">
      <c r="D44" s="104"/>
    </row>
    <row r="45" spans="1:4">
      <c r="D45" s="104"/>
    </row>
    <row r="46" spans="1:4">
      <c r="B46" s="39"/>
      <c r="C46" s="31"/>
      <c r="D46" s="104"/>
    </row>
    <row r="47" spans="1:4">
      <c r="B47" s="39"/>
      <c r="C47" s="31"/>
      <c r="D47" s="104"/>
    </row>
    <row r="48" spans="1:4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A24" zoomScale="70" zoomScaleNormal="70" workbookViewId="0">
      <selection activeCell="O13" sqref="O13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382</v>
      </c>
      <c r="D3" t="s">
        <v>383</v>
      </c>
      <c r="E3" t="s">
        <v>384</v>
      </c>
      <c r="F3" t="s">
        <v>385</v>
      </c>
      <c r="J3" s="19"/>
    </row>
    <row r="4" spans="1:16">
      <c r="A4" s="10" t="s">
        <v>10</v>
      </c>
      <c r="C4" t="s">
        <v>381</v>
      </c>
      <c r="D4" t="s">
        <v>381</v>
      </c>
      <c r="E4" t="s">
        <v>381</v>
      </c>
      <c r="F4" t="s">
        <v>381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431</v>
      </c>
      <c r="D5" t="s">
        <v>431</v>
      </c>
      <c r="E5" t="s">
        <v>431</v>
      </c>
      <c r="F5" t="s">
        <v>431</v>
      </c>
      <c r="H5" s="55" t="s">
        <v>120</v>
      </c>
      <c r="J5" s="18"/>
    </row>
    <row r="6" spans="1:16">
      <c r="A6" s="10" t="s">
        <v>8</v>
      </c>
      <c r="B6" s="12"/>
      <c r="C6" s="13" t="s">
        <v>380</v>
      </c>
      <c r="D6" s="13" t="s">
        <v>380</v>
      </c>
      <c r="E6" s="13" t="s">
        <v>380</v>
      </c>
      <c r="F6" t="s">
        <v>380</v>
      </c>
    </row>
    <row r="7" spans="1:16">
      <c r="A7" s="10" t="s">
        <v>9</v>
      </c>
      <c r="B7" s="12"/>
      <c r="C7" s="13" t="s">
        <v>377</v>
      </c>
      <c r="D7" s="13" t="s">
        <v>377</v>
      </c>
      <c r="E7" s="13" t="s">
        <v>377</v>
      </c>
      <c r="F7" t="s">
        <v>377</v>
      </c>
      <c r="J7" t="s">
        <v>361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320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94214</v>
      </c>
      <c r="D56" s="13">
        <v>106922</v>
      </c>
      <c r="E56" s="13">
        <v>19912</v>
      </c>
      <c r="F56" s="13">
        <v>96079</v>
      </c>
      <c r="G56" s="40">
        <f t="shared" si="0"/>
        <v>317.12700000000001</v>
      </c>
      <c r="H56" s="19">
        <f t="shared" si="2"/>
        <v>6.1933846275878945E-3</v>
      </c>
      <c r="I56" s="28">
        <f t="shared" si="3"/>
        <v>3.1631538354072786E-2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351</v>
      </c>
      <c r="B57" s="12">
        <v>41912</v>
      </c>
      <c r="C57" s="13">
        <v>99454</v>
      </c>
      <c r="D57" s="13">
        <v>77506</v>
      </c>
      <c r="E57" s="13">
        <v>11454</v>
      </c>
      <c r="F57" s="13">
        <v>84097</v>
      </c>
      <c r="G57" s="40">
        <f t="shared" si="0"/>
        <v>272.51100000000002</v>
      </c>
      <c r="H57" s="19">
        <f t="shared" si="2"/>
        <v>2.6024194368201803E-2</v>
      </c>
      <c r="I57" s="28">
        <f t="shared" si="3"/>
        <v>2.0132977572384581E-2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352</v>
      </c>
      <c r="B58" s="12">
        <v>42004</v>
      </c>
      <c r="C58" s="13">
        <v>188608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373.49900000000002</v>
      </c>
      <c r="H58" s="19">
        <f>IFERROR(G58/G54-1, "")</f>
        <v>5.5591825429798014E-2</v>
      </c>
      <c r="I58" s="28">
        <f>IFERROR(IF(H55&lt;&gt;-1, IF(H56&lt;&gt;-1, IF(H57&lt;&gt;-1, IF(H58&lt;&gt;-1, AVERAGE(H55:H58), ""), ""), ""), ""), "")</f>
        <v>2.7448666096725083E-2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357</v>
      </c>
      <c r="B59" s="12">
        <v>42094</v>
      </c>
      <c r="C59" s="13">
        <v>119955</v>
      </c>
      <c r="D59" s="13">
        <v>86643</v>
      </c>
      <c r="E59" s="13">
        <v>13898</v>
      </c>
      <c r="F59" s="13">
        <v>87811</v>
      </c>
      <c r="G59" s="40">
        <f t="shared" si="4"/>
        <v>308.30700000000002</v>
      </c>
      <c r="H59" s="19">
        <f t="shared" ref="H59:H122" si="5">IFERROR(G59/G55-1, "")</f>
        <v>4.5789123768690265E-2</v>
      </c>
      <c r="I59" s="28">
        <f t="shared" ref="I59:I122" si="6">IFERROR(IF(H56&lt;&gt;-1, IF(H57&lt;&gt;-1, IF(H58&lt;&gt;-1, IF(H59&lt;&gt;-1, AVERAGE(H56:H59), ""), ""), ""), ""), "")</f>
        <v>3.3399632048569494E-2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368</v>
      </c>
      <c r="B60" s="12">
        <v>42185</v>
      </c>
      <c r="C60" s="13">
        <v>96262</v>
      </c>
      <c r="D60" s="13">
        <v>122594</v>
      </c>
      <c r="E60" s="13">
        <v>21542</v>
      </c>
      <c r="F60" s="13">
        <v>100501</v>
      </c>
      <c r="G60" s="40">
        <f t="shared" si="4"/>
        <v>340.899</v>
      </c>
      <c r="H60" s="19">
        <f t="shared" si="5"/>
        <v>7.4960504781995896E-2</v>
      </c>
      <c r="I60" s="28">
        <f t="shared" si="6"/>
        <v>5.0591412087171495E-2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373</v>
      </c>
      <c r="B61" s="12">
        <v>42277</v>
      </c>
      <c r="C61" s="13">
        <v>103746</v>
      </c>
      <c r="D61" s="13">
        <v>83875</v>
      </c>
      <c r="E61" s="13">
        <v>11539</v>
      </c>
      <c r="F61" s="13">
        <v>89496</v>
      </c>
      <c r="G61" s="40">
        <f t="shared" si="4"/>
        <v>288.65600000000001</v>
      </c>
      <c r="H61" s="19">
        <f t="shared" si="5"/>
        <v>5.9245314868023646E-2</v>
      </c>
      <c r="I61" s="28">
        <f t="shared" si="6"/>
        <v>5.8896692212126955E-2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377</v>
      </c>
      <c r="B62" s="12">
        <v>42369</v>
      </c>
      <c r="C62" s="13">
        <v>198629</v>
      </c>
      <c r="D62" s="13">
        <v>88777</v>
      </c>
      <c r="E62" s="13">
        <v>10843</v>
      </c>
      <c r="F62" s="13">
        <v>90908</v>
      </c>
      <c r="G62" s="40">
        <f t="shared" si="4"/>
        <v>389.15699999999998</v>
      </c>
      <c r="H62" s="19">
        <f t="shared" si="5"/>
        <v>4.1922468333248419E-2</v>
      </c>
      <c r="I62" s="28">
        <f t="shared" si="6"/>
        <v>5.5479352937989557E-2</v>
      </c>
      <c r="J62" s="13">
        <f t="shared" si="1"/>
        <v>0</v>
      </c>
      <c r="N62" t="s">
        <v>351</v>
      </c>
      <c r="O62" s="12">
        <v>41912</v>
      </c>
      <c r="P62" s="13">
        <v>0</v>
      </c>
    </row>
    <row r="63" spans="1:16">
      <c r="G63" s="40">
        <f t="shared" si="4"/>
        <v>0</v>
      </c>
      <c r="H63" s="19">
        <f t="shared" si="5"/>
        <v>-1</v>
      </c>
      <c r="I63" s="28" t="str">
        <f t="shared" si="6"/>
        <v/>
      </c>
      <c r="J63" s="13" t="e">
        <f t="shared" si="1"/>
        <v>#N/A</v>
      </c>
      <c r="N63" t="s">
        <v>352</v>
      </c>
      <c r="O63" s="12">
        <v>42004</v>
      </c>
      <c r="P63" s="13">
        <v>0</v>
      </c>
    </row>
    <row r="64" spans="1:16">
      <c r="G64" s="40">
        <f t="shared" si="4"/>
        <v>0</v>
      </c>
      <c r="H64" s="19">
        <f t="shared" si="5"/>
        <v>-1</v>
      </c>
      <c r="I64" s="28" t="str">
        <f t="shared" si="6"/>
        <v/>
      </c>
      <c r="J64" s="13" t="e">
        <f t="shared" si="1"/>
        <v>#N/A</v>
      </c>
      <c r="N64" t="s">
        <v>357</v>
      </c>
      <c r="O64" s="12">
        <v>42094</v>
      </c>
      <c r="P64" s="13">
        <v>0</v>
      </c>
    </row>
    <row r="65" spans="7:16">
      <c r="G65" s="40">
        <f t="shared" si="4"/>
        <v>0</v>
      </c>
      <c r="H65" s="19">
        <f t="shared" si="5"/>
        <v>-1</v>
      </c>
      <c r="I65" s="28" t="str">
        <f t="shared" si="6"/>
        <v/>
      </c>
      <c r="J65" s="13" t="e">
        <f t="shared" si="1"/>
        <v>#N/A</v>
      </c>
      <c r="N65" t="s">
        <v>368</v>
      </c>
      <c r="O65" s="12">
        <v>42185</v>
      </c>
      <c r="P65" s="13">
        <v>0</v>
      </c>
    </row>
    <row r="66" spans="7:16">
      <c r="G66" s="40">
        <f t="shared" si="4"/>
        <v>0</v>
      </c>
      <c r="H66" s="19">
        <f t="shared" si="5"/>
        <v>-1</v>
      </c>
      <c r="I66" s="28" t="str">
        <f t="shared" si="6"/>
        <v/>
      </c>
      <c r="J66" s="13" t="e">
        <f t="shared" si="1"/>
        <v>#N/A</v>
      </c>
      <c r="N66" t="s">
        <v>373</v>
      </c>
      <c r="O66" s="12">
        <v>42277</v>
      </c>
      <c r="P66" s="13">
        <v>0</v>
      </c>
    </row>
    <row r="67" spans="7:16">
      <c r="G67" s="40">
        <f t="shared" si="4"/>
        <v>0</v>
      </c>
      <c r="H67" s="19" t="str">
        <f t="shared" si="5"/>
        <v/>
      </c>
      <c r="I67" s="28" t="str">
        <f t="shared" si="6"/>
        <v/>
      </c>
      <c r="J67" s="13" t="e">
        <f t="shared" si="1"/>
        <v>#N/A</v>
      </c>
      <c r="N67" t="s">
        <v>377</v>
      </c>
      <c r="O67" s="12">
        <v>42369</v>
      </c>
      <c r="P67" s="13">
        <v>0</v>
      </c>
    </row>
    <row r="68" spans="7:16">
      <c r="G68" s="40">
        <f t="shared" si="4"/>
        <v>0</v>
      </c>
      <c r="H68" s="19" t="str">
        <f t="shared" si="5"/>
        <v/>
      </c>
      <c r="I68" s="28" t="str">
        <f t="shared" si="6"/>
        <v/>
      </c>
      <c r="J68" s="13" t="e">
        <f t="shared" si="1"/>
        <v>#N/A</v>
      </c>
      <c r="N68" t="s">
        <v>445</v>
      </c>
      <c r="O68" s="12">
        <v>42460</v>
      </c>
      <c r="P68" s="13">
        <v>0</v>
      </c>
    </row>
    <row r="69" spans="7:16">
      <c r="G69" s="40">
        <f t="shared" si="4"/>
        <v>0</v>
      </c>
      <c r="H69" s="19" t="str">
        <f t="shared" si="5"/>
        <v/>
      </c>
      <c r="I69" s="28" t="str">
        <f t="shared" si="6"/>
        <v/>
      </c>
      <c r="J69" s="13" t="e">
        <f t="shared" si="1"/>
        <v>#N/A</v>
      </c>
    </row>
    <row r="70" spans="7:16">
      <c r="G70" s="40">
        <f t="shared" si="4"/>
        <v>0</v>
      </c>
      <c r="H70" s="19" t="str">
        <f t="shared" si="5"/>
        <v/>
      </c>
      <c r="I70" s="28" t="str">
        <f t="shared" si="6"/>
        <v/>
      </c>
      <c r="J70" s="13" t="e">
        <f t="shared" si="1"/>
        <v>#N/A</v>
      </c>
    </row>
    <row r="71" spans="7:16">
      <c r="G71" s="40">
        <f t="shared" si="4"/>
        <v>0</v>
      </c>
      <c r="H71" s="19" t="str">
        <f t="shared" si="5"/>
        <v/>
      </c>
      <c r="I71" s="28" t="str">
        <f t="shared" si="6"/>
        <v/>
      </c>
      <c r="J71" s="13" t="e">
        <f t="shared" si="1"/>
        <v>#N/A</v>
      </c>
    </row>
    <row r="72" spans="7:16">
      <c r="G72" s="40">
        <f t="shared" si="4"/>
        <v>0</v>
      </c>
      <c r="H72" s="19" t="str">
        <f t="shared" si="5"/>
        <v/>
      </c>
      <c r="I72" s="28" t="str">
        <f t="shared" si="6"/>
        <v/>
      </c>
      <c r="J72" s="13" t="e">
        <f t="shared" si="1"/>
        <v>#N/A</v>
      </c>
    </row>
    <row r="73" spans="7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</row>
    <row r="74" spans="7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7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7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7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7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7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7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34" zoomScale="85" zoomScaleNormal="85" workbookViewId="0">
      <selection activeCell="I5" sqref="I5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2016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379</v>
      </c>
      <c r="B4" s="21" t="s">
        <v>319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322</v>
      </c>
    </row>
    <row r="5" spans="1:16">
      <c r="A5" s="15" t="s">
        <v>7</v>
      </c>
      <c r="E5" s="19" t="s">
        <v>419</v>
      </c>
      <c r="F5" s="19" t="s">
        <v>420</v>
      </c>
      <c r="G5" t="s">
        <v>421</v>
      </c>
      <c r="H5" t="s">
        <v>422</v>
      </c>
      <c r="I5" t="s">
        <v>418</v>
      </c>
    </row>
    <row r="6" spans="1:16">
      <c r="A6" s="15" t="s">
        <v>10</v>
      </c>
      <c r="E6" s="19" t="s">
        <v>401</v>
      </c>
      <c r="F6" s="19" t="s">
        <v>401</v>
      </c>
      <c r="G6" t="s">
        <v>401</v>
      </c>
      <c r="H6" t="s">
        <v>401</v>
      </c>
      <c r="I6" t="s">
        <v>392</v>
      </c>
    </row>
    <row r="7" spans="1:16">
      <c r="A7" s="15" t="s">
        <v>11</v>
      </c>
      <c r="E7" s="19" t="s">
        <v>436</v>
      </c>
      <c r="F7" s="19" t="s">
        <v>436</v>
      </c>
      <c r="G7" t="s">
        <v>434</v>
      </c>
      <c r="H7" t="s">
        <v>434</v>
      </c>
      <c r="I7" t="s">
        <v>441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 t="e">
        <v>#N/A</v>
      </c>
      <c r="F8" s="31" t="e">
        <v>#N/A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 t="e">
        <v>#N/A</v>
      </c>
      <c r="F9" s="31" t="e">
        <v>#N/A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 t="e">
        <v>#N/A</v>
      </c>
      <c r="F10" s="31" t="e">
        <v>#N/A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 t="e">
        <v>#N/A</v>
      </c>
      <c r="F11" s="31" t="e">
        <v>#N/A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 t="e">
        <v>#N/A</v>
      </c>
      <c r="F12" s="31" t="e">
        <v>#N/A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 t="e">
        <v>#N/A</v>
      </c>
      <c r="F13" s="31" t="e">
        <v>#N/A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 t="e">
        <v>#N/A</v>
      </c>
      <c r="F14" s="31" t="e">
        <v>#N/A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 t="e">
        <v>#N/A</v>
      </c>
      <c r="F15" s="31" t="e">
        <v>#N/A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 t="e">
        <v>#N/A</v>
      </c>
      <c r="F16" s="31" t="e">
        <v>#N/A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 t="e">
        <v>#N/A</v>
      </c>
      <c r="F17" s="31" t="e">
        <v>#N/A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 t="e">
        <v>#N/A</v>
      </c>
      <c r="F18" s="31" t="e">
        <v>#N/A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 t="e">
        <v>#N/A</v>
      </c>
      <c r="F19" s="31" t="e">
        <v>#N/A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 t="e">
        <v>#N/A</v>
      </c>
      <c r="F20" s="31" t="e">
        <v>#N/A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 t="e">
        <v>#N/A</v>
      </c>
      <c r="F21" s="31" t="e">
        <v>#N/A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 t="e">
        <v>#N/A</v>
      </c>
      <c r="F22" s="31" t="e">
        <v>#N/A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 t="e">
        <v>#N/A</v>
      </c>
      <c r="F23" s="31" t="e">
        <v>#N/A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 t="e">
        <v>#N/A</v>
      </c>
      <c r="F24" s="31" t="e">
        <v>#N/A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 t="e">
        <v>#N/A</v>
      </c>
      <c r="F25" s="31" t="e">
        <v>#N/A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 t="e">
        <v>#N/A</v>
      </c>
      <c r="F26" s="31" t="e">
        <v>#N/A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 t="e">
        <v>#N/A</v>
      </c>
      <c r="F27" s="31" t="e">
        <v>#N/A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 t="e">
        <v>#N/A</v>
      </c>
      <c r="F28" s="31" t="e">
        <v>#N/A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 t="e">
        <v>#N/A</v>
      </c>
      <c r="F29" s="31" t="e">
        <v>#N/A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 t="e">
        <v>#N/A</v>
      </c>
      <c r="F30" s="31" t="e">
        <v>#N/A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 t="e">
        <v>#N/A</v>
      </c>
      <c r="F31" s="31" t="e">
        <v>#N/A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 t="e">
        <v>#N/A</v>
      </c>
      <c r="F32" s="31" t="e">
        <v>#N/A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 t="e">
        <v>#N/A</v>
      </c>
      <c r="F33" s="31" t="e">
        <v>#N/A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 t="e">
        <v>#N/A</v>
      </c>
      <c r="F34" s="31" t="e">
        <v>#N/A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 t="e">
        <v>#N/A</v>
      </c>
      <c r="F35" s="31" t="e">
        <v>#N/A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 t="e">
        <v>#N/A</v>
      </c>
      <c r="F36" s="31" t="e">
        <v>#N/A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 t="e">
        <v>#N/A</v>
      </c>
      <c r="F37" s="31" t="e">
        <v>#N/A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 t="e">
        <v>#N/A</v>
      </c>
      <c r="F38" s="31" t="e">
        <v>#N/A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 t="e">
        <v>#N/A</v>
      </c>
      <c r="F39" s="31" t="e">
        <v>#N/A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 t="e">
        <v>#N/A</v>
      </c>
      <c r="F40" s="31" t="e">
        <v>#N/A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 t="e">
        <v>#N/A</v>
      </c>
      <c r="F41" s="31" t="e">
        <v>#N/A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 t="e">
        <v>#N/A</v>
      </c>
      <c r="F42" s="31" t="e">
        <v>#N/A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15.2</v>
      </c>
      <c r="F43" s="31">
        <v>22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16.7</v>
      </c>
      <c r="F44" s="31">
        <v>20.8</v>
      </c>
      <c r="G44" s="43">
        <v>16.821000000000002</v>
      </c>
      <c r="H44" s="43">
        <v>20.94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17.5</v>
      </c>
      <c r="F45" s="31">
        <v>20.3</v>
      </c>
      <c r="G45" s="43">
        <v>17.584</v>
      </c>
      <c r="H45" s="43">
        <v>20.404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>
        <f t="shared" ca="1" si="0"/>
        <v>18.2</v>
      </c>
      <c r="D46" s="112">
        <f t="shared" ca="1" si="1"/>
        <v>20.7</v>
      </c>
      <c r="E46" s="31">
        <v>18.2</v>
      </c>
      <c r="F46" s="31">
        <v>20.7</v>
      </c>
      <c r="G46" s="43">
        <v>18.248000000000001</v>
      </c>
      <c r="H46" s="43">
        <v>20.709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18.2</v>
      </c>
      <c r="D47" s="112">
        <f t="shared" ca="1" si="1"/>
        <v>21.1</v>
      </c>
      <c r="E47" s="31">
        <v>18.2</v>
      </c>
      <c r="F47" s="31">
        <v>21.1</v>
      </c>
      <c r="G47" s="43" t="e">
        <v>#N/A</v>
      </c>
      <c r="H47" s="43" t="e">
        <v>#N/A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18.2</v>
      </c>
      <c r="D48" s="112">
        <f t="shared" ca="1" si="1"/>
        <v>21</v>
      </c>
      <c r="E48" s="31">
        <v>18.2</v>
      </c>
      <c r="F48" s="31">
        <v>21</v>
      </c>
      <c r="G48" s="43" t="e">
        <v>#N/A</v>
      </c>
      <c r="H48" s="43" t="e">
        <v>#N/A</v>
      </c>
      <c r="I48" s="13" t="e">
        <v>#N/A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18.100000000000001</v>
      </c>
      <c r="D49" s="112">
        <f t="shared" ca="1" si="1"/>
        <v>20.8</v>
      </c>
      <c r="E49" s="31">
        <v>18.100000000000001</v>
      </c>
      <c r="F49" s="31">
        <v>20.8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18</v>
      </c>
      <c r="D50" s="112">
        <f t="shared" ca="1" si="1"/>
        <v>21.4</v>
      </c>
      <c r="E50" s="31">
        <v>18</v>
      </c>
      <c r="F50" s="31">
        <v>21.4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18.100000000000001</v>
      </c>
      <c r="D51" s="112">
        <f t="shared" ca="1" si="1"/>
        <v>21.8</v>
      </c>
      <c r="E51" s="31">
        <v>18.100000000000001</v>
      </c>
      <c r="F51" s="31">
        <v>21.8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18.100000000000001</v>
      </c>
      <c r="D52" s="112">
        <f t="shared" ca="1" si="1"/>
        <v>22</v>
      </c>
      <c r="E52" s="31">
        <v>18.100000000000001</v>
      </c>
      <c r="F52" s="31">
        <v>22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18.100000000000001</v>
      </c>
      <c r="D53" s="112">
        <f t="shared" ca="1" si="1"/>
        <v>22.5</v>
      </c>
      <c r="E53" s="31">
        <v>18.100000000000001</v>
      </c>
      <c r="F53" s="31">
        <v>22.5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18.100000000000001</v>
      </c>
      <c r="D54" s="112">
        <f t="shared" ca="1" si="1"/>
        <v>22.5</v>
      </c>
      <c r="E54" s="31">
        <v>18.100000000000001</v>
      </c>
      <c r="F54" s="31">
        <v>22.5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18.100000000000001</v>
      </c>
      <c r="D55" s="112">
        <f t="shared" ca="1" si="1"/>
        <v>22.4</v>
      </c>
      <c r="E55" s="31">
        <v>18.100000000000001</v>
      </c>
      <c r="F55" s="31">
        <v>22.4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18.2</v>
      </c>
      <c r="D56" s="112">
        <f t="shared" ca="1" si="1"/>
        <v>22.8</v>
      </c>
      <c r="E56" s="31">
        <v>18.2</v>
      </c>
      <c r="F56" s="31">
        <v>22.8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18.2</v>
      </c>
      <c r="D57" s="112">
        <f t="shared" ca="1" si="1"/>
        <v>23.1</v>
      </c>
      <c r="E57" s="31">
        <v>18.2</v>
      </c>
      <c r="F57" s="31">
        <v>23.1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0" zoomScale="70" zoomScaleNormal="70" workbookViewId="0">
      <selection activeCell="D52" sqref="D52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2016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379</v>
      </c>
      <c r="B3" s="21" t="s">
        <v>319</v>
      </c>
      <c r="C3" s="44" t="s">
        <v>305</v>
      </c>
      <c r="D3" s="20" t="s">
        <v>307</v>
      </c>
      <c r="E3" s="20"/>
      <c r="F3" s="16"/>
      <c r="G3" s="106" t="s">
        <v>322</v>
      </c>
      <c r="I3" s="16"/>
      <c r="J3" s="16"/>
    </row>
    <row r="4" spans="1:10">
      <c r="A4" s="15" t="s">
        <v>7</v>
      </c>
      <c r="C4" s="18" t="s">
        <v>423</v>
      </c>
      <c r="D4" s="18" t="s">
        <v>424</v>
      </c>
      <c r="G4" t="s">
        <v>418</v>
      </c>
    </row>
    <row r="5" spans="1:10">
      <c r="A5" s="15" t="s">
        <v>10</v>
      </c>
      <c r="C5" s="18" t="s">
        <v>401</v>
      </c>
      <c r="D5" s="18" t="s">
        <v>401</v>
      </c>
      <c r="G5" t="s">
        <v>392</v>
      </c>
    </row>
    <row r="6" spans="1:10">
      <c r="A6" s="15" t="s">
        <v>11</v>
      </c>
      <c r="C6" s="18" t="s">
        <v>434</v>
      </c>
      <c r="D6" s="18" t="s">
        <v>436</v>
      </c>
      <c r="E6" s="19" t="s">
        <v>109</v>
      </c>
      <c r="F6" t="s">
        <v>110</v>
      </c>
      <c r="G6" t="s">
        <v>441</v>
      </c>
    </row>
    <row r="7" spans="1:10">
      <c r="A7" s="15" t="s">
        <v>15</v>
      </c>
      <c r="B7" s="42">
        <v>28126</v>
      </c>
      <c r="C7" s="96">
        <v>-2.645</v>
      </c>
      <c r="D7" s="34" t="e">
        <v>#N/A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 t="e">
        <v>#N/A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 t="e">
        <v>#N/A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 t="e">
        <v>#N/A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 t="e">
        <v>#N/A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 t="e">
        <v>#N/A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 t="e">
        <v>#N/A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 t="e">
        <v>#N/A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 t="e">
        <v>#N/A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 t="e">
        <v>#N/A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 t="e">
        <v>#N/A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 t="e">
        <v>#N/A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 t="e">
        <v>#N/A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 t="e">
        <v>#N/A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 t="e">
        <v>#N/A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 t="e">
        <v>#N/A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 t="e">
        <v>#N/A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 t="e">
        <v>#N/A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 t="e">
        <v>#N/A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 t="e">
        <v>#N/A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 t="e">
        <v>#N/A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 t="e">
        <v>#N/A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 t="e">
        <v>#N/A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 t="e">
        <v>#N/A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 t="e">
        <v>#N/A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 t="e">
        <v>#N/A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 t="e">
        <v>#N/A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 t="e">
        <v>#N/A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 t="e">
        <v>#N/A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 t="e">
        <v>#N/A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 t="e">
        <v>#N/A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 t="e">
        <v>#N/A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 t="e">
        <v>#N/A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 t="e">
        <v>#N/A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 t="e">
        <v>#N/A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-4.1189999999999998</v>
      </c>
      <c r="D43" s="34">
        <v>-4.0999999999999996</v>
      </c>
      <c r="E43" s="97">
        <f t="shared" si="0"/>
        <v>-4.1189999999999998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-2.82</v>
      </c>
      <c r="D44" s="34">
        <v>-2.8</v>
      </c>
      <c r="E44" s="97">
        <f>IF(YEAR(B44)&gt;2015, #N/A, C44)</f>
        <v>-2.82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-2.4620000000000002</v>
      </c>
      <c r="D45" s="34">
        <v>-2.5</v>
      </c>
      <c r="E45" s="97">
        <f t="shared" ref="E45:E56" si="3">IF(YEAR(B45)&gt;2015, #N/A, C45)</f>
        <v>-2.4620000000000002</v>
      </c>
      <c r="F45" s="97">
        <f t="shared" ca="1" si="1"/>
        <v>-2.5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 t="e">
        <v>#N/A</v>
      </c>
      <c r="D46" s="34">
        <v>-2.9</v>
      </c>
      <c r="E46" s="97" t="e">
        <f t="shared" si="3"/>
        <v>#N/A</v>
      </c>
      <c r="F46" s="97">
        <f t="shared" ca="1" si="1"/>
        <v>-2.9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-2.8</v>
      </c>
      <c r="E47" s="97" t="e">
        <f t="shared" si="3"/>
        <v>#N/A</v>
      </c>
      <c r="F47" s="97">
        <f t="shared" ca="1" si="1"/>
        <v>-2.8</v>
      </c>
      <c r="G47" s="13" t="e">
        <v>#N/A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-2.7</v>
      </c>
      <c r="E48" s="97" t="e">
        <f t="shared" si="3"/>
        <v>#N/A</v>
      </c>
      <c r="F48" s="97">
        <f t="shared" ca="1" si="1"/>
        <v>-2.7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-3.4</v>
      </c>
      <c r="E49" s="97" t="e">
        <f t="shared" si="3"/>
        <v>#N/A</v>
      </c>
      <c r="F49" s="97">
        <f t="shared" ca="1" si="1"/>
        <v>-3.4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-3.7</v>
      </c>
      <c r="E50" s="97" t="e">
        <f t="shared" si="3"/>
        <v>#N/A</v>
      </c>
      <c r="F50" s="97">
        <f t="shared" ca="1" si="1"/>
        <v>-3.7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-3.9</v>
      </c>
      <c r="E51" s="97" t="e">
        <f t="shared" si="3"/>
        <v>#N/A</v>
      </c>
      <c r="F51" s="97">
        <f t="shared" ca="1" si="1"/>
        <v>-3.9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-4.4000000000000004</v>
      </c>
      <c r="E52" s="97" t="e">
        <f t="shared" si="3"/>
        <v>#N/A</v>
      </c>
      <c r="F52" s="97">
        <f t="shared" ca="1" si="1"/>
        <v>-4.4000000000000004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-4.4000000000000004</v>
      </c>
      <c r="E53" s="97" t="e">
        <f t="shared" si="3"/>
        <v>#N/A</v>
      </c>
      <c r="F53" s="97">
        <f t="shared" ca="1" si="1"/>
        <v>-4.4000000000000004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-4.3</v>
      </c>
      <c r="E54" s="97" t="e">
        <f t="shared" si="3"/>
        <v>#N/A</v>
      </c>
      <c r="F54" s="97">
        <f t="shared" ca="1" si="1"/>
        <v>-4.3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-4.5999999999999996</v>
      </c>
      <c r="E55" s="97" t="e">
        <f t="shared" si="3"/>
        <v>#N/A</v>
      </c>
      <c r="F55" s="97">
        <f t="shared" ca="1" si="1"/>
        <v>-4.5999999999999996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-4.9000000000000004</v>
      </c>
      <c r="E56" s="97" t="e">
        <f t="shared" si="3"/>
        <v>#N/A</v>
      </c>
      <c r="F56" s="97">
        <f t="shared" ca="1" si="1"/>
        <v>-4.9000000000000004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5"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2016</v>
      </c>
    </row>
    <row r="2" spans="1:7">
      <c r="A2" s="21" t="s">
        <v>379</v>
      </c>
      <c r="B2" s="21" t="s">
        <v>319</v>
      </c>
      <c r="C2" s="20" t="s">
        <v>93</v>
      </c>
      <c r="F2" s="106" t="s">
        <v>322</v>
      </c>
    </row>
    <row r="3" spans="1:7" ht="60">
      <c r="A3" s="19" t="s">
        <v>7</v>
      </c>
      <c r="C3" s="108" t="s">
        <v>425</v>
      </c>
      <c r="F3" t="s">
        <v>418</v>
      </c>
    </row>
    <row r="4" spans="1:7">
      <c r="A4" s="19" t="s">
        <v>10</v>
      </c>
      <c r="C4" t="s">
        <v>401</v>
      </c>
      <c r="F4" t="s">
        <v>392</v>
      </c>
    </row>
    <row r="5" spans="1:7">
      <c r="A5" s="19" t="s">
        <v>11</v>
      </c>
      <c r="C5" t="s">
        <v>436</v>
      </c>
      <c r="D5" t="s">
        <v>111</v>
      </c>
      <c r="E5" t="s">
        <v>112</v>
      </c>
      <c r="F5" t="s">
        <v>441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74.400000000000006</v>
      </c>
      <c r="D43" s="28">
        <f t="shared" si="0"/>
        <v>74.400000000000006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73.599999999999994</v>
      </c>
      <c r="D44" s="28">
        <f>IF(YEAR(B44)&gt;2015, #N/A, C44)</f>
        <v>73.599999999999994</v>
      </c>
      <c r="E44" s="30">
        <f t="shared" ca="1" si="1"/>
        <v>73.599999999999994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75.400000000000006</v>
      </c>
      <c r="D45" s="28" t="e">
        <f t="shared" si="0"/>
        <v>#N/A</v>
      </c>
      <c r="E45" s="30">
        <f t="shared" ca="1" si="1"/>
        <v>75.400000000000006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75.5</v>
      </c>
      <c r="D46" s="28" t="e">
        <f t="shared" si="0"/>
        <v>#N/A</v>
      </c>
      <c r="E46" s="30">
        <f t="shared" ca="1" si="1"/>
        <v>75.5</v>
      </c>
      <c r="F46" s="13" t="e">
        <v>#N/A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75.400000000000006</v>
      </c>
      <c r="D47" s="28" t="e">
        <f t="shared" si="0"/>
        <v>#N/A</v>
      </c>
      <c r="E47" s="30">
        <f t="shared" ca="1" si="1"/>
        <v>75.400000000000006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76.2</v>
      </c>
      <c r="D48" s="28" t="e">
        <f t="shared" si="0"/>
        <v>#N/A</v>
      </c>
      <c r="E48" s="30">
        <f t="shared" ca="1" si="1"/>
        <v>76.2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77.2</v>
      </c>
      <c r="D49" s="28" t="e">
        <f t="shared" si="0"/>
        <v>#N/A</v>
      </c>
      <c r="E49" s="30">
        <f t="shared" ca="1" si="1"/>
        <v>77.2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78.3</v>
      </c>
      <c r="D50" s="28" t="e">
        <f t="shared" si="0"/>
        <v>#N/A</v>
      </c>
      <c r="E50" s="30">
        <f t="shared" ca="1" si="1"/>
        <v>78.3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79.8</v>
      </c>
      <c r="D51" s="28" t="e">
        <f t="shared" si="0"/>
        <v>#N/A</v>
      </c>
      <c r="E51" s="30">
        <f t="shared" ca="1" si="1"/>
        <v>79.8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81.2</v>
      </c>
      <c r="D52" s="28" t="e">
        <f t="shared" si="0"/>
        <v>#N/A</v>
      </c>
      <c r="E52" s="30">
        <f t="shared" ca="1" si="1"/>
        <v>81.2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82.4</v>
      </c>
      <c r="D53" s="28" t="e">
        <f t="shared" si="0"/>
        <v>#N/A</v>
      </c>
      <c r="E53" s="30">
        <f t="shared" ca="1" si="1"/>
        <v>82.4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83.9</v>
      </c>
      <c r="D54" s="28" t="e">
        <f t="shared" si="0"/>
        <v>#N/A</v>
      </c>
      <c r="E54" s="30">
        <f t="shared" ca="1" si="1"/>
        <v>83.9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85.6</v>
      </c>
      <c r="D55" s="28" t="e">
        <f t="shared" si="0"/>
        <v>#N/A</v>
      </c>
      <c r="E55" s="30">
        <f t="shared" ca="1" si="1"/>
        <v>85.6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topLeftCell="A22" workbookViewId="0">
      <selection activeCell="K51" sqref="K51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319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363</v>
      </c>
      <c r="H1" s="1" t="s">
        <v>5</v>
      </c>
      <c r="I1" s="1" t="s">
        <v>6</v>
      </c>
      <c r="J1" s="1" t="s">
        <v>364</v>
      </c>
      <c r="M1" s="106" t="s">
        <v>322</v>
      </c>
    </row>
    <row r="2" spans="1:14" s="3" customFormat="1" ht="202.5">
      <c r="A2" s="3" t="s">
        <v>7</v>
      </c>
      <c r="C2" s="4" t="s">
        <v>399</v>
      </c>
      <c r="D2" s="4" t="s">
        <v>403</v>
      </c>
      <c r="E2" s="4" t="s">
        <v>404</v>
      </c>
      <c r="F2" s="4" t="s">
        <v>405</v>
      </c>
      <c r="G2" s="113" t="s">
        <v>409</v>
      </c>
      <c r="H2" s="113" t="s">
        <v>412</v>
      </c>
      <c r="I2" s="116" t="s">
        <v>413</v>
      </c>
      <c r="J2" s="117" t="s">
        <v>365</v>
      </c>
      <c r="M2" s="3" t="s">
        <v>418</v>
      </c>
    </row>
    <row r="3" spans="1:14">
      <c r="A3" s="2" t="s">
        <v>8</v>
      </c>
      <c r="C3" s="5" t="s">
        <v>398</v>
      </c>
      <c r="D3" s="5" t="s">
        <v>53</v>
      </c>
      <c r="E3" s="5" t="s">
        <v>53</v>
      </c>
      <c r="F3" s="5" t="s">
        <v>53</v>
      </c>
      <c r="G3" s="114" t="s">
        <v>408</v>
      </c>
      <c r="H3" s="114" t="s">
        <v>411</v>
      </c>
      <c r="I3" s="118" t="s">
        <v>411</v>
      </c>
      <c r="J3" s="119" t="s">
        <v>416</v>
      </c>
      <c r="M3" s="2" t="s">
        <v>417</v>
      </c>
    </row>
    <row r="4" spans="1:14">
      <c r="A4" s="2" t="s">
        <v>9</v>
      </c>
      <c r="C4" s="5" t="s">
        <v>397</v>
      </c>
      <c r="D4" s="5" t="s">
        <v>402</v>
      </c>
      <c r="E4" s="5" t="s">
        <v>402</v>
      </c>
      <c r="F4" s="5" t="s">
        <v>402</v>
      </c>
      <c r="G4" s="114" t="s">
        <v>407</v>
      </c>
      <c r="H4" s="114" t="s">
        <v>53</v>
      </c>
      <c r="I4" s="118" t="s">
        <v>53</v>
      </c>
      <c r="J4" s="119" t="s">
        <v>415</v>
      </c>
      <c r="M4" s="2" t="s">
        <v>443</v>
      </c>
    </row>
    <row r="5" spans="1:14">
      <c r="A5" s="2" t="s">
        <v>10</v>
      </c>
      <c r="C5" s="5" t="s">
        <v>396</v>
      </c>
      <c r="D5" s="5" t="s">
        <v>401</v>
      </c>
      <c r="E5" s="5" t="s">
        <v>401</v>
      </c>
      <c r="F5" s="5" t="s">
        <v>401</v>
      </c>
      <c r="G5" s="114" t="s">
        <v>406</v>
      </c>
      <c r="H5" s="114" t="s">
        <v>401</v>
      </c>
      <c r="I5" s="118" t="s">
        <v>401</v>
      </c>
      <c r="J5" s="119" t="s">
        <v>414</v>
      </c>
      <c r="M5" s="2" t="s">
        <v>392</v>
      </c>
    </row>
    <row r="6" spans="1:14">
      <c r="A6" s="2" t="s">
        <v>11</v>
      </c>
      <c r="C6" s="5" t="s">
        <v>395</v>
      </c>
      <c r="D6" s="5" t="s">
        <v>400</v>
      </c>
      <c r="E6" s="5" t="s">
        <v>400</v>
      </c>
      <c r="F6" s="5" t="s">
        <v>400</v>
      </c>
      <c r="G6" s="114" t="s">
        <v>433</v>
      </c>
      <c r="H6" s="114" t="s">
        <v>410</v>
      </c>
      <c r="I6" s="118" t="s">
        <v>434</v>
      </c>
      <c r="J6" s="119" t="s">
        <v>435</v>
      </c>
      <c r="M6" s="2" t="s">
        <v>441</v>
      </c>
    </row>
    <row r="7" spans="1:14">
      <c r="A7" s="2" t="s">
        <v>12</v>
      </c>
      <c r="B7" s="45">
        <v>27030</v>
      </c>
      <c r="C7" s="46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46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46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46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46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46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46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46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46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46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46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46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46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46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46" t="e">
        <v>#N/A</v>
      </c>
      <c r="D21" s="47" t="e">
        <v>#N/A</v>
      </c>
      <c r="E21" s="47" t="e">
        <v>#N/A</v>
      </c>
      <c r="F21" s="47" t="e">
        <v>#N/A</v>
      </c>
      <c r="G21" s="115">
        <v>2.2530000000000001</v>
      </c>
      <c r="H21" s="120">
        <v>4.2060000000000004</v>
      </c>
      <c r="I21" s="120">
        <v>2.9449999999999998</v>
      </c>
      <c r="J21" s="121">
        <v>11.244000000000002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46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46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46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46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46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46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46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46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46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46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46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46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46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46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46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46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46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46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46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46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46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46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46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46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46" t="e">
        <v>#N/A</v>
      </c>
      <c r="D46" s="47" t="e">
        <v>#N/A</v>
      </c>
      <c r="E46" s="47" t="e">
        <v>#N/A</v>
      </c>
      <c r="F46" s="47" t="e">
        <v>#N/A</v>
      </c>
      <c r="G46" s="115">
        <v>5.1560000000000006</v>
      </c>
      <c r="H46" s="120">
        <v>4.8970000000000002</v>
      </c>
      <c r="I46" s="120">
        <v>1.339</v>
      </c>
      <c r="J46" s="121">
        <v>9.5480000000000018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21" t="e">
        <v>#N/A</v>
      </c>
      <c r="D47" s="124" t="e">
        <v>#N/A</v>
      </c>
      <c r="E47" s="124" t="e">
        <v>#N/A</v>
      </c>
      <c r="F47" s="124" t="e">
        <v>#N/A</v>
      </c>
      <c r="G47" s="115">
        <v>5.2450000000000001</v>
      </c>
      <c r="H47" s="120">
        <v>4.9169999999999998</v>
      </c>
      <c r="I47" s="120">
        <v>1.3320000000000001</v>
      </c>
      <c r="J47" s="121">
        <v>8.91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21">
        <v>5.524</v>
      </c>
      <c r="D48" s="47">
        <v>4.952</v>
      </c>
      <c r="E48" s="47">
        <v>1.2529999999999999</v>
      </c>
      <c r="F48" s="47">
        <v>8.9799999999999986</v>
      </c>
      <c r="G48" s="115">
        <v>5.524</v>
      </c>
      <c r="H48" s="48">
        <v>4.952</v>
      </c>
      <c r="I48" s="48">
        <v>1.2529999999999999</v>
      </c>
      <c r="J48" s="46">
        <v>8.9799999999999986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46">
        <v>5.4</v>
      </c>
      <c r="D49" s="47">
        <v>4.9000000000000004</v>
      </c>
      <c r="E49" s="47">
        <v>1.5</v>
      </c>
      <c r="F49" s="47">
        <v>9.1999999999999993</v>
      </c>
      <c r="G49" s="115" t="e">
        <v>#N/A</v>
      </c>
      <c r="H49" s="48" t="e">
        <v>#N/A</v>
      </c>
      <c r="I49" s="48" t="e">
        <v>#N/A</v>
      </c>
      <c r="J49" s="46" t="e">
        <v>#N/A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46">
        <v>5.3</v>
      </c>
      <c r="D50" s="47">
        <v>4.9000000000000004</v>
      </c>
      <c r="E50" s="47">
        <v>1.7</v>
      </c>
      <c r="F50" s="47">
        <v>8.8000000000000007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 t="e">
        <v>#N/A</v>
      </c>
      <c r="N50" s="2">
        <f t="shared" si="0"/>
        <v>0</v>
      </c>
    </row>
    <row r="51" spans="1:14">
      <c r="A51" s="2" t="s">
        <v>56</v>
      </c>
      <c r="B51" s="45">
        <v>43101</v>
      </c>
      <c r="C51" s="46">
        <v>5.1999999999999993</v>
      </c>
      <c r="D51" s="47">
        <v>5</v>
      </c>
      <c r="E51" s="47">
        <v>2</v>
      </c>
      <c r="F51" s="47">
        <v>8.4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46">
        <v>5.4</v>
      </c>
      <c r="D52" s="47">
        <v>5.0999999999999996</v>
      </c>
      <c r="E52" s="47">
        <v>2.2000000000000002</v>
      </c>
      <c r="F52" s="47">
        <v>8.1999999999999993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46">
        <v>5.5</v>
      </c>
      <c r="D53" s="47">
        <v>5.2</v>
      </c>
      <c r="E53" s="47">
        <v>2.4</v>
      </c>
      <c r="F53" s="47">
        <v>8.1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46">
        <v>5.6</v>
      </c>
      <c r="D54" s="47">
        <v>5.3</v>
      </c>
      <c r="E54" s="47">
        <v>2.6</v>
      </c>
      <c r="F54" s="47">
        <v>7.9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46">
        <v>5.9</v>
      </c>
      <c r="D55" s="47">
        <v>5.4</v>
      </c>
      <c r="E55" s="47">
        <v>2.7</v>
      </c>
      <c r="F55" s="47">
        <v>7.9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46">
        <v>5.9</v>
      </c>
      <c r="D56" s="47">
        <v>5.5</v>
      </c>
      <c r="E56" s="47">
        <v>2.8</v>
      </c>
      <c r="F56" s="47">
        <v>7.6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46">
        <v>5.8</v>
      </c>
      <c r="D57" s="47">
        <v>5.6</v>
      </c>
      <c r="E57" s="47">
        <v>2.9</v>
      </c>
      <c r="F57" s="47">
        <v>7.4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46">
        <v>6.1</v>
      </c>
      <c r="D58" s="47">
        <v>5.7</v>
      </c>
      <c r="E58" s="47">
        <v>3</v>
      </c>
      <c r="F58" s="47">
        <v>7.4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46">
        <v>6.2</v>
      </c>
      <c r="D59" s="47">
        <v>5.8</v>
      </c>
      <c r="E59" s="47">
        <v>3.1</v>
      </c>
      <c r="F59" s="47">
        <v>7.3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46">
        <v>6.3</v>
      </c>
      <c r="D60" s="47">
        <v>5.9</v>
      </c>
      <c r="E60" s="47">
        <v>3.2</v>
      </c>
      <c r="F60" s="47">
        <v>7.3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46">
        <v>6.4</v>
      </c>
      <c r="D61" s="47">
        <v>5.9</v>
      </c>
      <c r="E61" s="47">
        <v>3.3</v>
      </c>
      <c r="F61" s="47">
        <v>7.3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46">
        <v>6.6</v>
      </c>
      <c r="D62" s="47">
        <v>6</v>
      </c>
      <c r="E62" s="47">
        <v>3.4</v>
      </c>
      <c r="F62" s="47">
        <v>7.2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46">
        <v>6.8000000000000007</v>
      </c>
      <c r="D63" s="47">
        <v>6.1</v>
      </c>
      <c r="E63" s="47">
        <v>3.5</v>
      </c>
      <c r="F63" s="47">
        <v>7.2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46">
        <v>6.9</v>
      </c>
      <c r="D64" s="47">
        <v>6.1</v>
      </c>
      <c r="E64" s="47">
        <v>3.6</v>
      </c>
      <c r="F64" s="47">
        <v>7.2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46">
        <v>7</v>
      </c>
      <c r="D65" s="47">
        <v>6.2</v>
      </c>
      <c r="E65" s="47">
        <v>3.7</v>
      </c>
      <c r="F65" s="47">
        <v>7.1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46">
        <v>7.2</v>
      </c>
      <c r="D66" s="47">
        <v>6.2</v>
      </c>
      <c r="E66" s="47">
        <v>3.7</v>
      </c>
      <c r="F66" s="47">
        <v>7.1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46">
        <v>7.3</v>
      </c>
      <c r="D67" s="47">
        <v>6.2</v>
      </c>
      <c r="E67" s="47">
        <v>3.8</v>
      </c>
      <c r="F67" s="47">
        <v>7.1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46">
        <v>7.4</v>
      </c>
      <c r="D68" s="47">
        <v>6.3</v>
      </c>
      <c r="E68" s="47">
        <v>3.9</v>
      </c>
      <c r="F68" s="47">
        <v>7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61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318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-6000</v>
      </c>
      <c r="C39" s="21" t="str">
        <f>IF(ISNUMBER('Change in Employment'!J46),TEXT('Change in Employment'!J46, "0"),"")</f>
        <v>-12000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2000</v>
      </c>
      <c r="C40" s="21" t="str">
        <f>IF(ISNUMBER('Change in Employment'!J47),TEXT('Change in Employment'!J47, "0"),"")</f>
        <v>-5000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1000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-13000</v>
      </c>
      <c r="C42" s="21" t="str">
        <f>IF(ISNUMBER('Change in Employment'!J49),TEXT('Change in Employment'!J49, "0"),"")</f>
        <v>-3333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-14000</v>
      </c>
      <c r="C43" s="21" t="str">
        <f>IF(ISNUMBER('Change in Employment'!J50),TEXT('Change in Employment'!J50, "0"),"")</f>
        <v>-8667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15000</v>
      </c>
      <c r="C44" s="21" t="str">
        <f>IF(ISNUMBER('Change in Employment'!J51),TEXT('Change in Employment'!J51, "0"),"")</f>
        <v>-4000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13000</v>
      </c>
      <c r="C46" s="21" t="str">
        <f>IF(ISNUMBER('Change in Employment'!J53),TEXT('Change in Employment'!J53, "0"),"")</f>
        <v>6667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-2000</v>
      </c>
      <c r="C47" s="21" t="str">
        <f>IF(ISNUMBER('Change in Employment'!J54),TEXT('Change in Employment'!J54, "0"),"")</f>
        <v>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-33000</v>
      </c>
      <c r="C48" s="21" t="str">
        <f>IF(ISNUMBER('Change in Employment'!J55),TEXT('Change in Employment'!J55, "0"),"")</f>
        <v>-7333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-8000</v>
      </c>
      <c r="C49" s="21" t="str">
        <f>IF(ISNUMBER('Change in Employment'!J56),TEXT('Change in Employment'!J56, "0"),"")</f>
        <v>-14333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13000</v>
      </c>
      <c r="C50" s="21" t="str">
        <f>IF(ISNUMBER('Change in Employment'!J57),TEXT('Change in Employment'!J57, "0"),"")</f>
        <v>-9333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-15000</v>
      </c>
      <c r="C51" s="21" t="str">
        <f>IF(ISNUMBER('Change in Employment'!J58),TEXT('Change in Employment'!J58, "0"),"")</f>
        <v>-3333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12000</v>
      </c>
      <c r="C52" s="21" t="str">
        <f>IF(ISNUMBER('Change in Employment'!J59),TEXT('Change in Employment'!J59, "0"),"")</f>
        <v>3333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2000</v>
      </c>
      <c r="C53" s="21" t="str">
        <f>IF(ISNUMBER('Change in Employment'!J60),TEXT('Change in Employment'!J60, "0"),"")</f>
        <v>-333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-1000</v>
      </c>
      <c r="C54" s="21" t="str">
        <f>IF(ISNUMBER('Change in Employment'!J61),TEXT('Change in Employment'!J61, "0"),"")</f>
        <v>4333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11000</v>
      </c>
      <c r="C55" s="21" t="str">
        <f>IF(ISNUMBER('Change in Employment'!J62),TEXT('Change in Employment'!J62, "0"),"")</f>
        <v>4000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-21000</v>
      </c>
      <c r="C56" s="21" t="str">
        <f>IF(ISNUMBER('Change in Employment'!J63),TEXT('Change in Employment'!J63, "0"),"")</f>
        <v>-3667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-14000</v>
      </c>
      <c r="C57" s="21" t="str">
        <f>IF(ISNUMBER('Change in Employment'!J64),TEXT('Change in Employment'!J64, "0"),"")</f>
        <v>-8000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36000</v>
      </c>
      <c r="C58" s="21" t="str">
        <f>IF(ISNUMBER('Change in Employment'!J65),TEXT('Change in Employment'!J65, "0"),"")</f>
        <v>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6000</v>
      </c>
      <c r="C59" s="21" t="str">
        <f>IF(ISNUMBER('Change in Employment'!J66),TEXT('Change in Employment'!J66, "0"),"")</f>
        <v>9333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-4000</v>
      </c>
      <c r="C60" s="21" t="str">
        <f>IF(ISNUMBER('Change in Employment'!J67),TEXT('Change in Employment'!J67, "0"),"")</f>
        <v>12667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10000</v>
      </c>
      <c r="C61" s="21" t="str">
        <f>IF(ISNUMBER('Change in Employment'!J68),TEXT('Change in Employment'!J68, "0"),"")</f>
        <v>4000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-23000</v>
      </c>
      <c r="C62" s="21" t="str">
        <f>IF(ISNUMBER('Change in Employment'!J69),TEXT('Change in Employment'!J69, "0"),"")</f>
        <v>-5667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-3000</v>
      </c>
      <c r="C63" s="21" t="str">
        <f>IF(ISNUMBER('Change in Employment'!J70),TEXT('Change in Employment'!J70, "0"),"")</f>
        <v>-5333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13000</v>
      </c>
      <c r="C64" s="21" t="str">
        <f>IF(ISNUMBER('Change in Employment'!J71),TEXT('Change in Employment'!J71, "0"),"")</f>
        <v>-4333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13000</v>
      </c>
      <c r="C65" s="21" t="str">
        <f>IF(ISNUMBER('Change in Employment'!J72),TEXT('Change in Employment'!J72, "0"),"")</f>
        <v>7667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30000</v>
      </c>
      <c r="C66" s="21" t="str">
        <f>IF(ISNUMBER('Change in Employment'!J73),TEXT('Change in Employment'!J73, "0"),"")</f>
        <v>18667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-2000</v>
      </c>
      <c r="C67" s="21" t="str">
        <f>IF(ISNUMBER('Change in Employment'!J74),TEXT('Change in Employment'!J74, "0"),"")</f>
        <v>13667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36000</v>
      </c>
      <c r="C68" s="21" t="str">
        <f>IF(ISNUMBER('Change in Employment'!J75),TEXT('Change in Employment'!J75, "0"),"")</f>
        <v>21333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-13000</v>
      </c>
      <c r="C69" s="21" t="str">
        <f>IF(ISNUMBER('Change in Employment'!J76),TEXT('Change in Employment'!J76, "0"),"")</f>
        <v>7000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-16000</v>
      </c>
      <c r="C70" s="21" t="str">
        <f>IF(ISNUMBER('Change in Employment'!J77),TEXT('Change in Employment'!J77, "0"),"")</f>
        <v>2333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47000</v>
      </c>
      <c r="C71" s="21" t="str">
        <f>IF(ISNUMBER('Change in Employment'!J78),TEXT('Change in Employment'!J78, "0"),"")</f>
        <v>6000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10000</v>
      </c>
      <c r="C72" s="21" t="str">
        <f>IF(ISNUMBER('Change in Employment'!J79),TEXT('Change in Employment'!J79, "0"),"")</f>
        <v>13667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0</v>
      </c>
      <c r="C73" s="21" t="str">
        <f>IF(ISNUMBER('Change in Employment'!J80),TEXT('Change in Employment'!J80, "0"),"")</f>
        <v>19000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9000</v>
      </c>
      <c r="C74" s="21" t="str">
        <f>IF(ISNUMBER('Change in Employment'!J81),TEXT('Change in Employment'!J81, "0"),"")</f>
        <v>6333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10000</v>
      </c>
      <c r="C75" s="21" t="str">
        <f>IF(ISNUMBER('Change in Employment'!J82),TEXT('Change in Employment'!J82, "0"),"")</f>
        <v>6333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9000</v>
      </c>
      <c r="C76" s="21" t="str">
        <f>IF(ISNUMBER('Change in Employment'!J83),TEXT('Change in Employment'!J83, "0"),"")</f>
        <v>9333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-6000</v>
      </c>
      <c r="C77" s="21" t="str">
        <f>IF(ISNUMBER('Change in Employment'!J84),TEXT('Change in Employment'!J84, "0"),"")</f>
        <v>4333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7000</v>
      </c>
      <c r="C78" s="21" t="str">
        <f>IF(ISNUMBER('Change in Employment'!J85),TEXT('Change in Employment'!J85, "0"),"")</f>
        <v>3333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15000</v>
      </c>
      <c r="C79" s="21" t="str">
        <f>IF(ISNUMBER('Change in Employment'!J86),TEXT('Change in Employment'!J86, "0"),"")</f>
        <v>5333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2000</v>
      </c>
      <c r="C80" s="21" t="str">
        <f>IF(ISNUMBER('Change in Employment'!J87),TEXT('Change in Employment'!J87, "0"),"")</f>
        <v>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33000</v>
      </c>
      <c r="C81" s="21" t="str">
        <f>IF(ISNUMBER('Change in Employment'!J88),TEXT('Change in Employment'!J88, "0"),"")</f>
        <v>16667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25000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-14000</v>
      </c>
      <c r="C83" s="21" t="str">
        <f>IF(ISNUMBER('Change in Employment'!J90),TEXT('Change in Employment'!J90, "0"),"")</f>
        <v>14667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-7000</v>
      </c>
      <c r="C84" s="21" t="str">
        <f>IF(ISNUMBER('Change in Employment'!J91),TEXT('Change in Employment'!J91, "0"),"")</f>
        <v>1333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-5000</v>
      </c>
      <c r="C85" s="21" t="str">
        <f>IF(ISNUMBER('Change in Employment'!J92),TEXT('Change in Employment'!J92, "0"),"")</f>
        <v>-8667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2000</v>
      </c>
      <c r="C86" s="21" t="str">
        <f>IF(ISNUMBER('Change in Employment'!J93),TEXT('Change in Employment'!J93, "0"),"")</f>
        <v>-3333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18000</v>
      </c>
      <c r="C87" s="21" t="str">
        <f>IF(ISNUMBER('Change in Employment'!J94),TEXT('Change in Employment'!J94, "0"),"")</f>
        <v>5000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4000</v>
      </c>
      <c r="C88" s="21" t="str">
        <f>IF(ISNUMBER('Change in Employment'!J95),TEXT('Change in Employment'!J95, "0"),"")</f>
        <v>8000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18000</v>
      </c>
      <c r="C89" s="21" t="str">
        <f>IF(ISNUMBER('Change in Employment'!J96),TEXT('Change in Employment'!J96, "0"),"")</f>
        <v>13333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/>
      </c>
      <c r="B90" s="21" t="str">
        <f>IF(ISNUMBER('Change in Employment'!I97), TEXT('Change in Employment'!I97, "0"), "")</f>
        <v/>
      </c>
      <c r="C90" s="21" t="str">
        <f>IF(ISNUMBER('Change in Employment'!J97),TEXT('Change in Employment'!J97, "0"),"")</f>
        <v/>
      </c>
      <c r="D90" s="105" t="str">
        <f>IF(ISNUMBER('Change in Employment'!G97),'Change in Employment'!G97,"")</f>
        <v/>
      </c>
    </row>
    <row r="91" spans="1:4">
      <c r="A91" s="19" t="str">
        <f>TEXT(IF('Change in Employment'!B98&lt;&gt;0,DATE(YEAR('Change in Employment'!B98), MONTH('Change in Employment'!B98), 1), ""), "mm/dd/yyyy")</f>
        <v/>
      </c>
      <c r="B91" s="21" t="str">
        <f>IF(ISNUMBER('Change in Employment'!I98), TEXT('Change in Employment'!I98, "0"), "")</f>
        <v/>
      </c>
      <c r="C91" s="21" t="str">
        <f>IF(ISNUMBER('Change in Employment'!J98),TEXT('Change in Employment'!J98, "0"),"")</f>
        <v/>
      </c>
      <c r="D91" s="105" t="str">
        <f>IF(ISNUMBER('Change in Employment'!G98),'Change in Employment'!G98,"")</f>
        <v/>
      </c>
    </row>
    <row r="92" spans="1:4">
      <c r="A92" s="19" t="str">
        <f>TEXT(IF('Change in Employment'!B99&lt;&gt;0,DATE(YEAR('Change in Employment'!B99), MONTH('Change in Employment'!B99), 1), ""), "mm/dd/yyyy")</f>
        <v/>
      </c>
      <c r="B92" s="21" t="str">
        <f>IF(ISNUMBER('Change in Employment'!I99), TEXT('Change in Employment'!I99, "0"), "")</f>
        <v/>
      </c>
      <c r="C92" s="21" t="str">
        <f>IF(ISNUMBER('Change in Employment'!J99),TEXT('Change in Employment'!J99, "0"),"")</f>
        <v/>
      </c>
      <c r="D92" s="105" t="str">
        <f>IF(ISNUMBER('Change in Employment'!G99),'Change in Employment'!G99,"")</f>
        <v/>
      </c>
    </row>
    <row r="93" spans="1:4">
      <c r="A93" s="19" t="str">
        <f>TEXT(IF('Change in Employment'!B100&lt;&gt;0,DATE(YEAR('Change in Employment'!B100), MONTH('Change in Employment'!B100), 1), ""), "mm/dd/yyyy")</f>
        <v/>
      </c>
      <c r="B93" s="21" t="str">
        <f>IF(ISNUMBER('Change in Employment'!I100), TEXT('Change in Employment'!I100, "0"), "")</f>
        <v/>
      </c>
      <c r="C93" s="21" t="str">
        <f>IF(ISNUMBER('Change in Employment'!J100),TEXT('Change in Employment'!J100, "0"),"")</f>
        <v/>
      </c>
      <c r="D93" s="105" t="str">
        <f>IF(ISNUMBER('Change in Employment'!G100),'Change in Employment'!G100,"")</f>
        <v/>
      </c>
    </row>
    <row r="94" spans="1:4">
      <c r="A94" s="19" t="str">
        <f>TEXT(IF('Change in Employment'!B101&lt;&gt;0,DATE(YEAR('Change in Employment'!B101), MONTH('Change in Employment'!B101), 1), ""), "mm/dd/yyyy")</f>
        <v/>
      </c>
      <c r="B94" s="21" t="str">
        <f>IF(ISNUMBER('Change in Employment'!I101), TEXT('Change in Employment'!I101, "0"), "")</f>
        <v/>
      </c>
      <c r="C94" s="21" t="str">
        <f>IF(ISNUMBER('Change in Employment'!J101),TEXT('Change in Employment'!J101, "0"),"")</f>
        <v/>
      </c>
      <c r="D94" s="105" t="str">
        <f>IF(ISNUMBER('Change in Employment'!G101),'Change in Employment'!G101,"")</f>
        <v/>
      </c>
    </row>
    <row r="95" spans="1:4">
      <c r="A95" s="19" t="str">
        <f>TEXT(IF('Change in Employment'!B102&lt;&gt;0,DATE(YEAR('Change in Employment'!B102), MONTH('Change in Employment'!B102), 1), ""), "mm/dd/yyyy")</f>
        <v/>
      </c>
      <c r="B95" s="21" t="str">
        <f>IF(ISNUMBER('Change in Employment'!I102), TEXT('Change in Employment'!I102, "0"), "")</f>
        <v/>
      </c>
      <c r="C95" s="21" t="str">
        <f>IF(ISNUMBER('Change in Employment'!J102),TEXT('Change in Employment'!J102, "0"),"")</f>
        <v/>
      </c>
      <c r="D95" s="105" t="str">
        <f>IF(ISNUMBER('Change in Employment'!G102),'Change in Employment'!G102,"")</f>
        <v/>
      </c>
    </row>
    <row r="96" spans="1:4">
      <c r="A96" s="19" t="str">
        <f>TEXT(IF('Change in Employment'!B103&lt;&gt;0,DATE(YEAR('Change in Employment'!B103), MONTH('Change in Employment'!B103), 1), ""), "mm/dd/yyyy")</f>
        <v/>
      </c>
      <c r="B96" s="21" t="str">
        <f>IF(ISNUMBER('Change in Employment'!I103), TEXT('Change in Employment'!I103, "0"), "")</f>
        <v/>
      </c>
      <c r="C96" s="21" t="str">
        <f>IF(ISNUMBER('Change in Employment'!J103),TEXT('Change in Employment'!J103, "0"),"")</f>
        <v/>
      </c>
      <c r="D96" s="105" t="str">
        <f>IF(ISNUMBER('Change in Employment'!G103),'Change in Employment'!G103,"")</f>
        <v/>
      </c>
    </row>
    <row r="97" spans="1:4">
      <c r="A97" s="19" t="str">
        <f>TEXT(IF('Change in Employment'!B104&lt;&gt;0,DATE(YEAR('Change in Employment'!B104), MONTH('Change in Employment'!B104), 1), ""), "mm/dd/yyyy")</f>
        <v/>
      </c>
      <c r="B97" s="21" t="str">
        <f>IF(ISNUMBER('Change in Employment'!I104), TEXT('Change in Employment'!I104, "0"), "")</f>
        <v/>
      </c>
      <c r="C97" s="21" t="str">
        <f>IF(ISNUMBER('Change in Employment'!J104),TEXT('Change in Employment'!J104, "0"),"")</f>
        <v/>
      </c>
      <c r="D97" s="105" t="str">
        <f>IF(ISNUMBER('Change in Employment'!G104),'Change in Employment'!G104,"")</f>
        <v/>
      </c>
    </row>
    <row r="98" spans="1:4">
      <c r="A98" s="19" t="str">
        <f>TEXT(IF('Change in Employment'!B105&lt;&gt;0,DATE(YEAR('Change in Employment'!B105), MONTH('Change in Employment'!B105), 1), ""), "mm/dd/yyyy")</f>
        <v/>
      </c>
      <c r="B98" s="21" t="str">
        <f>IF(ISNUMBER('Change in Employment'!I105), TEXT('Change in Employment'!I105, "0"), "")</f>
        <v/>
      </c>
      <c r="C98" s="21" t="str">
        <f>IF(ISNUMBER('Change in Employment'!J105),TEXT('Change in Employment'!J105, "0"),"")</f>
        <v/>
      </c>
      <c r="D98" s="105" t="str">
        <f>IF(ISNUMBER('Change in Employment'!G105),'Change in Employment'!G105,"")</f>
        <v/>
      </c>
    </row>
    <row r="99" spans="1:4">
      <c r="A99" s="19" t="str">
        <f>TEXT(IF('Change in Employment'!B106&lt;&gt;0,DATE(YEAR('Change in Employment'!B106), MONTH('Change in Employment'!B106), 1), ""), "mm/dd/yyyy")</f>
        <v/>
      </c>
      <c r="B99" s="21" t="str">
        <f>IF(ISNUMBER('Change in Employment'!I106), TEXT('Change in Employment'!I106, "0"), "")</f>
        <v/>
      </c>
      <c r="C99" s="21" t="str">
        <f>IF(ISNUMBER('Change in Employment'!J106),TEXT('Change in Employment'!J106, "0"),"")</f>
        <v/>
      </c>
      <c r="D99" s="105" t="str">
        <f>IF(ISNUMBER('Change in Employment'!G106),'Change in Employment'!G106,"")</f>
        <v/>
      </c>
    </row>
    <row r="100" spans="1:4">
      <c r="A100" s="19" t="str">
        <f>TEXT(IF('Change in Employment'!B107&lt;&gt;0,DATE(YEAR('Change in Employment'!B107), MONTH('Change in Employment'!B107), 1), ""), "mm/dd/yyyy")</f>
        <v/>
      </c>
      <c r="B100" s="21" t="str">
        <f>IF(ISNUMBER('Change in Employment'!I107), TEXT('Change in Employment'!I107, "0"), "")</f>
        <v/>
      </c>
      <c r="C100" s="21" t="str">
        <f>IF(ISNUMBER('Change in Employment'!J107),TEXT('Change in Employment'!J107, "0"),"")</f>
        <v/>
      </c>
      <c r="D100" s="105" t="str">
        <f>IF(ISNUMBER('Change in Employment'!G107),'Change in Employment'!G107,"")</f>
        <v/>
      </c>
    </row>
    <row r="101" spans="1:4">
      <c r="A101" s="19" t="str">
        <f>TEXT(IF('Change in Employment'!B108&lt;&gt;0,DATE(YEAR('Change in Employment'!B108), MONTH('Change in Employment'!B108), 1), ""), "mm/dd/yyyy")</f>
        <v/>
      </c>
      <c r="B101" s="21" t="str">
        <f>IF(ISNUMBER('Change in Employment'!I108), TEXT('Change in Employment'!I108, "0"), "")</f>
        <v/>
      </c>
      <c r="C101" s="21" t="str">
        <f>IF(ISNUMBER('Change in Employment'!J108),TEXT('Change in Employment'!J108, "0"),"")</f>
        <v/>
      </c>
      <c r="D101" s="105" t="str">
        <f>IF(ISNUMBER('Change in Employment'!G108),'Change in Employment'!G108,"")</f>
        <v/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21" t="str">
        <f>IF(ISNUMBER('Change in Employment'!I109), TEXT('Change in Employment'!I109, "0"), "")</f>
        <v/>
      </c>
      <c r="C102" s="21" t="str">
        <f>IF(ISNUMBER('Change in Employment'!J109),TEXT('Change in Employment'!J109, "0"),"")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21" t="str">
        <f>IF(ISNUMBER('Change in Employment'!I110), TEXT('Change in Employment'!I110, "0"), "")</f>
        <v/>
      </c>
      <c r="C103" s="21" t="str">
        <f>IF(ISNUMBER('Change in Employment'!J110),TEXT('Change in Employment'!J110, "0"),"")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21" t="str">
        <f>IF(ISNUMBER('Change in Employment'!I111), TEXT('Change in Employment'!I111, "0"), "")</f>
        <v/>
      </c>
      <c r="C104" s="21" t="str">
        <f>IF(ISNUMBER('Change in Employment'!J111),TEXT('Change in Employment'!J111, "0"),"")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21" t="str">
        <f>IF(ISNUMBER('Change in Employment'!I112), TEXT('Change in Employment'!I112, "0"), "")</f>
        <v/>
      </c>
      <c r="C105" s="21" t="str">
        <f>IF(ISNUMBER('Change in Employment'!J112),TEXT('Change in Employment'!J112, "0"),"")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21" t="str">
        <f>IF(ISNUMBER('Change in Employment'!I113), TEXT('Change in Employment'!I113, "0"), "")</f>
        <v/>
      </c>
      <c r="C106" s="21" t="str">
        <f>IF(ISNUMBER('Change in Employment'!J113),TEXT('Change in Employment'!J113, "0"),"")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61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318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-5000</v>
      </c>
      <c r="C39" s="19" t="str">
        <f>IFERROR(IF(ISNUMBER('Change in Employment'!M46),TEXT('Change in Employment'!M46, "0"), ""), "")</f>
        <v>-3567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-2500</v>
      </c>
      <c r="C40" s="19" t="str">
        <f>IFERROR(IF(ISNUMBER('Change in Employment'!M47),TEXT('Change in Employment'!M47, "0"), ""), "")</f>
        <v>-3467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1300.0000000001819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-1000</v>
      </c>
      <c r="C42" s="19" t="str">
        <f>IFERROR(IF(ISNUMBER('Change in Employment'!M49),TEXT('Change in Employment'!M49, "0"), ""), "")</f>
        <v>-733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-100.0000000003638</v>
      </c>
      <c r="C43" s="19" t="str">
        <f>IFERROR(IF(ISNUMBER('Change in Employment'!M50),TEXT('Change in Employment'!M50, "0"), ""), "")</f>
        <v>67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200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-9200.0000000002728</v>
      </c>
      <c r="C45" s="19" t="str">
        <f>IFERROR(IF(ISNUMBER('Change in Employment'!M52),TEXT('Change in Employment'!M52, "0"), ""), "")</f>
        <v>-2533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5900.0000000000909</v>
      </c>
      <c r="C46" s="19" t="str">
        <f>IFERROR(IF(ISNUMBER('Change in Employment'!M53),TEXT('Change in Employment'!M53, "0"), ""), "")</f>
        <v>-533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8200.0000000002728</v>
      </c>
      <c r="C47" s="19" t="str">
        <f>IFERROR(IF(ISNUMBER('Change in Employment'!M54),TEXT('Change in Employment'!M54, "0"), ""), "")</f>
        <v>1633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-4400.0000000000909</v>
      </c>
      <c r="C48" s="19" t="str">
        <f>IFERROR(IF(ISNUMBER('Change in Employment'!M55),TEXT('Change in Employment'!M55, "0"), ""), "")</f>
        <v>3233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-3599.9999999999091</v>
      </c>
      <c r="C49" s="19" t="str">
        <f>IFERROR(IF(ISNUMBER('Change in Employment'!M56),TEXT('Change in Employment'!M56, "0"), ""), "")</f>
        <v>67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-1000</v>
      </c>
      <c r="C50" s="19" t="str">
        <f>IFERROR(IF(ISNUMBER('Change in Employment'!M57),TEXT('Change in Employment'!M57, "0"), ""), "")</f>
        <v>-3000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-3900.0000000000909</v>
      </c>
      <c r="C51" s="19" t="str">
        <f>IFERROR(IF(ISNUMBER('Change in Employment'!M58),TEXT('Change in Employment'!M58, "0"), ""), "")</f>
        <v>-2833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-99.999999999909051</v>
      </c>
      <c r="C52" s="19" t="str">
        <f>IFERROR(IF(ISNUMBER('Change in Employment'!M59),TEXT('Change in Employment'!M59, "0"), ""), "")</f>
        <v>-1667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-2500</v>
      </c>
      <c r="C53" s="19" t="str">
        <f>IFERROR(IF(ISNUMBER('Change in Employment'!M60),TEXT('Change in Employment'!M60, "0"), ""), "")</f>
        <v>-2167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-9100.0000000003638</v>
      </c>
      <c r="C54" s="19" t="str">
        <f>IFERROR(IF(ISNUMBER('Change in Employment'!M61),TEXT('Change in Employment'!M61, "0"), ""), "")</f>
        <v>-3900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-10099.999999999909</v>
      </c>
      <c r="C55" s="19" t="str">
        <f>IFERROR(IF(ISNUMBER('Change in Employment'!M62),TEXT('Change in Employment'!M62, "0"), ""), "")</f>
        <v>-7233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-6500</v>
      </c>
      <c r="C56" s="19" t="str">
        <f>IFERROR(IF(ISNUMBER('Change in Employment'!M63),TEXT('Change in Employment'!M63, "0"), ""), "")</f>
        <v>-8567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-7199.9999999998181</v>
      </c>
      <c r="C57" s="19" t="str">
        <f>IFERROR(IF(ISNUMBER('Change in Employment'!M64),TEXT('Change in Employment'!M64, "0"), ""), "")</f>
        <v>-7933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-8599.9999999999091</v>
      </c>
      <c r="C58" s="19" t="str">
        <f>IFERROR(IF(ISNUMBER('Change in Employment'!M65),TEXT('Change in Employment'!M65, "0"), ""), "")</f>
        <v>-7433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-900.00000000009095</v>
      </c>
      <c r="C59" s="19" t="str">
        <f>IFERROR(IF(ISNUMBER('Change in Employment'!M66),TEXT('Change in Employment'!M66, "0"), ""), "")</f>
        <v>-5567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-8900.0000000000909</v>
      </c>
      <c r="C60" s="19" t="str">
        <f>IFERROR(IF(ISNUMBER('Change in Employment'!M67),TEXT('Change in Employment'!M67, "0"), ""), "")</f>
        <v>-6133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2500</v>
      </c>
      <c r="C61" s="19" t="str">
        <f>IFERROR(IF(ISNUMBER('Change in Employment'!M68),TEXT('Change in Employment'!M68, "0"), ""), "")</f>
        <v>-2433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-5000</v>
      </c>
      <c r="C62" s="19" t="str">
        <f>IFERROR(IF(ISNUMBER('Change in Employment'!M69),TEXT('Change in Employment'!M69, "0"), ""), "")</f>
        <v>-3800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-3199.9999999998181</v>
      </c>
      <c r="C63" s="19" t="str">
        <f>IFERROR(IF(ISNUMBER('Change in Employment'!M70),TEXT('Change in Employment'!M70, "0"), ""), "")</f>
        <v>-1900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-5500</v>
      </c>
      <c r="C64" s="19" t="str">
        <f>IFERROR(IF(ISNUMBER('Change in Employment'!M71),TEXT('Change in Employment'!M71, "0"), ""), "")</f>
        <v>-4567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-2000</v>
      </c>
      <c r="C65" s="19" t="str">
        <f>IFERROR(IF(ISNUMBER('Change in Employment'!M72),TEXT('Change in Employment'!M72, "0"), ""), "")</f>
        <v>-3567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-2700.0000000002728</v>
      </c>
      <c r="C66" s="19" t="str">
        <f>IFERROR(IF(ISNUMBER('Change in Employment'!M73),TEXT('Change in Employment'!M73, "0"), ""), "")</f>
        <v>-3400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-699.9999999998181</v>
      </c>
      <c r="C67" s="19" t="str">
        <f>IFERROR(IF(ISNUMBER('Change in Employment'!M74),TEXT('Change in Employment'!M74, "0"), ""), "")</f>
        <v>-1800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2299.9999999997272</v>
      </c>
      <c r="C68" s="19" t="str">
        <f>IFERROR(IF(ISNUMBER('Change in Employment'!M75),TEXT('Change in Employment'!M75, "0"), ""), "")</f>
        <v>-367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3000</v>
      </c>
      <c r="C69" s="19" t="str">
        <f>IFERROR(IF(ISNUMBER('Change in Employment'!M76),TEXT('Change in Employment'!M76, "0"), ""), "")</f>
        <v>1533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1200.0000000002728</v>
      </c>
      <c r="C70" s="19" t="str">
        <f>IFERROR(IF(ISNUMBER('Change in Employment'!M77),TEXT('Change in Employment'!M77, "0"), ""), "")</f>
        <v>2167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400.00000000009095</v>
      </c>
      <c r="C71" s="19" t="str">
        <f>IFERROR(IF(ISNUMBER('Change in Employment'!M78),TEXT('Change in Employment'!M78, "0"), ""), "")</f>
        <v>1533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2299.9999999997272</v>
      </c>
      <c r="C72" s="19" t="str">
        <f>IFERROR(IF(ISNUMBER('Change in Employment'!M79),TEXT('Change in Employment'!M79, "0"), ""), "")</f>
        <v>1300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2500</v>
      </c>
      <c r="C73" s="19" t="str">
        <f>IFERROR(IF(ISNUMBER('Change in Employment'!M80),TEXT('Change in Employment'!M80, "0"), ""), "")</f>
        <v>1733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1900.0000000000909</v>
      </c>
      <c r="C74" s="19" t="str">
        <f>IFERROR(IF(ISNUMBER('Change in Employment'!M81),TEXT('Change in Employment'!M81, "0"), ""), "")</f>
        <v>2233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4400.0000000000909</v>
      </c>
      <c r="C75" s="19" t="str">
        <f>IFERROR(IF(ISNUMBER('Change in Employment'!M82),TEXT('Change in Employment'!M82, "0"), ""), "")</f>
        <v>2933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-700.00000000027285</v>
      </c>
      <c r="C76" s="19" t="str">
        <f>IFERROR(IF(ISNUMBER('Change in Employment'!M83),TEXT('Change in Employment'!M83, "0"), ""), "")</f>
        <v>1867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1000</v>
      </c>
      <c r="C77" s="19" t="str">
        <f>IFERROR(IF(ISNUMBER('Change in Employment'!M84),TEXT('Change in Employment'!M84, "0"), ""), "")</f>
        <v>1567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1600.0000000003638</v>
      </c>
      <c r="C78" s="19" t="str">
        <f>IFERROR(IF(ISNUMBER('Change in Employment'!M85),TEXT('Change in Employment'!M85, "0"), ""), "")</f>
        <v>633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3099.9999999999091</v>
      </c>
      <c r="C79" s="19" t="str">
        <f>IFERROR(IF(ISNUMBER('Change in Employment'!M86),TEXT('Change in Employment'!M86, "0"), ""), "")</f>
        <v>1900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-800.0000000001819</v>
      </c>
      <c r="C80" s="19" t="str">
        <f>IFERROR(IF(ISNUMBER('Change in Employment'!M87),TEXT('Change in Employment'!M87, "0"), ""), "")</f>
        <v>1300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800.0000000001819</v>
      </c>
      <c r="C81" s="19" t="str">
        <f>IFERROR(IF(ISNUMBER('Change in Employment'!M88),TEXT('Change in Employment'!M88, "0"), ""), "")</f>
        <v>1033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599.99999999990905</v>
      </c>
      <c r="C82" s="19" t="str">
        <f>IFERROR(IF(ISNUMBER('Change in Employment'!M89),TEXT('Change in Employment'!M89, "0"), ""), "")</f>
        <v>200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400.00000000009095</v>
      </c>
      <c r="C83" s="19" t="str">
        <f>IFERROR(IF(ISNUMBER('Change in Employment'!M90),TEXT('Change in Employment'!M90, "0"), ""), "")</f>
        <v>600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-400.00000000009095</v>
      </c>
      <c r="C84" s="19" t="str">
        <f>IFERROR(IF(ISNUMBER('Change in Employment'!M91),TEXT('Change in Employment'!M91, "0"), ""), "")</f>
        <v>200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2300.0000000001819</v>
      </c>
      <c r="C85" s="19" t="str">
        <f>IFERROR(IF(ISNUMBER('Change in Employment'!M92),TEXT('Change in Employment'!M92, "0"), ""), "")</f>
        <v>767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4500</v>
      </c>
      <c r="C86" s="19" t="str">
        <f>IFERROR(IF(ISNUMBER('Change in Employment'!M93),TEXT('Change in Employment'!M93, "0"), ""), "")</f>
        <v>2133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799.99999999972715</v>
      </c>
      <c r="C87" s="19" t="str">
        <f>IFERROR(IF(ISNUMBER('Change in Employment'!M94),TEXT('Change in Employment'!M94, "0"), ""), "")</f>
        <v>2533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0</v>
      </c>
      <c r="C88" s="19" t="str">
        <f>IFERROR(IF(ISNUMBER('Change in Employment'!M95),TEXT('Change in Employment'!M95, "0"), ""), "")</f>
        <v>1767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-400.00000000009095</v>
      </c>
      <c r="C89" s="19" t="str">
        <f>IFERROR(IF(ISNUMBER('Change in Employment'!M96),TEXT('Change in Employment'!M96, "0"), ""), "")</f>
        <v>133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/>
      </c>
      <c r="B90" s="19" t="str">
        <f>IF(ISNUMBER('Change in Employment'!L97),'Change in Employment'!L97, "")</f>
        <v/>
      </c>
      <c r="C90" s="19" t="str">
        <f>IFERROR(IF(ISNUMBER('Change in Employment'!M97),TEXT('Change in Employment'!M97, "0"), ""), "")</f>
        <v/>
      </c>
      <c r="D90" s="105" t="str">
        <f>IF(ISNUMBER('Change in Employment'!G97),'Change in Employment'!G97,"")</f>
        <v/>
      </c>
    </row>
    <row r="91" spans="1:4">
      <c r="A91" s="19" t="str">
        <f>TEXT(IF('Change in Employment'!B98&lt;&gt;0,DATE(YEAR('Change in Employment'!B98), MONTH('Change in Employment'!B98), 1), ""), "mm/dd/yyyy")</f>
        <v/>
      </c>
      <c r="B91" s="19" t="str">
        <f>IF(ISNUMBER('Change in Employment'!L98),'Change in Employment'!L98, "")</f>
        <v/>
      </c>
      <c r="C91" s="19" t="str">
        <f>IFERROR(IF(ISNUMBER('Change in Employment'!M98),TEXT('Change in Employment'!M98, "0"), ""), "")</f>
        <v/>
      </c>
      <c r="D91" s="105" t="str">
        <f>IF(ISNUMBER('Change in Employment'!G98),'Change in Employment'!G98,"")</f>
        <v/>
      </c>
    </row>
    <row r="92" spans="1:4">
      <c r="A92" s="19" t="str">
        <f>TEXT(IF('Change in Employment'!B99&lt;&gt;0,DATE(YEAR('Change in Employment'!B99), MONTH('Change in Employment'!B99), 1), ""), "mm/dd/yyyy")</f>
        <v/>
      </c>
      <c r="B92" s="19" t="str">
        <f>IF(ISNUMBER('Change in Employment'!L99),'Change in Employment'!L99, "")</f>
        <v/>
      </c>
      <c r="C92" s="19" t="str">
        <f>IFERROR(IF(ISNUMBER('Change in Employment'!M99),TEXT('Change in Employment'!M99, "0"), ""), "")</f>
        <v/>
      </c>
      <c r="D92" s="105" t="str">
        <f>IF(ISNUMBER('Change in Employment'!G99),'Change in Employment'!G99,"")</f>
        <v/>
      </c>
    </row>
    <row r="93" spans="1:4">
      <c r="A93" s="19" t="str">
        <f>TEXT(IF('Change in Employment'!B100&lt;&gt;0,DATE(YEAR('Change in Employment'!B100), MONTH('Change in Employment'!B100), 1), ""), "mm/dd/yyyy")</f>
        <v/>
      </c>
      <c r="B93" s="19" t="str">
        <f>IF(ISNUMBER('Change in Employment'!L100),'Change in Employment'!L100, "")</f>
        <v/>
      </c>
      <c r="C93" s="19" t="str">
        <f>IFERROR(IF(ISNUMBER('Change in Employment'!M100),TEXT('Change in Employment'!M100, "0"), ""), "")</f>
        <v/>
      </c>
      <c r="D93" s="105" t="str">
        <f>IF(ISNUMBER('Change in Employment'!G100),'Change in Employment'!G100,"")</f>
        <v/>
      </c>
    </row>
    <row r="94" spans="1:4">
      <c r="A94" s="19" t="str">
        <f>TEXT(IF('Change in Employment'!B101&lt;&gt;0,DATE(YEAR('Change in Employment'!B101), MONTH('Change in Employment'!B101), 1), ""), "mm/dd/yyyy")</f>
        <v/>
      </c>
      <c r="B94" s="19" t="str">
        <f>IF(ISNUMBER('Change in Employment'!L101),'Change in Employment'!L101, "")</f>
        <v/>
      </c>
      <c r="C94" s="19" t="str">
        <f>IFERROR(IF(ISNUMBER('Change in Employment'!M101),TEXT('Change in Employment'!M101, "0"), ""), "")</f>
        <v/>
      </c>
      <c r="D94" s="105" t="str">
        <f>IF(ISNUMBER('Change in Employment'!G101),'Change in Employment'!G101,"")</f>
        <v/>
      </c>
    </row>
    <row r="95" spans="1:4">
      <c r="A95" s="19" t="str">
        <f>TEXT(IF('Change in Employment'!B102&lt;&gt;0,DATE(YEAR('Change in Employment'!B102), MONTH('Change in Employment'!B102), 1), ""), "mm/dd/yyyy")</f>
        <v/>
      </c>
      <c r="B95" s="19" t="str">
        <f>IF(ISNUMBER('Change in Employment'!L102),'Change in Employment'!L102, "")</f>
        <v/>
      </c>
      <c r="C95" s="19" t="str">
        <f>IFERROR(IF(ISNUMBER('Change in Employment'!M102),TEXT('Change in Employment'!M102, "0"), ""), "")</f>
        <v/>
      </c>
      <c r="D95" s="105" t="str">
        <f>IF(ISNUMBER('Change in Employment'!G102),'Change in Employment'!G102,"")</f>
        <v/>
      </c>
    </row>
    <row r="96" spans="1:4">
      <c r="A96" s="19" t="str">
        <f>TEXT(IF('Change in Employment'!B103&lt;&gt;0,DATE(YEAR('Change in Employment'!B103), MONTH('Change in Employment'!B103), 1), ""), "mm/dd/yyyy")</f>
        <v/>
      </c>
      <c r="B96" s="19" t="str">
        <f>IF(ISNUMBER('Change in Employment'!L103),'Change in Employment'!L103, "")</f>
        <v/>
      </c>
      <c r="C96" s="19" t="str">
        <f>IFERROR(IF(ISNUMBER('Change in Employment'!M103),TEXT('Change in Employment'!M103, "0"), ""), "")</f>
        <v/>
      </c>
      <c r="D96" s="105" t="str">
        <f>IF(ISNUMBER('Change in Employment'!G103),'Change in Employment'!G103,"")</f>
        <v/>
      </c>
    </row>
    <row r="97" spans="1:4">
      <c r="A97" s="19" t="str">
        <f>TEXT(IF('Change in Employment'!B104&lt;&gt;0,DATE(YEAR('Change in Employment'!B104), MONTH('Change in Employment'!B104), 1), ""), "mm/dd/yyyy")</f>
        <v/>
      </c>
      <c r="B97" s="19" t="str">
        <f>IF(ISNUMBER('Change in Employment'!L104),'Change in Employment'!L104, "")</f>
        <v/>
      </c>
      <c r="C97" s="19" t="str">
        <f>IFERROR(IF(ISNUMBER('Change in Employment'!M104),TEXT('Change in Employment'!M104, "0"), ""), "")</f>
        <v/>
      </c>
      <c r="D97" s="105" t="str">
        <f>IF(ISNUMBER('Change in Employment'!G104),'Change in Employment'!G104,"")</f>
        <v/>
      </c>
    </row>
    <row r="98" spans="1:4">
      <c r="A98" s="19" t="str">
        <f>TEXT(IF('Change in Employment'!B105&lt;&gt;0,DATE(YEAR('Change in Employment'!B105), MONTH('Change in Employment'!B105), 1), ""), "mm/dd/yyyy")</f>
        <v/>
      </c>
      <c r="B98" s="19" t="str">
        <f>IF(ISNUMBER('Change in Employment'!L105),'Change in Employment'!L105, "")</f>
        <v/>
      </c>
      <c r="C98" s="19" t="str">
        <f>IFERROR(IF(ISNUMBER('Change in Employment'!M105),TEXT('Change in Employment'!M105, "0"), ""), "")</f>
        <v/>
      </c>
      <c r="D98" s="105" t="str">
        <f>IF(ISNUMBER('Change in Employment'!G105),'Change in Employment'!G105,"")</f>
        <v/>
      </c>
    </row>
    <row r="99" spans="1:4">
      <c r="A99" s="19" t="str">
        <f>TEXT(IF('Change in Employment'!B106&lt;&gt;0,DATE(YEAR('Change in Employment'!B106), MONTH('Change in Employment'!B106), 1), ""), "mm/dd/yyyy")</f>
        <v/>
      </c>
      <c r="B99" s="19" t="str">
        <f>IF(ISNUMBER('Change in Employment'!L106),'Change in Employment'!L106, "")</f>
        <v/>
      </c>
      <c r="C99" s="19" t="str">
        <f>IFERROR(IF(ISNUMBER('Change in Employment'!M106),TEXT('Change in Employment'!M106, "0"), ""), "")</f>
        <v/>
      </c>
      <c r="D99" s="105" t="str">
        <f>IF(ISNUMBER('Change in Employment'!G106),'Change in Employment'!G106,"")</f>
        <v/>
      </c>
    </row>
    <row r="100" spans="1:4">
      <c r="A100" s="19" t="str">
        <f>TEXT(IF('Change in Employment'!B107&lt;&gt;0,DATE(YEAR('Change in Employment'!B107), MONTH('Change in Employment'!B107), 1), ""), "mm/dd/yyyy")</f>
        <v/>
      </c>
      <c r="B100" s="19" t="str">
        <f>IF(ISNUMBER('Change in Employment'!L107),'Change in Employment'!L107, "")</f>
        <v/>
      </c>
      <c r="C100" s="19" t="str">
        <f>IFERROR(IF(ISNUMBER('Change in Employment'!M107),TEXT('Change in Employment'!M107, "0"), ""), "")</f>
        <v/>
      </c>
      <c r="D100" s="105" t="str">
        <f>IF(ISNUMBER('Change in Employment'!G107),'Change in Employment'!G107,"")</f>
        <v/>
      </c>
    </row>
    <row r="101" spans="1:4">
      <c r="A101" s="19" t="str">
        <f>TEXT(IF('Change in Employment'!B108&lt;&gt;0,DATE(YEAR('Change in Employment'!B108), MONTH('Change in Employment'!B108), 1), ""), "mm/dd/yyyy")</f>
        <v/>
      </c>
      <c r="B101" s="19" t="str">
        <f>IF(ISNUMBER('Change in Employment'!L108),'Change in Employment'!L108, "")</f>
        <v/>
      </c>
      <c r="C101" s="19" t="str">
        <f>IFERROR(IF(ISNUMBER('Change in Employment'!M108),TEXT('Change in Employment'!M108, "0"), ""), "")</f>
        <v/>
      </c>
      <c r="D101" s="105" t="str">
        <f>IF(ISNUMBER('Change in Employment'!G108),'Change in Employment'!G108,"")</f>
        <v/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19" t="str">
        <f>IF(ISNUMBER('Change in Employment'!L109),'Change in Employment'!L109, "")</f>
        <v/>
      </c>
      <c r="C102" s="19" t="str">
        <f>IFERROR(IF(ISNUMBER('Change in Employment'!M109),TEXT('Change in Employment'!M109, "0"), ""), 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19" t="str">
        <f>IF(ISNUMBER('Change in Employment'!L110),'Change in Employment'!L110, "")</f>
        <v/>
      </c>
      <c r="C103" s="19" t="str">
        <f>IFERROR(IF(ISNUMBER('Change in Employment'!M110),TEXT('Change in Employment'!M110, "0"), ""), 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19" t="str">
        <f>IF(ISNUMBER('Change in Employment'!L111),'Change in Employment'!L111, "")</f>
        <v/>
      </c>
      <c r="C104" s="19" t="str">
        <f>IFERROR(IF(ISNUMBER('Change in Employment'!M111),TEXT('Change in Employment'!M111, "0"), ""), 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19" t="str">
        <f>IF(ISNUMBER('Change in Employment'!L112),'Change in Employment'!L112, "")</f>
        <v/>
      </c>
      <c r="C105" s="19" t="str">
        <f>IFERROR(IF(ISNUMBER('Change in Employment'!M112),TEXT('Change in Employment'!M112, "0"), ""), 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19" t="str">
        <f>IF(ISNUMBER('Change in Employment'!L113),'Change in Employment'!L113, "")</f>
        <v/>
      </c>
      <c r="C106" s="19" t="str">
        <f>IFERROR(IF(ISNUMBER('Change in Employment'!M113),TEXT('Change in Employment'!M113, "0"), ""), 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opLeftCell="A7" workbookViewId="0">
      <selection activeCell="C36" sqref="C36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318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227.6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228.7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228.1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224.7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221.4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228.1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228.2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230.5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225.2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241.4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246.9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240.5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250.1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/>
      </c>
      <c r="B31" s="19" t="str">
        <f>IF(ISNUMBER('Real Structures'!C37),'Real Structures'!C37, "")</f>
        <v/>
      </c>
      <c r="C31" s="19" t="str">
        <f>IF(ISNUMBER('Real Structures'!D37),'Real Structures'!D37, "")</f>
        <v/>
      </c>
    </row>
    <row r="32" spans="1:3">
      <c r="A32" s="19" t="str">
        <f>TEXT(IF('Real Structures'!B38&lt;&gt;0,'Real Structures'!B38, ""), "d-mmm-yy")</f>
        <v/>
      </c>
      <c r="B32" s="19" t="str">
        <f>IF(ISNUMBER('Real Structures'!C38),'Real Structures'!C38, "")</f>
        <v/>
      </c>
      <c r="C32" s="19" t="str">
        <f>IF(ISNUMBER('Real Structures'!D38),'Real Structures'!D38, "")</f>
        <v/>
      </c>
    </row>
    <row r="33" spans="1:3">
      <c r="A33" s="19" t="str">
        <f>TEXT(IF('Real Structures'!B39&lt;&gt;0,'Real Structures'!B39, ""), "d-mmm-yy")</f>
        <v/>
      </c>
      <c r="B33" s="19" t="str">
        <f>IF(ISNUMBER('Real Structures'!C39),'Real Structures'!C39, "")</f>
        <v/>
      </c>
      <c r="C33" s="19" t="str">
        <f>IF(ISNUMBER('Real Structures'!D39),'Real Structures'!D39, "")</f>
        <v/>
      </c>
    </row>
    <row r="34" spans="1:3">
      <c r="A34" s="19" t="str">
        <f>TEXT(IF('Real Structures'!B40&lt;&gt;0,'Real Structures'!B40, ""), "d-mmm-yy")</f>
        <v/>
      </c>
      <c r="B34" s="19" t="str">
        <f>IF(ISNUMBER('Real Structures'!C40),'Real Structures'!C40, "")</f>
        <v/>
      </c>
      <c r="C34" s="19" t="str">
        <f>IF(ISNUMBER('Real Structures'!D40),'Real Structures'!D40, "")</f>
        <v/>
      </c>
    </row>
    <row r="35" spans="1:3">
      <c r="A35" s="19" t="str">
        <f>TEXT(IF('Real Structures'!B41&lt;&gt;0,'Real Structures'!B41, ""), "d-mmm-yy")</f>
        <v/>
      </c>
      <c r="B35" s="19" t="str">
        <f>IF(ISNUMBER('Real Structures'!C41),'Real Structures'!C41, "")</f>
        <v/>
      </c>
      <c r="C35" s="19" t="str">
        <f>IF(ISNUMBER('Real Structures'!D41),'Real Structures'!D41, "")</f>
        <v/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9"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318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0.027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0.033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0.055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/>
      </c>
      <c r="B50" s="19" t="str">
        <f>IF(ISNUMBER('State and Local Taxes'!I63),TEXT('State and Local Taxes'!I63, "0.000"), "")</f>
        <v/>
      </c>
      <c r="C50" s="19" t="str">
        <f>IF(ISNUMBER('State and Local Taxes'!J63),'State and Local Taxes'!J63, "")</f>
        <v/>
      </c>
    </row>
    <row r="51" spans="1:3">
      <c r="A51" s="19" t="str">
        <f>TEXT(IF('State and Local Taxes'!B64&lt;&gt;0,DATE(YEAR('State and Local Taxes'!B64), MONTH('State and Local Taxes'!B64)-2, 1), ""), "mm/dd/yyyy")</f>
        <v/>
      </c>
      <c r="B51" s="19" t="str">
        <f>IF(ISNUMBER('State and Local Taxes'!I64),TEXT('State and Local Taxes'!I64, "0.000"), "")</f>
        <v/>
      </c>
      <c r="C51" s="19" t="str">
        <f>IF(ISNUMBER('State and Local Taxes'!J64),'State and Local Taxes'!J64, "")</f>
        <v/>
      </c>
    </row>
    <row r="52" spans="1:3">
      <c r="A52" s="19" t="str">
        <f>TEXT(IF('State and Local Taxes'!B65&lt;&gt;0,DATE(YEAR('State and Local Taxes'!B65), MONTH('State and Local Taxes'!B65)-2, 1), ""), "mm/dd/yyyy")</f>
        <v/>
      </c>
      <c r="B52" s="19" t="str">
        <f>IF(ISNUMBER('State and Local Taxes'!I65),TEXT('State and Local Taxes'!I65, "0.000"), "")</f>
        <v/>
      </c>
      <c r="C52" s="19" t="str">
        <f>IF(ISNUMBER('State and Local Taxes'!J65),'State and Local Taxes'!J65, "")</f>
        <v/>
      </c>
    </row>
    <row r="53" spans="1:3">
      <c r="A53" s="19" t="str">
        <f>TEXT(IF('State and Local Taxes'!B66&lt;&gt;0,DATE(YEAR('State and Local Taxes'!B66), MONTH('State and Local Taxes'!B66)-2, 1), ""), "mm/dd/yyyy")</f>
        <v/>
      </c>
      <c r="B53" s="19" t="str">
        <f>IF(ISNUMBER('State and Local Taxes'!I66),TEXT('State and Local Taxes'!I66, "0.000"), "")</f>
        <v/>
      </c>
      <c r="C53" s="19" t="str">
        <f>IF(ISNUMBER('State and Local Taxes'!J66),'State and Local Taxes'!J66, "")</f>
        <v/>
      </c>
    </row>
    <row r="54" spans="1:3">
      <c r="A54" s="19" t="str">
        <f>TEXT(IF('State and Local Taxes'!B67&lt;&gt;0,DATE(YEAR('State and Local Taxes'!B67), MONTH('State and Local Taxes'!B67)-2, 1), ""), "mm/dd/yyyy")</f>
        <v/>
      </c>
      <c r="B54" s="19" t="str">
        <f>IF(ISNUMBER('State and Local Taxes'!I67),TEXT('State and Local Taxes'!I67, "0.000"), "")</f>
        <v/>
      </c>
      <c r="C54" s="19" t="str">
        <f>IF(ISNUMBER('State and Local Taxes'!J67),'State and Local Taxes'!J67, "")</f>
        <v/>
      </c>
    </row>
    <row r="55" spans="1:3">
      <c r="A55" s="19" t="str">
        <f>TEXT(IF('State and Local Taxes'!B68&lt;&gt;0,DATE(YEAR('State and Local Taxes'!B68), MONTH('State and Local Taxes'!B68)-2, 1), ""), "mm/dd/yyyy")</f>
        <v/>
      </c>
      <c r="B55" s="19" t="str">
        <f>IF(ISNUMBER('State and Local Taxes'!I68),TEXT('State and Local Taxes'!I68, "0.000"), "")</f>
        <v/>
      </c>
      <c r="C55" s="19" t="str">
        <f>IF(ISNUMBER('State and Local Taxes'!J68),'State and Local Taxes'!J68, "")</f>
        <v/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318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16.82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20.94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17.58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20.40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18.25</v>
      </c>
      <c r="C40" s="19" t="str">
        <f ca="1">IFERROR(IF(ISNUMBER('Revenues &amp; Outlays in GDP'!C46),TEXT('Revenues &amp; Outlays in GDP'!C46, "0.00"),""), "")</f>
        <v>18.20</v>
      </c>
      <c r="D40" s="19" t="str">
        <f>IFERROR(IF(ISNUMBER('Revenues &amp; Outlays in GDP'!H46),TEXT('Revenues &amp; Outlays in GDP'!H46, "0.00"),""), "")</f>
        <v>20.71</v>
      </c>
      <c r="E40" s="19" t="str">
        <f ca="1">IFERROR(IF(ISNUMBER('Revenues &amp; Outlays in GDP'!D46),TEXT('Revenues &amp; Outlays in GDP'!D46, "0.00"),""), "")</f>
        <v>20.70</v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/>
      </c>
      <c r="C41" s="19" t="str">
        <f ca="1">IFERROR(IF(ISNUMBER('Revenues &amp; Outlays in GDP'!C47),TEXT('Revenues &amp; Outlays in GDP'!C47, "0.00"),""), "")</f>
        <v>18.20</v>
      </c>
      <c r="D41" s="19" t="str">
        <f>IFERROR(IF(ISNUMBER('Revenues &amp; Outlays in GDP'!H47),TEXT('Revenues &amp; Outlays in GDP'!H47, "0.00"),""), "")</f>
        <v/>
      </c>
      <c r="E41" s="19" t="str">
        <f ca="1">IFERROR(IF(ISNUMBER('Revenues &amp; Outlays in GDP'!D47),TEXT('Revenues &amp; Outlays in GDP'!D47, "0.00"),""), "")</f>
        <v>21.10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18.20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21.00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18.10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20.80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18.00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21.40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18.10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21.80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18.10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22.00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18.10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22.50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18.10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22.50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18.10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22.40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18.20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22.80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18.20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23.10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318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-4.12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-2.82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-2.46</v>
      </c>
      <c r="C40" s="13" t="str">
        <f ca="1">IFERROR(IF(ISNUMBER('Deficit to GDP'!F45),TEXT('Deficit to GDP'!F45,"0.00"), ""), "")</f>
        <v>-2.50</v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-2.90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-2.80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-2.70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-3.40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-3.70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-3.90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-4.40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-4.40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-4.30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-4.60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-4.90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318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74.40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73.60</v>
      </c>
      <c r="C40" s="19" t="str">
        <f ca="1">IFERROR(IF(ISNUMBER('Debt to GDP Ratio'!E44),TEXT('Debt to GDP Ratio'!E44,"0.00"), ""), "")</f>
        <v>73.60</v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75.40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75.50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75.40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76.20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77.20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78.30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79.80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81.20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82.40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83.90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85.60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318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5.16</v>
      </c>
      <c r="G40" s="19" t="str">
        <f>IFERROR(IF(ISNUMBER('Spending by Category'!H46),TEXT('Spending by Category'!H46,"0.00"), ""), "")</f>
        <v>4.90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9.55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5.25</v>
      </c>
      <c r="G41" s="19" t="str">
        <f>IFERROR(IF(ISNUMBER('Spending by Category'!H47),TEXT('Spending by Category'!H47,"0.00"), ""), "")</f>
        <v>4.92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8.91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>5.52</v>
      </c>
      <c r="C42" s="19" t="str">
        <f>IFERROR(IF(ISNUMBER('Spending by Category'!D48),TEXT('Spending by Category'!D48,"0.00"), ""), "")</f>
        <v>4.95</v>
      </c>
      <c r="D42" s="19" t="str">
        <f>IFERROR(IF(ISNUMBER('Spending by Category'!E48),TEXT('Spending by Category'!E48,"0.00"), ""), "")</f>
        <v>1.25</v>
      </c>
      <c r="E42" s="19" t="str">
        <f>IFERROR(IF(ISNUMBER('Spending by Category'!F48),TEXT('Spending by Category'!F48,"0.00"), ""), "")</f>
        <v>8.98</v>
      </c>
      <c r="F42" s="19" t="str">
        <f>IFERROR(IF(ISNUMBER('Spending by Category'!G48),TEXT('Spending by Category'!G48,"0.00"), ""), "")</f>
        <v>5.52</v>
      </c>
      <c r="G42" s="19" t="str">
        <f>IFERROR(IF(ISNUMBER('Spending by Category'!H48),TEXT('Spending by Category'!H48,"0.00"), ""), "")</f>
        <v>4.95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8.98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>5.40</v>
      </c>
      <c r="C43" s="19" t="str">
        <f>IFERROR(IF(ISNUMBER('Spending by Category'!D49),TEXT('Spending by Category'!D49,"0.00"), ""), "")</f>
        <v>4.90</v>
      </c>
      <c r="D43" s="19" t="str">
        <f>IFERROR(IF(ISNUMBER('Spending by Category'!E49),TEXT('Spending by Category'!E49,"0.00"), ""), "")</f>
        <v>1.50</v>
      </c>
      <c r="E43" s="19" t="str">
        <f>IFERROR(IF(ISNUMBER('Spending by Category'!F49),TEXT('Spending by Category'!F49,"0.00"), ""), "")</f>
        <v>9.20</v>
      </c>
      <c r="F43" s="19" t="str">
        <f>IFERROR(IF(ISNUMBER('Spending by Category'!G49),TEXT('Spending by Category'!G49,"0.00"), ""), "")</f>
        <v/>
      </c>
      <c r="G43" s="19" t="str">
        <f>IFERROR(IF(ISNUMBER('Spending by Category'!H49),TEXT('Spending by Category'!H49,"0.00"), ""), "")</f>
        <v/>
      </c>
      <c r="H43" s="19" t="str">
        <f>IFERROR(IF(ISNUMBER('Spending by Category'!I49),TEXT('Spending by Category'!I49,"0.00"), ""), "")</f>
        <v/>
      </c>
      <c r="I43" s="19" t="str">
        <f>IFERROR(IF(ISNUMBER('Spending by Category'!J49),TEXT('Spending by Category'!J49,"0.00"), ""), "")</f>
        <v/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5.30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1.70</v>
      </c>
      <c r="E44" s="19" t="str">
        <f>IFERROR(IF(ISNUMBER('Spending by Category'!F50),TEXT('Spending by Category'!F50,"0.00"), ""), "")</f>
        <v>8.80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5.20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2.00</v>
      </c>
      <c r="E45" s="19" t="str">
        <f>IFERROR(IF(ISNUMBER('Spending by Category'!F51),TEXT('Spending by Category'!F51,"0.00"), ""), "")</f>
        <v>8.40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5.40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2.20</v>
      </c>
      <c r="E46" s="19" t="str">
        <f>IFERROR(IF(ISNUMBER('Spending by Category'!F52),TEXT('Spending by Category'!F52,"0.00"), ""), "")</f>
        <v>8.20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5.50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2.40</v>
      </c>
      <c r="E47" s="19" t="str">
        <f>IFERROR(IF(ISNUMBER('Spending by Category'!F53),TEXT('Spending by Category'!F53,"0.00"), ""), "")</f>
        <v>8.10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5.60</v>
      </c>
      <c r="C48" s="19" t="str">
        <f>IFERROR(IF(ISNUMBER('Spending by Category'!D54),TEXT('Spending by Category'!D54,"0.00"), ""), "")</f>
        <v>5.30</v>
      </c>
      <c r="D48" s="19" t="str">
        <f>IFERROR(IF(ISNUMBER('Spending by Category'!E54),TEXT('Spending by Category'!E54,"0.00"), ""), "")</f>
        <v>2.60</v>
      </c>
      <c r="E48" s="19" t="str">
        <f>IFERROR(IF(ISNUMBER('Spending by Category'!F54),TEXT('Spending by Category'!F54,"0.00"), ""), "")</f>
        <v>7.90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5.90</v>
      </c>
      <c r="C49" s="19" t="str">
        <f>IFERROR(IF(ISNUMBER('Spending by Category'!D55),TEXT('Spending by Category'!D55,"0.00"), ""), "")</f>
        <v>5.40</v>
      </c>
      <c r="D49" s="19" t="str">
        <f>IFERROR(IF(ISNUMBER('Spending by Category'!E55),TEXT('Spending by Category'!E55,"0.00"), ""), "")</f>
        <v>2.70</v>
      </c>
      <c r="E49" s="19" t="str">
        <f>IFERROR(IF(ISNUMBER('Spending by Category'!F55),TEXT('Spending by Category'!F55,"0.00"), ""), "")</f>
        <v>7.90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5.90</v>
      </c>
      <c r="C50" s="19" t="str">
        <f>IFERROR(IF(ISNUMBER('Spending by Category'!D56),TEXT('Spending by Category'!D56,"0.00"), ""), "")</f>
        <v>5.50</v>
      </c>
      <c r="D50" s="19" t="str">
        <f>IFERROR(IF(ISNUMBER('Spending by Category'!E56),TEXT('Spending by Category'!E56,"0.00"), ""), "")</f>
        <v>2.80</v>
      </c>
      <c r="E50" s="19" t="str">
        <f>IFERROR(IF(ISNUMBER('Spending by Category'!F56),TEXT('Spending by Category'!F56,"0.00"), ""), "")</f>
        <v>7.60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5.80</v>
      </c>
      <c r="C51" s="19" t="str">
        <f>IFERROR(IF(ISNUMBER('Spending by Category'!D57),TEXT('Spending by Category'!D57,"0.00"), ""), "")</f>
        <v>5.60</v>
      </c>
      <c r="D51" s="19" t="str">
        <f>IFERROR(IF(ISNUMBER('Spending by Category'!E57),TEXT('Spending by Category'!E57,"0.00"), ""), "")</f>
        <v>2.90</v>
      </c>
      <c r="E51" s="19" t="str">
        <f>IFERROR(IF(ISNUMBER('Spending by Category'!F57),TEXT('Spending by Category'!F57,"0.00"), ""), "")</f>
        <v>7.40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6.10</v>
      </c>
      <c r="C52" s="19" t="str">
        <f>IFERROR(IF(ISNUMBER('Spending by Category'!D58),TEXT('Spending by Category'!D58,"0.00"), ""), "")</f>
        <v>5.70</v>
      </c>
      <c r="D52" s="19" t="str">
        <f>IFERROR(IF(ISNUMBER('Spending by Category'!E58),TEXT('Spending by Category'!E58,"0.00"), ""), "")</f>
        <v>3.00</v>
      </c>
      <c r="E52" s="19" t="str">
        <f>IFERROR(IF(ISNUMBER('Spending by Category'!F58),TEXT('Spending by Category'!F58,"0.00"), ""), "")</f>
        <v>7.40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6.20</v>
      </c>
      <c r="C53" s="19" t="str">
        <f>IFERROR(IF(ISNUMBER('Spending by Category'!D59),TEXT('Spending by Category'!D59,"0.00"), ""), "")</f>
        <v>5.80</v>
      </c>
      <c r="D53" s="19" t="str">
        <f>IFERROR(IF(ISNUMBER('Spending by Category'!E59),TEXT('Spending by Category'!E59,"0.00"), ""), "")</f>
        <v>3.10</v>
      </c>
      <c r="E53" s="19" t="str">
        <f>IFERROR(IF(ISNUMBER('Spending by Category'!F59),TEXT('Spending by Category'!F59,"0.00"), ""), "")</f>
        <v>7.30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6.30</v>
      </c>
      <c r="C54" s="19" t="str">
        <f>IFERROR(IF(ISNUMBER('Spending by Category'!D60),TEXT('Spending by Category'!D60,"0.00"), ""), "")</f>
        <v>5.90</v>
      </c>
      <c r="D54" s="19" t="str">
        <f>IFERROR(IF(ISNUMBER('Spending by Category'!E60),TEXT('Spending by Category'!E60,"0.00"), ""), "")</f>
        <v>3.20</v>
      </c>
      <c r="E54" s="19" t="str">
        <f>IFERROR(IF(ISNUMBER('Spending by Category'!F60),TEXT('Spending by Category'!F60,"0.00"), ""), "")</f>
        <v>7.30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6.40</v>
      </c>
      <c r="C55" s="19" t="str">
        <f>IFERROR(IF(ISNUMBER('Spending by Category'!D61),TEXT('Spending by Category'!D61,"0.00"), ""), "")</f>
        <v>5.90</v>
      </c>
      <c r="D55" s="19" t="str">
        <f>IFERROR(IF(ISNUMBER('Spending by Category'!E61),TEXT('Spending by Category'!E61,"0.00"), ""), "")</f>
        <v>3.30</v>
      </c>
      <c r="E55" s="19" t="str">
        <f>IFERROR(IF(ISNUMBER('Spending by Category'!F61),TEXT('Spending by Category'!F61,"0.00"), ""), "")</f>
        <v>7.30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6.60</v>
      </c>
      <c r="C56" s="19" t="str">
        <f>IFERROR(IF(ISNUMBER('Spending by Category'!D62),TEXT('Spending by Category'!D62,"0.00"), ""), "")</f>
        <v>6.00</v>
      </c>
      <c r="D56" s="19" t="str">
        <f>IFERROR(IF(ISNUMBER('Spending by Category'!E62),TEXT('Spending by Category'!E62,"0.00"), ""), "")</f>
        <v>3.40</v>
      </c>
      <c r="E56" s="19" t="str">
        <f>IFERROR(IF(ISNUMBER('Spending by Category'!F62),TEXT('Spending by Category'!F62,"0.00"), ""), "")</f>
        <v>7.20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6.80</v>
      </c>
      <c r="C57" s="19" t="str">
        <f>IFERROR(IF(ISNUMBER('Spending by Category'!D63),TEXT('Spending by Category'!D63,"0.00"), ""), "")</f>
        <v>6.10</v>
      </c>
      <c r="D57" s="19" t="str">
        <f>IFERROR(IF(ISNUMBER('Spending by Category'!E63),TEXT('Spending by Category'!E63,"0.00"), ""), "")</f>
        <v>3.50</v>
      </c>
      <c r="E57" s="19" t="str">
        <f>IFERROR(IF(ISNUMBER('Spending by Category'!F63),TEXT('Spending by Category'!F63,"0.00"), ""), "")</f>
        <v>7.20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6.90</v>
      </c>
      <c r="C58" s="19" t="str">
        <f>IFERROR(IF(ISNUMBER('Spending by Category'!D64),TEXT('Spending by Category'!D64,"0.00"), ""), "")</f>
        <v>6.10</v>
      </c>
      <c r="D58" s="19" t="str">
        <f>IFERROR(IF(ISNUMBER('Spending by Category'!E64),TEXT('Spending by Category'!E64,"0.00"), ""), "")</f>
        <v>3.60</v>
      </c>
      <c r="E58" s="19" t="str">
        <f>IFERROR(IF(ISNUMBER('Spending by Category'!F64),TEXT('Spending by Category'!F64,"0.00"), ""), "")</f>
        <v>7.20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7.00</v>
      </c>
      <c r="C59" s="19" t="str">
        <f>IFERROR(IF(ISNUMBER('Spending by Category'!D65),TEXT('Spending by Category'!D65,"0.00"), ""), "")</f>
        <v>6.20</v>
      </c>
      <c r="D59" s="19" t="str">
        <f>IFERROR(IF(ISNUMBER('Spending by Category'!E65),TEXT('Spending by Category'!E65,"0.00"), ""), "")</f>
        <v>3.70</v>
      </c>
      <c r="E59" s="19" t="str">
        <f>IFERROR(IF(ISNUMBER('Spending by Category'!F65),TEXT('Spending by Category'!F65,"0.00"), ""), "")</f>
        <v>7.10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7.20</v>
      </c>
      <c r="C60" s="19" t="str">
        <f>IFERROR(IF(ISNUMBER('Spending by Category'!D66),TEXT('Spending by Category'!D66,"0.00"), ""), "")</f>
        <v>6.20</v>
      </c>
      <c r="D60" s="19" t="str">
        <f>IFERROR(IF(ISNUMBER('Spending by Category'!E66),TEXT('Spending by Category'!E66,"0.00"), ""), "")</f>
        <v>3.70</v>
      </c>
      <c r="E60" s="19" t="str">
        <f>IFERROR(IF(ISNUMBER('Spending by Category'!F66),TEXT('Spending by Category'!F66,"0.00"), ""), "")</f>
        <v>7.10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7.30</v>
      </c>
      <c r="C61" s="19" t="str">
        <f>IFERROR(IF(ISNUMBER('Spending by Category'!D67),TEXT('Spending by Category'!D67,"0.00"), ""), "")</f>
        <v>6.20</v>
      </c>
      <c r="D61" s="19" t="str">
        <f>IFERROR(IF(ISNUMBER('Spending by Category'!E67),TEXT('Spending by Category'!E67,"0.00"), ""), "")</f>
        <v>3.80</v>
      </c>
      <c r="E61" s="19" t="str">
        <f>IFERROR(IF(ISNUMBER('Spending by Category'!F67),TEXT('Spending by Category'!F67,"0.00"), ""), "")</f>
        <v>7.10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7.40</v>
      </c>
      <c r="C62" s="19" t="str">
        <f>IFERROR(IF(ISNUMBER('Spending by Category'!D68),TEXT('Spending by Category'!D68,"0.00"), ""), "")</f>
        <v>6.30</v>
      </c>
      <c r="D62" s="19" t="str">
        <f>IFERROR(IF(ISNUMBER('Spending by Category'!E68),TEXT('Spending by Category'!E68,"0.00"), ""), "")</f>
        <v>3.90</v>
      </c>
      <c r="E62" s="19" t="str">
        <f>IFERROR(IF(ISNUMBER('Spending by Category'!F68),TEXT('Spending by Category'!F68,"0.00"), ""), "")</f>
        <v>7.00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621922A-81AD-43E6-9DC5-03C374222938}"/>
</file>

<file path=customXml/itemProps2.xml><?xml version="1.0" encoding="utf-8"?>
<ds:datastoreItem xmlns:ds="http://schemas.openxmlformats.org/officeDocument/2006/customXml" ds:itemID="{A7735B78-F245-4F94-BD3C-0068200C660E}"/>
</file>

<file path=customXml/itemProps3.xml><?xml version="1.0" encoding="utf-8"?>
<ds:datastoreItem xmlns:ds="http://schemas.openxmlformats.org/officeDocument/2006/customXml" ds:itemID="{F71126C4-3D4B-4CAE-87EC-00BE6A114F5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Brendan Mochoruk</cp:lastModifiedBy>
  <cp:lastPrinted>2016-04-28T14:53:41Z</cp:lastPrinted>
  <dcterms:created xsi:type="dcterms:W3CDTF">2014-07-22T13:55:17Z</dcterms:created>
  <dcterms:modified xsi:type="dcterms:W3CDTF">2016-04-28T14:57:28Z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