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3.xml" ContentType="application/vnd.openxmlformats-officedocument.drawingml.char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'Spending by Category'!$A$1:$M$6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Structures'!$J$2:$L$5</definedName>
    <definedName name="DLX2.USE">#REF!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F51" i="22"/>
  <c r="F47" i="22"/>
  <c r="F44" i="22"/>
  <c r="F43" i="22"/>
  <c r="F39" i="22"/>
  <c r="F36" i="22"/>
  <c r="F35" i="22"/>
  <c r="F31" i="22"/>
  <c r="F28" i="22"/>
  <c r="F27" i="22"/>
  <c r="F23" i="22"/>
  <c r="F20" i="22"/>
  <c r="F19" i="22"/>
  <c r="F15" i="22"/>
  <c r="F12" i="22"/>
  <c r="F11" i="22"/>
  <c r="F7" i="22"/>
  <c r="F5" i="22"/>
  <c r="F4" i="22"/>
  <c r="F3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49" i="39"/>
  <c r="D48" i="39"/>
  <c r="D47" i="39"/>
  <c r="D41" i="39"/>
  <c r="D40" i="39"/>
  <c r="D39" i="39"/>
  <c r="D33" i="39"/>
  <c r="D32" i="39"/>
  <c r="D31" i="39"/>
  <c r="D25" i="39"/>
  <c r="D24" i="39"/>
  <c r="D23" i="39"/>
  <c r="D17" i="39"/>
  <c r="D16" i="39"/>
  <c r="D15" i="39"/>
  <c r="D9" i="39"/>
  <c r="D8" i="39"/>
  <c r="D7" i="39"/>
  <c r="H57" i="8"/>
  <c r="H56" i="8"/>
  <c r="F50" i="22" s="1"/>
  <c r="H55" i="8"/>
  <c r="F49" i="22" s="1"/>
  <c r="H54" i="8"/>
  <c r="F48" i="22" s="1"/>
  <c r="H53" i="8"/>
  <c r="H52" i="8"/>
  <c r="F46" i="22" s="1"/>
  <c r="H51" i="8"/>
  <c r="F45" i="22" s="1"/>
  <c r="H50" i="8"/>
  <c r="H49" i="8"/>
  <c r="H48" i="8"/>
  <c r="F42" i="22" s="1"/>
  <c r="H47" i="8"/>
  <c r="F41" i="22" s="1"/>
  <c r="H46" i="8"/>
  <c r="F40" i="22" s="1"/>
  <c r="H45" i="8"/>
  <c r="H44" i="8"/>
  <c r="F38" i="22" s="1"/>
  <c r="H43" i="8"/>
  <c r="F37" i="22" s="1"/>
  <c r="H42" i="8"/>
  <c r="H41" i="8"/>
  <c r="H40" i="8"/>
  <c r="F34" i="22" s="1"/>
  <c r="H39" i="8"/>
  <c r="F33" i="22" s="1"/>
  <c r="H38" i="8"/>
  <c r="F32" i="22" s="1"/>
  <c r="H37" i="8"/>
  <c r="H36" i="8"/>
  <c r="F30" i="22" s="1"/>
  <c r="H35" i="8"/>
  <c r="F29" i="22" s="1"/>
  <c r="H34" i="8"/>
  <c r="H33" i="8"/>
  <c r="H32" i="8"/>
  <c r="F26" i="22" s="1"/>
  <c r="H31" i="8"/>
  <c r="F25" i="22" s="1"/>
  <c r="H30" i="8"/>
  <c r="F24" i="22" s="1"/>
  <c r="H29" i="8"/>
  <c r="H28" i="8"/>
  <c r="F22" i="22" s="1"/>
  <c r="H27" i="8"/>
  <c r="F21" i="22" s="1"/>
  <c r="H26" i="8"/>
  <c r="H25" i="8"/>
  <c r="H24" i="8"/>
  <c r="F18" i="22" s="1"/>
  <c r="H23" i="8"/>
  <c r="F17" i="22" s="1"/>
  <c r="H22" i="8"/>
  <c r="F16" i="22" s="1"/>
  <c r="H21" i="8"/>
  <c r="H20" i="8"/>
  <c r="F14" i="22" s="1"/>
  <c r="H19" i="8"/>
  <c r="F13" i="22" s="1"/>
  <c r="H18" i="8"/>
  <c r="H17" i="8"/>
  <c r="H16" i="8"/>
  <c r="F10" i="22" s="1"/>
  <c r="H15" i="8"/>
  <c r="F9" i="22" s="1"/>
  <c r="H14" i="8"/>
  <c r="F8" i="22" s="1"/>
  <c r="H13" i="8"/>
  <c r="H12" i="8"/>
  <c r="F6" i="22" s="1"/>
  <c r="H11" i="8"/>
  <c r="H10" i="8"/>
  <c r="H9" i="8"/>
  <c r="H8" i="8"/>
  <c r="F2" i="22" s="1"/>
  <c r="L68" i="11"/>
  <c r="J62" i="25" s="1"/>
  <c r="L67" i="11"/>
  <c r="J61" i="25" s="1"/>
  <c r="L66" i="11"/>
  <c r="J60" i="25" s="1"/>
  <c r="L65" i="11"/>
  <c r="J59" i="25" s="1"/>
  <c r="L64" i="11"/>
  <c r="J58" i="25" s="1"/>
  <c r="L63" i="11"/>
  <c r="J57" i="25" s="1"/>
  <c r="L62" i="11"/>
  <c r="J56" i="25" s="1"/>
  <c r="L61" i="11"/>
  <c r="J55" i="25" s="1"/>
  <c r="L60" i="11"/>
  <c r="J54" i="25" s="1"/>
  <c r="L59" i="11"/>
  <c r="J53" i="25" s="1"/>
  <c r="L58" i="11"/>
  <c r="J52" i="25" s="1"/>
  <c r="L57" i="11"/>
  <c r="J51" i="25" s="1"/>
  <c r="L56" i="11"/>
  <c r="J50" i="25" s="1"/>
  <c r="L55" i="11"/>
  <c r="J49" i="25" s="1"/>
  <c r="L54" i="11"/>
  <c r="J48" i="25" s="1"/>
  <c r="L53" i="11"/>
  <c r="J47" i="25" s="1"/>
  <c r="L52" i="11"/>
  <c r="J46" i="25" s="1"/>
  <c r="L51" i="11"/>
  <c r="J45" i="25" s="1"/>
  <c r="L50" i="11"/>
  <c r="J44" i="25" s="1"/>
  <c r="L49" i="11"/>
  <c r="J43" i="25" s="1"/>
  <c r="L48" i="11"/>
  <c r="J42" i="25" s="1"/>
  <c r="L47" i="11"/>
  <c r="J41" i="25" s="1"/>
  <c r="L46" i="11"/>
  <c r="J40" i="25" s="1"/>
  <c r="L45" i="11"/>
  <c r="J39" i="25" s="1"/>
  <c r="L44" i="11"/>
  <c r="J38" i="25" s="1"/>
  <c r="L43" i="11"/>
  <c r="J37" i="25" s="1"/>
  <c r="L42" i="11"/>
  <c r="J36" i="25" s="1"/>
  <c r="L41" i="11"/>
  <c r="J35" i="25" s="1"/>
  <c r="L40" i="11"/>
  <c r="J34" i="25" s="1"/>
  <c r="L39" i="11"/>
  <c r="J33" i="25" s="1"/>
  <c r="L38" i="11"/>
  <c r="J32" i="25" s="1"/>
  <c r="L37" i="11"/>
  <c r="J31" i="25" s="1"/>
  <c r="L36" i="11"/>
  <c r="J30" i="25" s="1"/>
  <c r="L35" i="11"/>
  <c r="J29" i="25" s="1"/>
  <c r="L34" i="11"/>
  <c r="J28" i="25" s="1"/>
  <c r="L33" i="11"/>
  <c r="J27" i="25" s="1"/>
  <c r="L32" i="11"/>
  <c r="J26" i="25" s="1"/>
  <c r="L31" i="11"/>
  <c r="J25" i="25" s="1"/>
  <c r="L30" i="11"/>
  <c r="J24" i="25" s="1"/>
  <c r="L29" i="11"/>
  <c r="J23" i="25" s="1"/>
  <c r="L28" i="11"/>
  <c r="J22" i="25" s="1"/>
  <c r="L27" i="11"/>
  <c r="J21" i="25" s="1"/>
  <c r="L26" i="11"/>
  <c r="J20" i="25" s="1"/>
  <c r="L25" i="11"/>
  <c r="J19" i="25" s="1"/>
  <c r="L24" i="11"/>
  <c r="J18" i="25" s="1"/>
  <c r="L23" i="11"/>
  <c r="J17" i="25" s="1"/>
  <c r="L22" i="11"/>
  <c r="J16" i="25" s="1"/>
  <c r="L21" i="11"/>
  <c r="J15" i="25" s="1"/>
  <c r="L20" i="11"/>
  <c r="J14" i="25" s="1"/>
  <c r="L19" i="11"/>
  <c r="J13" i="25" s="1"/>
  <c r="L18" i="11"/>
  <c r="J12" i="25" s="1"/>
  <c r="L17" i="11"/>
  <c r="J11" i="25" s="1"/>
  <c r="L16" i="11"/>
  <c r="J10" i="25" s="1"/>
  <c r="L15" i="11"/>
  <c r="J9" i="25" s="1"/>
  <c r="L14" i="11"/>
  <c r="J8" i="25" s="1"/>
  <c r="L13" i="11"/>
  <c r="J7" i="25" s="1"/>
  <c r="L12" i="11"/>
  <c r="J6" i="25" s="1"/>
  <c r="L11" i="11"/>
  <c r="J5" i="25" s="1"/>
  <c r="L10" i="11"/>
  <c r="J4" i="25" s="1"/>
  <c r="L9" i="11"/>
  <c r="J3" i="25" s="1"/>
  <c r="L8" i="11"/>
  <c r="J2" i="25" s="1"/>
  <c r="L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H53" i="7"/>
  <c r="H52" i="7"/>
  <c r="H51" i="7"/>
  <c r="D46" i="39" s="1"/>
  <c r="H50" i="7"/>
  <c r="D45" i="39" s="1"/>
  <c r="H49" i="7"/>
  <c r="D44" i="39" s="1"/>
  <c r="H48" i="7"/>
  <c r="D43" i="39" s="1"/>
  <c r="H47" i="7"/>
  <c r="D42" i="39" s="1"/>
  <c r="H46" i="7"/>
  <c r="H45" i="7"/>
  <c r="H44" i="7"/>
  <c r="H43" i="7"/>
  <c r="D38" i="39" s="1"/>
  <c r="H42" i="7"/>
  <c r="D37" i="39" s="1"/>
  <c r="H41" i="7"/>
  <c r="D36" i="39" s="1"/>
  <c r="H40" i="7"/>
  <c r="D35" i="39" s="1"/>
  <c r="H39" i="7"/>
  <c r="D34" i="39" s="1"/>
  <c r="H38" i="7"/>
  <c r="H37" i="7"/>
  <c r="H36" i="7"/>
  <c r="H35" i="7"/>
  <c r="D30" i="39" s="1"/>
  <c r="H34" i="7"/>
  <c r="D29" i="39" s="1"/>
  <c r="H33" i="7"/>
  <c r="D28" i="39" s="1"/>
  <c r="H32" i="7"/>
  <c r="D27" i="39" s="1"/>
  <c r="H31" i="7"/>
  <c r="D26" i="39" s="1"/>
  <c r="H30" i="7"/>
  <c r="H29" i="7"/>
  <c r="H28" i="7"/>
  <c r="H27" i="7"/>
  <c r="D22" i="39" s="1"/>
  <c r="H26" i="7"/>
  <c r="D21" i="39" s="1"/>
  <c r="H25" i="7"/>
  <c r="D20" i="39" s="1"/>
  <c r="H24" i="7"/>
  <c r="D19" i="39" s="1"/>
  <c r="H23" i="7"/>
  <c r="D18" i="39" s="1"/>
  <c r="H22" i="7"/>
  <c r="H21" i="7"/>
  <c r="H20" i="7"/>
  <c r="H19" i="7"/>
  <c r="D14" i="39" s="1"/>
  <c r="H18" i="7"/>
  <c r="D13" i="39" s="1"/>
  <c r="H17" i="7"/>
  <c r="D12" i="39" s="1"/>
  <c r="H16" i="7"/>
  <c r="D11" i="39" s="1"/>
  <c r="H15" i="7"/>
  <c r="D10" i="39" s="1"/>
  <c r="H14" i="7"/>
  <c r="H13" i="7"/>
  <c r="H12" i="7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372" i="19" l="1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H15" i="4" s="1"/>
  <c r="A2" i="21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M82" i="3" s="1"/>
  <c r="C75" i="18" s="1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C76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B74" i="17" s="1"/>
  <c r="I80" i="3"/>
  <c r="A1" i="3"/>
  <c r="B4" i="18"/>
  <c r="J85" i="3"/>
  <c r="J101" i="3"/>
  <c r="J117" i="3"/>
  <c r="J133" i="3"/>
  <c r="J87" i="3"/>
  <c r="J95" i="3"/>
  <c r="J103" i="3"/>
  <c r="J111" i="3"/>
  <c r="J119" i="3"/>
  <c r="J127" i="3"/>
  <c r="M83" i="3"/>
  <c r="C76" i="18" s="1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A4" i="15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7" i="4" l="1"/>
  <c r="J81" i="3"/>
  <c r="C74" i="17" s="1"/>
  <c r="J79" i="3"/>
  <c r="C72" i="17" s="1"/>
  <c r="B74" i="18"/>
  <c r="J82" i="3"/>
  <c r="C75" i="17" s="1"/>
  <c r="J80" i="3"/>
  <c r="C73" i="17" s="1"/>
  <c r="M80" i="3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sharedStrings.xml><?xml version="1.0" encoding="utf-8"?>
<sst xmlns="http://schemas.openxmlformats.org/spreadsheetml/2006/main" count="705" uniqueCount="426">
  <si>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</si>
  <si>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</si>
  <si>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</si>
  <si>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</si>
  <si>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</si>
  <si>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</si>
  <si>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</si>
  <si>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</si>
  <si>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</si>
  <si>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</si>
  <si>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</si>
  <si>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</si>
  <si>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</si>
  <si>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</si>
  <si>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</si>
  <si>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</si>
  <si>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</si>
  <si>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</si>
  <si>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</si>
  <si>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</si>
  <si>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</si>
  <si>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</si>
  <si>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</si>
  <si>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</si>
  <si>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</si>
  <si>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</si>
  <si>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</si>
  <si>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</si>
  <si>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</si>
  <si>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</si>
  <si>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</si>
  <si>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</si>
  <si>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</si>
  <si>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</si>
  <si>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</si>
  <si>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</si>
  <si>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</si>
  <si>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</si>
  <si>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</si>
  <si>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</si>
  <si>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</si>
  <si>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</si>
  <si>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</si>
  <si>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</si>
  <si>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</si>
  <si>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</si>
  <si>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</si>
  <si>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</si>
  <si>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</si>
  <si>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</si>
  <si>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</si>
  <si>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</si>
  <si>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</si>
  <si>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</si>
  <si>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</si>
  <si>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</si>
  <si>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</si>
  <si>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</si>
  <si>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</si>
  <si>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</si>
  <si>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</si>
  <si>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</si>
  <si>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</si>
  <si>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</si>
  <si>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</si>
  <si>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</si>
  <si>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</si>
  <si>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</si>
  <si>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</si>
  <si>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</si>
  <si>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</si>
  <si>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</si>
  <si>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</si>
  <si>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</si>
  <si>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</si>
  <si>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</si>
  <si>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</si>
  <si>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</si>
  <si>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</si>
  <si>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</si>
  <si>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</si>
  <si>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</si>
  <si>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</si>
  <si>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</si>
  <si>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</si>
  <si>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</si>
  <si>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</si>
  <si>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</si>
  <si>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</si>
  <si>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</si>
  <si>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</si>
  <si>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</si>
  <si>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</si>
  <si>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</si>
  <si>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</si>
  <si>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</si>
  <si>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</si>
  <si>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</si>
  <si>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</si>
  <si>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</si>
  <si>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</si>
  <si>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</si>
  <si>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</si>
  <si>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</si>
  <si>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</si>
  <si>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</si>
  <si>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</si>
  <si>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</si>
  <si>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</si>
  <si>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</si>
  <si>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</si>
  <si>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</si>
  <si>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</si>
  <si>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</si>
  <si>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</si>
  <si>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</si>
  <si>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</si>
  <si>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</si>
  <si>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</si>
  <si>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</si>
  <si>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</si>
  <si>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</si>
  <si>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</si>
  <si>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</si>
  <si>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</si>
  <si>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</si>
  <si>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</si>
  <si>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</si>
  <si>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</si>
  <si>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</si>
  <si>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</si>
  <si>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</si>
  <si>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</si>
  <si>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</si>
  <si>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</si>
  <si>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</si>
  <si>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</si>
  <si>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</si>
  <si>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</si>
  <si>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</si>
  <si>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</si>
  <si>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</si>
  <si>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</si>
  <si>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</si>
  <si>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</si>
  <si>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</si>
  <si>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</si>
  <si>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</si>
  <si>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</si>
  <si>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</si>
  <si>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</si>
  <si>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</si>
  <si>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</si>
  <si>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</si>
  <si>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</si>
  <si>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</si>
  <si>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</si>
  <si>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</si>
  <si>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</si>
  <si>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</si>
  <si>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</si>
  <si>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</si>
  <si>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</si>
  <si>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</si>
  <si>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</si>
  <si>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</si>
  <si>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</si>
  <si>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</si>
  <si>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</si>
  <si>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</si>
  <si>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</si>
  <si>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</si>
  <si>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</si>
  <si>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</si>
  <si>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</si>
  <si>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</si>
  <si>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</si>
  <si>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</si>
  <si>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</si>
  <si>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</si>
  <si>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</si>
  <si>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</si>
  <si>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</si>
  <si>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</si>
  <si>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</si>
  <si>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</si>
  <si>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</si>
  <si>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</si>
  <si>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</si>
  <si>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</si>
  <si>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</si>
  <si>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</si>
  <si>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</si>
  <si>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</si>
  <si>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</si>
  <si>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</si>
  <si>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</si>
  <si>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</si>
  <si>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</si>
  <si>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</si>
  <si>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</si>
  <si>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</si>
  <si>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</si>
  <si>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</si>
  <si>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</si>
  <si>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</si>
  <si>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</si>
  <si>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</si>
  <si>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</si>
  <si>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</si>
  <si>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</si>
  <si>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</si>
  <si>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</si>
  <si>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</si>
  <si>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</si>
  <si>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</si>
  <si>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</si>
  <si>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</si>
  <si>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</si>
  <si>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</si>
  <si>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</si>
  <si>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</si>
  <si>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</si>
  <si>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</si>
  <si>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</si>
  <si>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</si>
  <si>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</si>
  <si>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</si>
  <si>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</si>
  <si>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</si>
  <si>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</si>
  <si>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</si>
  <si>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</si>
  <si>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</si>
  <si>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</si>
  <si>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</si>
  <si>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</si>
  <si>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</si>
  <si>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</si>
  <si>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</si>
  <si>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</si>
  <si>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</si>
  <si>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</si>
  <si>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</si>
  <si>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</si>
  <si>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</si>
  <si>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</si>
  <si>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</si>
  <si>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</si>
  <si>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</si>
  <si>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</si>
  <si>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</si>
  <si>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</si>
  <si>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</si>
  <si>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</si>
  <si>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</si>
  <si>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</si>
  <si>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</si>
  <si>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</si>
  <si>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</si>
  <si>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</si>
  <si>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</si>
  <si>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</si>
  <si>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</si>
  <si>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</si>
  <si>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</si>
  <si>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</si>
  <si>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</si>
  <si>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</si>
  <si>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</si>
  <si>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</si>
  <si>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</si>
  <si>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</si>
  <si>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</si>
  <si>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</si>
  <si>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</si>
  <si>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</si>
  <si>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</si>
  <si>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</si>
  <si>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</si>
  <si>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</si>
  <si>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</si>
  <si>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</si>
  <si>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</si>
  <si>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</si>
  <si>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</si>
  <si>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</si>
  <si>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</si>
  <si>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</si>
  <si>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</si>
  <si>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</si>
  <si>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</si>
  <si>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</si>
  <si>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</si>
  <si>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</si>
  <si>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</si>
  <si>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</si>
  <si>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</si>
  <si>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</si>
  <si>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</si>
  <si>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</si>
  <si>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</si>
  <si>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</si>
  <si>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</si>
  <si>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</si>
  <si>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</si>
  <si>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</si>
  <si>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</si>
  <si>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</si>
  <si>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</si>
  <si>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</si>
  <si>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</si>
  <si>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</si>
  <si>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</si>
  <si>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</si>
  <si>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</si>
  <si>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</si>
  <si>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</si>
  <si>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</si>
  <si>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</si>
  <si>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</si>
  <si>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</si>
  <si>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</si>
  <si>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</si>
  <si>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</si>
  <si>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</si>
  <si>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</si>
  <si>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</si>
  <si>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</si>
  <si>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</si>
  <si>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</si>
  <si>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</si>
  <si>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</si>
  <si>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</si>
  <si>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</si>
  <si>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</si>
  <si>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</si>
  <si>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</si>
  <si>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</si>
  <si>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</si>
  <si>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</si>
  <si>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</si>
  <si>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</si>
  <si>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</si>
  <si>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</si>
  <si>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</si>
  <si>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</si>
  <si>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</si>
  <si>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</si>
  <si>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</si>
  <si>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</si>
  <si>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</si>
  <si>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</si>
  <si>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</si>
  <si>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</si>
  <si>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</si>
  <si>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</si>
  <si>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</si>
  <si>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</si>
  <si>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</si>
  <si>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2. Go to the "Real Structures" tab and press "Update Fred Data"</t>
  </si>
  <si>
    <t>3. Update the data in CBO Monthly Calculations Final (manually enter)</t>
  </si>
  <si>
    <t>4. Click on the Run Button (Below) -- This Updates the Haver data and copies in the updated CBO data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</si>
  <si>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</si>
  <si>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</si>
  <si>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</si>
  <si>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</si>
  <si>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</si>
  <si>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</si>
  <si>
    <t>201410</t>
  </si>
  <si>
    <t>8.6</t>
  </si>
  <si>
    <t>6.8</t>
  </si>
  <si>
    <t>16.7</t>
  </si>
  <si>
    <t>1.4</t>
  </si>
  <si>
    <t>-4.9</t>
  </si>
  <si>
    <t>4.6</t>
  </si>
  <si>
    <t>2.8</t>
  </si>
  <si>
    <t>13.5</t>
  </si>
  <si>
    <t>-2.0</t>
  </si>
  <si>
    <t>US. Bureau of Economic Analysis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</si>
  <si>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</si>
  <si>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</si>
  <si>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</si>
  <si>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</si>
  <si>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</si>
  <si>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</si>
  <si>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</si>
  <si>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</si>
  <si>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</si>
  <si>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</si>
  <si>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</si>
  <si>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</si>
  <si>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</si>
  <si>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</si>
  <si>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</si>
  <si>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</si>
  <si>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</si>
  <si>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</si>
  <si>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</si>
  <si>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</si>
  <si>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</si>
  <si>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</si>
  <si>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</si>
  <si>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</si>
  <si>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</si>
  <si>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 xml:space="preserve">Oct-01-2014 08:35 </t>
  </si>
  <si>
    <t xml:space="preserve">Dec-01-2014 08:42 </t>
  </si>
  <si>
    <t xml:space="preserve">Dec-05-2014 08:31 </t>
  </si>
  <si>
    <t xml:space="preserve">Dec-05-2014 08:35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</si>
  <si>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</si>
  <si>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</si>
  <si>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</si>
  <si>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</si>
  <si>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</si>
  <si>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</si>
  <si>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</si>
  <si>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Q3-2014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</si>
  <si>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</si>
  <si>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</si>
  <si>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</si>
  <si>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</si>
  <si>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</si>
  <si>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</si>
  <si>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2014 [Q3-2014] </t>
  </si>
  <si>
    <t xml:space="preserve">1920 [Q1-1920] </t>
  </si>
  <si>
    <t>1. Go to View -&gt; Macros - &gt; GetData and run the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</si>
</sst>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22000</c:v>
                </c:pt>
                <c:pt idx="72">
                  <c:v>9000</c:v>
                </c:pt>
                <c:pt idx="73">
                  <c:v>2000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2904576"/>
        <c:axId val="11877516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9333.3333333333339</c:v>
                </c:pt>
                <c:pt idx="72">
                  <c:v>10333.333333333334</c:v>
                </c:pt>
                <c:pt idx="73">
                  <c:v>11000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04576"/>
        <c:axId val="118775168"/>
      </c:lineChart>
      <c:dateAx>
        <c:axId val="10290457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18775168"/>
        <c:crosses val="autoZero"/>
        <c:auto val="1"/>
        <c:lblOffset val="100"/>
        <c:baseTimeUnit val="months"/>
        <c:majorUnit val="1"/>
        <c:majorTimeUnit val="years"/>
      </c:dateAx>
      <c:valAx>
        <c:axId val="11877516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0290457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-1699.9999999998181</c:v>
                </c:pt>
                <c:pt idx="72">
                  <c:v>699.9999999998181</c:v>
                </c:pt>
                <c:pt idx="73">
                  <c:v>1100.0000000003638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6346240"/>
        <c:axId val="7066048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166.66666666666666</c:v>
                </c:pt>
                <c:pt idx="72" formatCode="0.00">
                  <c:v>333.33333333333331</c:v>
                </c:pt>
                <c:pt idx="73" formatCode="0.00">
                  <c:v>33.333333333454597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46240"/>
        <c:axId val="70660480"/>
      </c:lineChart>
      <c:dateAx>
        <c:axId val="1563462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70660480"/>
        <c:crosses val="autoZero"/>
        <c:auto val="1"/>
        <c:lblOffset val="100"/>
        <c:baseTimeUnit val="months"/>
        <c:majorUnit val="1"/>
        <c:majorTimeUnit val="years"/>
      </c:dateAx>
      <c:valAx>
        <c:axId val="70660480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634624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74304"/>
        <c:axId val="70675840"/>
      </c:lineChart>
      <c:dateAx>
        <c:axId val="706743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0675840"/>
        <c:crosses val="autoZero"/>
        <c:auto val="1"/>
        <c:lblOffset val="100"/>
        <c:baseTimeUnit val="months"/>
        <c:majorUnit val="1"/>
        <c:majorTimeUnit val="years"/>
      </c:dateAx>
      <c:valAx>
        <c:axId val="7067584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067430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90656"/>
        <c:axId val="102792192"/>
      </c:lineChart>
      <c:dateAx>
        <c:axId val="102790656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792192"/>
        <c:crossesAt val="0"/>
        <c:auto val="1"/>
        <c:lblOffset val="100"/>
        <c:baseTimeUnit val="months"/>
        <c:majorUnit val="1"/>
        <c:majorTimeUnit val="years"/>
      </c:dateAx>
      <c:valAx>
        <c:axId val="10279219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790656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10592"/>
        <c:axId val="102920576"/>
      </c:lineChart>
      <c:dateAx>
        <c:axId val="10291059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20576"/>
        <c:crosses val="autoZero"/>
        <c:auto val="1"/>
        <c:lblOffset val="100"/>
        <c:baseTimeUnit val="months"/>
        <c:majorUnit val="10"/>
        <c:majorTimeUnit val="years"/>
      </c:dateAx>
      <c:valAx>
        <c:axId val="102920576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10592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37344"/>
        <c:axId val="102938880"/>
      </c:lineChart>
      <c:dateAx>
        <c:axId val="1029373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38880"/>
        <c:crosses val="autoZero"/>
        <c:auto val="1"/>
        <c:lblOffset val="100"/>
        <c:baseTimeUnit val="months"/>
        <c:majorUnit val="5"/>
        <c:majorTimeUnit val="years"/>
      </c:dateAx>
      <c:valAx>
        <c:axId val="102938880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3734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[1]Deficit!$F$7:$F$56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09216"/>
        <c:axId val="104810752"/>
      </c:lineChart>
      <c:dateAx>
        <c:axId val="1048092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10752"/>
        <c:crossesAt val="0"/>
        <c:auto val="1"/>
        <c:lblOffset val="100"/>
        <c:baseTimeUnit val="months"/>
        <c:majorUnit val="5"/>
        <c:majorTimeUnit val="years"/>
      </c:dateAx>
      <c:valAx>
        <c:axId val="10481075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09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48768"/>
        <c:axId val="113120384"/>
      </c:lineChart>
      <c:dateAx>
        <c:axId val="1048487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13120384"/>
        <c:crosses val="autoZero"/>
        <c:auto val="1"/>
        <c:lblOffset val="100"/>
        <c:baseTimeUnit val="months"/>
        <c:majorUnit val="5"/>
        <c:majorTimeUnit val="years"/>
      </c:dateAx>
      <c:valAx>
        <c:axId val="11312038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48768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RecessM2@USECON" TargetMode="External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research.stlouisfed.org/fred2/series/A842RX1Q020SBE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tabSelected="1" zoomScaleNormal="100" workbookViewId="0">
      <selection activeCell="F6" sqref="F6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261</v>
      </c>
    </row>
    <row r="2" spans="1:2">
      <c r="A2" s="25" t="s">
        <v>425</v>
      </c>
    </row>
    <row r="3" spans="1:2">
      <c r="A3" s="25" t="s">
        <v>360</v>
      </c>
    </row>
    <row r="4" spans="1:2">
      <c r="A4" s="25" t="s">
        <v>361</v>
      </c>
    </row>
    <row r="5" spans="1:2">
      <c r="A5" s="25" t="s">
        <v>362</v>
      </c>
    </row>
    <row r="6" spans="1:2">
      <c r="A6" s="25" t="s">
        <v>363</v>
      </c>
    </row>
    <row r="7" spans="1:2">
      <c r="A7" s="25" t="s">
        <v>364</v>
      </c>
    </row>
    <row r="8" spans="1:2">
      <c r="A8" s="25" t="s">
        <v>365</v>
      </c>
    </row>
    <row r="9" spans="1:2">
      <c r="A9" s="25" t="s">
        <v>366</v>
      </c>
    </row>
    <row r="10" spans="1:2">
      <c r="A10" s="25" t="s">
        <v>367</v>
      </c>
    </row>
    <row r="16" spans="1:2">
      <c r="B16" s="65" t="s">
        <v>262</v>
      </c>
    </row>
    <row r="17" spans="1:3">
      <c r="B17" s="25" t="s">
        <v>267</v>
      </c>
      <c r="C17" s="25" t="s">
        <v>268</v>
      </c>
    </row>
    <row r="18" spans="1:3">
      <c r="B18" s="25" t="s">
        <v>269</v>
      </c>
      <c r="C18" s="25" t="s">
        <v>270</v>
      </c>
    </row>
    <row r="19" spans="1:3">
      <c r="B19" s="25" t="s">
        <v>271</v>
      </c>
      <c r="C19" s="25" t="s">
        <v>272</v>
      </c>
    </row>
    <row r="20" spans="1:3">
      <c r="B20" s="25" t="s">
        <v>273</v>
      </c>
      <c r="C20" s="25" t="s">
        <v>280</v>
      </c>
    </row>
    <row r="21" spans="1:3">
      <c r="B21" s="25" t="s">
        <v>274</v>
      </c>
      <c r="C21" s="25" t="s">
        <v>186</v>
      </c>
    </row>
    <row r="22" spans="1:3">
      <c r="B22" s="25" t="s">
        <v>275</v>
      </c>
      <c r="C22" s="25" t="s">
        <v>281</v>
      </c>
    </row>
    <row r="23" spans="1:3">
      <c r="B23" s="25" t="s">
        <v>276</v>
      </c>
      <c r="C23" s="25" t="s">
        <v>283</v>
      </c>
    </row>
    <row r="24" spans="1:3">
      <c r="B24" s="25" t="s">
        <v>277</v>
      </c>
      <c r="C24" s="25" t="s">
        <v>282</v>
      </c>
    </row>
    <row r="25" spans="1:3">
      <c r="B25" s="25" t="s">
        <v>279</v>
      </c>
      <c r="C25" s="25" t="s">
        <v>284</v>
      </c>
    </row>
    <row r="26" spans="1:3">
      <c r="B26" s="25" t="s">
        <v>278</v>
      </c>
      <c r="C26" s="25" t="s">
        <v>285</v>
      </c>
    </row>
    <row r="30" spans="1:3">
      <c r="A30" s="66" t="s">
        <v>263</v>
      </c>
    </row>
    <row r="31" spans="1:3">
      <c r="A31" s="25" t="s">
        <v>264</v>
      </c>
      <c r="B31" s="25" t="s">
        <v>265</v>
      </c>
      <c r="C31" s="25" t="s">
        <v>266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topLeftCell="A13" zoomScaleNormal="100" zoomScaleSheetLayoutView="100" workbookViewId="0">
      <selection activeCell="F40" sqref="F40"/>
    </sheetView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2"/>
      <c r="C3" s="92" t="s">
        <v>345</v>
      </c>
      <c r="D3" s="92"/>
      <c r="E3" s="92"/>
      <c r="F3" s="93" t="s">
        <v>346</v>
      </c>
      <c r="G3" s="92"/>
      <c r="H3" s="93" t="s">
        <v>347</v>
      </c>
      <c r="I3" s="92"/>
    </row>
    <row r="9" spans="1:9" ht="105">
      <c r="D9" s="90" t="s">
        <v>286</v>
      </c>
      <c r="G9" s="90" t="s">
        <v>342</v>
      </c>
    </row>
    <row r="12" spans="1:9">
      <c r="F12" s="103" t="s">
        <v>359</v>
      </c>
    </row>
    <row r="26" spans="6:6">
      <c r="F26" s="103" t="s">
        <v>359</v>
      </c>
    </row>
    <row r="40" spans="6:7">
      <c r="F40" s="103" t="s">
        <v>359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16" zoomScale="115" zoomScaleNormal="100" zoomScaleSheetLayoutView="115" workbookViewId="0">
      <selection activeCell="H52" sqref="H52"/>
    </sheetView>
  </sheetViews>
  <sheetFormatPr defaultRowHeight="15"/>
  <cols>
    <col min="1" max="16384" width="9.140625" style="25"/>
  </cols>
  <sheetData>
    <row r="1" spans="1:9" ht="15" customHeight="1"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2"/>
      <c r="C3" s="93" t="s">
        <v>345</v>
      </c>
      <c r="D3" s="92"/>
      <c r="E3" s="92"/>
      <c r="F3" s="92" t="s">
        <v>346</v>
      </c>
      <c r="G3" s="92"/>
      <c r="H3" s="93" t="s">
        <v>347</v>
      </c>
      <c r="I3" s="92"/>
    </row>
    <row r="7" spans="1:9">
      <c r="A7" s="86" t="s">
        <v>186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287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286</v>
      </c>
      <c r="E9" s="114"/>
      <c r="F9" s="114"/>
      <c r="G9" s="114" t="s">
        <v>342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125</v>
      </c>
      <c r="B11" s="69"/>
      <c r="C11" s="69"/>
      <c r="D11" s="69"/>
      <c r="E11" s="105">
        <v>3013</v>
      </c>
      <c r="F11" s="71"/>
      <c r="G11" s="94"/>
      <c r="H11" s="98" t="s">
        <v>370</v>
      </c>
      <c r="I11" s="95"/>
    </row>
    <row r="12" spans="1:9">
      <c r="A12" s="73" t="s">
        <v>126</v>
      </c>
      <c r="B12" s="69"/>
      <c r="C12" s="69"/>
      <c r="D12" s="69"/>
      <c r="E12" s="105">
        <v>2417</v>
      </c>
      <c r="F12" s="71"/>
      <c r="G12" s="72"/>
      <c r="H12" s="98" t="s">
        <v>371</v>
      </c>
      <c r="I12" s="95"/>
    </row>
    <row r="13" spans="1:9">
      <c r="A13" s="73" t="s">
        <v>127</v>
      </c>
      <c r="B13" s="69"/>
      <c r="C13" s="69"/>
      <c r="D13" s="69"/>
      <c r="E13" s="105">
        <v>595</v>
      </c>
      <c r="F13" s="71"/>
      <c r="G13" s="72"/>
      <c r="H13" s="98" t="s">
        <v>372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187</v>
      </c>
      <c r="B15" s="69"/>
      <c r="C15" s="69"/>
      <c r="D15" s="69"/>
      <c r="E15" s="105">
        <v>3499</v>
      </c>
      <c r="F15" s="71"/>
      <c r="G15" s="72"/>
      <c r="H15" s="98" t="s">
        <v>373</v>
      </c>
      <c r="I15" s="95"/>
    </row>
    <row r="16" spans="1:9">
      <c r="A16" s="73" t="s">
        <v>131</v>
      </c>
      <c r="B16" s="69"/>
      <c r="C16" s="69"/>
      <c r="D16" s="69"/>
      <c r="E16" s="105">
        <v>578</v>
      </c>
      <c r="F16" s="71"/>
      <c r="G16" s="72"/>
      <c r="H16" s="98" t="s">
        <v>374</v>
      </c>
      <c r="I16" s="95"/>
    </row>
    <row r="17" spans="1:9">
      <c r="A17" s="73" t="s">
        <v>129</v>
      </c>
      <c r="B17" s="69"/>
      <c r="C17" s="69"/>
      <c r="D17" s="69"/>
      <c r="E17" s="105">
        <v>840</v>
      </c>
      <c r="F17" s="71"/>
      <c r="G17" s="72"/>
      <c r="H17" s="98" t="s">
        <v>375</v>
      </c>
      <c r="I17" s="95"/>
    </row>
    <row r="18" spans="1:9">
      <c r="A18" s="73" t="s">
        <v>128</v>
      </c>
      <c r="B18" s="69"/>
      <c r="C18" s="69"/>
      <c r="D18" s="69"/>
      <c r="E18" s="105">
        <v>509</v>
      </c>
      <c r="F18" s="71"/>
      <c r="G18" s="72"/>
      <c r="H18" s="98" t="s">
        <v>376</v>
      </c>
      <c r="I18" s="95"/>
    </row>
    <row r="19" spans="1:9">
      <c r="A19" s="73" t="s">
        <v>123</v>
      </c>
      <c r="B19" s="69"/>
      <c r="C19" s="69"/>
      <c r="D19" s="69"/>
      <c r="E19" s="105">
        <v>302</v>
      </c>
      <c r="F19" s="71"/>
      <c r="G19" s="72"/>
      <c r="H19" s="98" t="s">
        <v>377</v>
      </c>
      <c r="I19" s="95"/>
    </row>
    <row r="20" spans="1:9">
      <c r="A20" s="73" t="s">
        <v>124</v>
      </c>
      <c r="B20" s="69"/>
      <c r="C20" s="69"/>
      <c r="D20" s="69"/>
      <c r="E20" s="105">
        <v>271</v>
      </c>
      <c r="F20" s="71"/>
      <c r="G20" s="72"/>
      <c r="H20" s="98" t="s">
        <v>375</v>
      </c>
      <c r="I20" s="95"/>
    </row>
    <row r="21" spans="1:9">
      <c r="A21" s="75" t="s">
        <v>130</v>
      </c>
      <c r="B21" s="76"/>
      <c r="C21" s="76"/>
      <c r="D21" s="76"/>
      <c r="E21" s="107">
        <v>999</v>
      </c>
      <c r="F21" s="78"/>
      <c r="G21" s="79"/>
      <c r="H21" s="100" t="s">
        <v>378</v>
      </c>
      <c r="I21" s="97"/>
    </row>
    <row r="22" spans="1:9">
      <c r="A22" s="69" t="s">
        <v>188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149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353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165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359</v>
      </c>
    </row>
    <row r="45" spans="1:9">
      <c r="G45" s="103" t="s">
        <v>359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topLeftCell="A22" zoomScale="130" zoomScaleNormal="100" zoomScaleSheetLayoutView="130" zoomScalePageLayoutView="85" workbookViewId="0">
      <selection activeCell="J27" sqref="J27"/>
    </sheetView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3"/>
      <c r="C3" s="93" t="s">
        <v>345</v>
      </c>
      <c r="D3" s="93"/>
      <c r="E3" s="93"/>
      <c r="F3" s="93" t="s">
        <v>346</v>
      </c>
      <c r="G3" s="93"/>
      <c r="H3" s="92" t="s">
        <v>347</v>
      </c>
      <c r="I3" s="92"/>
    </row>
    <row r="9" spans="1:9">
      <c r="D9" s="90"/>
      <c r="G9" s="90"/>
    </row>
    <row r="14" spans="1:9">
      <c r="F14" s="103" t="s">
        <v>359</v>
      </c>
    </row>
    <row r="25" spans="6:6">
      <c r="F25" s="103" t="s">
        <v>359</v>
      </c>
    </row>
    <row r="36" spans="6:6">
      <c r="F36" s="103" t="s">
        <v>359</v>
      </c>
    </row>
    <row r="47" spans="6:6">
      <c r="F47" s="104" t="s">
        <v>359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A2" sqref="A2:H6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201412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39" t="s">
        <v>164</v>
      </c>
      <c r="L2" s="55" t="s">
        <v>150</v>
      </c>
    </row>
    <row r="3" spans="1:20">
      <c r="A3" s="22" t="s">
        <v>313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1" t="s">
        <v>418</v>
      </c>
      <c r="H3" s="21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G4" s="20" t="s">
        <v>419</v>
      </c>
      <c r="I4" s="29" t="s">
        <v>143</v>
      </c>
      <c r="J4" s="29" t="s">
        <v>143</v>
      </c>
      <c r="L4" s="36" t="s">
        <v>142</v>
      </c>
      <c r="M4" s="36" t="s">
        <v>142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G5" s="20" t="s">
        <v>411</v>
      </c>
      <c r="I5" s="30" t="s">
        <v>141</v>
      </c>
      <c r="J5" s="30" t="s">
        <v>140</v>
      </c>
      <c r="K5" s="34"/>
      <c r="L5" s="37" t="s">
        <v>141</v>
      </c>
      <c r="M5" s="37" t="s">
        <v>140</v>
      </c>
    </row>
    <row r="6" spans="1:20">
      <c r="A6" s="8" t="s">
        <v>26</v>
      </c>
      <c r="C6" t="s">
        <v>407</v>
      </c>
      <c r="D6" t="s">
        <v>407</v>
      </c>
      <c r="E6" t="s">
        <v>407</v>
      </c>
      <c r="F6" t="s">
        <v>408</v>
      </c>
      <c r="G6" s="20" t="s">
        <v>406</v>
      </c>
    </row>
    <row r="7" spans="1:20">
      <c r="A7" s="8" t="s">
        <v>258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259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260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190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191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192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193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194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195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196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197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198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199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200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201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202</v>
      </c>
      <c r="B22" s="13">
        <v>40209</v>
      </c>
      <c r="C22" s="14">
        <v>5141</v>
      </c>
      <c r="D22" s="14">
        <v>14479</v>
      </c>
      <c r="E22" s="23">
        <v>2184.6</v>
      </c>
      <c r="F22" s="14">
        <v>24</v>
      </c>
      <c r="G22" s="14">
        <v>0</v>
      </c>
      <c r="H22" s="14"/>
      <c r="I22" s="31">
        <f t="shared" si="0"/>
        <v>-31000</v>
      </c>
      <c r="J22" s="31">
        <f t="shared" si="1"/>
        <v>-20333.333333333332</v>
      </c>
      <c r="K22" s="35"/>
      <c r="L22" s="38">
        <f t="shared" si="2"/>
        <v>5400.0000000000909</v>
      </c>
      <c r="M22" s="63">
        <f t="shared" si="3"/>
        <v>7000</v>
      </c>
      <c r="N22" s="15"/>
      <c r="R22" s="23"/>
    </row>
    <row r="23" spans="1:18">
      <c r="A23" s="8" t="s">
        <v>203</v>
      </c>
      <c r="B23" s="13">
        <v>40237</v>
      </c>
      <c r="C23" s="14">
        <v>5147</v>
      </c>
      <c r="D23" s="14">
        <v>14450</v>
      </c>
      <c r="E23" s="23">
        <v>2203.3000000000002</v>
      </c>
      <c r="F23" s="14">
        <v>39</v>
      </c>
      <c r="G23" s="14">
        <v>0</v>
      </c>
      <c r="H23" s="14"/>
      <c r="I23" s="31">
        <f t="shared" si="0"/>
        <v>-23000</v>
      </c>
      <c r="J23" s="31">
        <f t="shared" si="1"/>
        <v>-31333.333333333332</v>
      </c>
      <c r="K23" s="35"/>
      <c r="L23" s="38">
        <f t="shared" si="2"/>
        <v>3700.0000000002728</v>
      </c>
      <c r="M23" s="63">
        <f t="shared" si="3"/>
        <v>6100.0000000000609</v>
      </c>
      <c r="N23" s="15"/>
      <c r="R23" s="14"/>
    </row>
    <row r="24" spans="1:18">
      <c r="A24" s="8" t="s">
        <v>204</v>
      </c>
      <c r="B24" s="13">
        <v>40268</v>
      </c>
      <c r="C24" s="14">
        <v>5140</v>
      </c>
      <c r="D24" s="14">
        <v>14449</v>
      </c>
      <c r="E24" s="23">
        <v>2257.4</v>
      </c>
      <c r="F24" s="14">
        <v>87</v>
      </c>
      <c r="G24" s="14">
        <v>0</v>
      </c>
      <c r="H24" s="14"/>
      <c r="I24" s="31">
        <f t="shared" si="0"/>
        <v>-8000</v>
      </c>
      <c r="J24" s="31">
        <f t="shared" si="1"/>
        <v>-20666.666666666668</v>
      </c>
      <c r="K24" s="35"/>
      <c r="L24" s="38">
        <f t="shared" si="2"/>
        <v>6099.9999999999091</v>
      </c>
      <c r="M24" s="63">
        <f t="shared" si="3"/>
        <v>5066.6666666667579</v>
      </c>
      <c r="N24" s="15"/>
      <c r="R24" s="23"/>
    </row>
    <row r="25" spans="1:18">
      <c r="A25" s="8" t="s">
        <v>205</v>
      </c>
      <c r="B25" s="13">
        <v>40298</v>
      </c>
      <c r="C25" s="14">
        <v>5136</v>
      </c>
      <c r="D25" s="14">
        <v>14448</v>
      </c>
      <c r="E25" s="23">
        <v>2324.8000000000002</v>
      </c>
      <c r="F25" s="14">
        <v>154</v>
      </c>
      <c r="G25" s="14">
        <v>0</v>
      </c>
      <c r="H25" s="14"/>
      <c r="I25" s="31">
        <f t="shared" si="0"/>
        <v>-5000</v>
      </c>
      <c r="J25" s="31">
        <f t="shared" si="1"/>
        <v>-12000</v>
      </c>
      <c r="K25" s="35"/>
      <c r="L25" s="38">
        <f t="shared" si="2"/>
        <v>400.00000000009095</v>
      </c>
      <c r="M25" s="63">
        <f t="shared" si="3"/>
        <v>3400.0000000000909</v>
      </c>
      <c r="N25" s="15"/>
      <c r="R25" s="14"/>
    </row>
    <row r="26" spans="1:18">
      <c r="A26" s="8" t="s">
        <v>206</v>
      </c>
      <c r="B26" s="13">
        <v>40329</v>
      </c>
      <c r="C26" s="14">
        <v>5135</v>
      </c>
      <c r="D26" s="14">
        <v>14442</v>
      </c>
      <c r="E26" s="23">
        <v>2756.1</v>
      </c>
      <c r="F26" s="14">
        <v>564</v>
      </c>
      <c r="G26" s="14">
        <v>0</v>
      </c>
      <c r="H26" s="14"/>
      <c r="I26" s="31">
        <f t="shared" si="0"/>
        <v>-7000</v>
      </c>
      <c r="J26" s="31">
        <f t="shared" si="1"/>
        <v>-6666.666666666667</v>
      </c>
      <c r="K26" s="35"/>
      <c r="L26" s="38">
        <f t="shared" si="2"/>
        <v>21299.999999999727</v>
      </c>
      <c r="M26" s="63">
        <f t="shared" si="3"/>
        <v>9266.6666666665751</v>
      </c>
      <c r="N26" s="15"/>
      <c r="R26" s="23"/>
    </row>
    <row r="27" spans="1:18">
      <c r="A27" s="8" t="s">
        <v>207</v>
      </c>
      <c r="B27" s="13">
        <v>40359</v>
      </c>
      <c r="C27" s="14">
        <v>5139</v>
      </c>
      <c r="D27" s="14">
        <v>14428</v>
      </c>
      <c r="E27" s="23">
        <v>2534.1999999999998</v>
      </c>
      <c r="F27" s="14">
        <v>339</v>
      </c>
      <c r="G27" s="14">
        <v>0</v>
      </c>
      <c r="H27" s="14"/>
      <c r="I27" s="31">
        <f t="shared" si="0"/>
        <v>-10000</v>
      </c>
      <c r="J27" s="31">
        <f t="shared" si="1"/>
        <v>-7333.333333333333</v>
      </c>
      <c r="K27" s="35"/>
      <c r="L27" s="38">
        <f t="shared" si="2"/>
        <v>3099.9999999999091</v>
      </c>
      <c r="M27" s="63">
        <f t="shared" si="3"/>
        <v>8266.6666666665751</v>
      </c>
      <c r="N27" s="15"/>
      <c r="R27" s="14"/>
    </row>
    <row r="28" spans="1:18">
      <c r="A28" s="8" t="s">
        <v>208</v>
      </c>
      <c r="B28" s="13">
        <v>40390</v>
      </c>
      <c r="C28" s="14">
        <v>5138</v>
      </c>
      <c r="D28" s="14">
        <v>14387</v>
      </c>
      <c r="E28" s="23">
        <v>2397.1999999999998</v>
      </c>
      <c r="F28" s="14">
        <v>196</v>
      </c>
      <c r="G28" s="14">
        <v>0</v>
      </c>
      <c r="H28" s="14"/>
      <c r="I28" s="31">
        <f t="shared" si="0"/>
        <v>-42000</v>
      </c>
      <c r="J28" s="31">
        <f t="shared" si="1"/>
        <v>-19666.666666666668</v>
      </c>
      <c r="K28" s="35"/>
      <c r="L28" s="38">
        <f t="shared" si="2"/>
        <v>6000</v>
      </c>
      <c r="M28" s="63">
        <f t="shared" si="3"/>
        <v>10133.333333333212</v>
      </c>
      <c r="N28" s="15"/>
      <c r="R28" s="23"/>
    </row>
    <row r="29" spans="1:18">
      <c r="A29" s="8" t="s">
        <v>209</v>
      </c>
      <c r="B29" s="13">
        <v>40421</v>
      </c>
      <c r="C29" s="14">
        <v>5130</v>
      </c>
      <c r="D29" s="14">
        <v>14345</v>
      </c>
      <c r="E29" s="23">
        <v>2288.9</v>
      </c>
      <c r="F29" s="14">
        <v>82</v>
      </c>
      <c r="G29" s="14">
        <v>0</v>
      </c>
      <c r="H29" s="14"/>
      <c r="I29" s="31">
        <f t="shared" si="0"/>
        <v>-50000</v>
      </c>
      <c r="J29" s="31">
        <f t="shared" si="1"/>
        <v>-34000</v>
      </c>
      <c r="K29" s="35"/>
      <c r="L29" s="38">
        <f t="shared" si="2"/>
        <v>5700.0000000002728</v>
      </c>
      <c r="M29" s="63">
        <f t="shared" si="3"/>
        <v>4933.333333333394</v>
      </c>
      <c r="N29" s="15"/>
      <c r="R29" s="14"/>
    </row>
    <row r="30" spans="1:18">
      <c r="A30" s="8" t="s">
        <v>210</v>
      </c>
      <c r="B30" s="13">
        <v>40451</v>
      </c>
      <c r="C30" s="14">
        <v>5126</v>
      </c>
      <c r="D30" s="14">
        <v>14261</v>
      </c>
      <c r="E30" s="23">
        <v>2214</v>
      </c>
      <c r="F30" s="14">
        <v>6</v>
      </c>
      <c r="G30" s="14">
        <v>0</v>
      </c>
      <c r="H30" s="14"/>
      <c r="I30" s="31">
        <f t="shared" si="0"/>
        <v>-88000</v>
      </c>
      <c r="J30" s="31">
        <f t="shared" si="1"/>
        <v>-60000</v>
      </c>
      <c r="K30" s="35"/>
      <c r="L30" s="38">
        <f t="shared" si="2"/>
        <v>1099.9999999999091</v>
      </c>
      <c r="M30" s="63">
        <f t="shared" si="3"/>
        <v>4266.666666666727</v>
      </c>
      <c r="N30" s="15"/>
      <c r="R30" s="23"/>
    </row>
    <row r="31" spans="1:18">
      <c r="A31" s="8" t="s">
        <v>211</v>
      </c>
      <c r="B31" s="13">
        <v>40482</v>
      </c>
      <c r="C31" s="14">
        <v>5139</v>
      </c>
      <c r="D31" s="14">
        <v>14293</v>
      </c>
      <c r="E31" s="23">
        <v>2213.6</v>
      </c>
      <c r="F31" s="14">
        <v>1</v>
      </c>
      <c r="G31" s="14">
        <v>0</v>
      </c>
      <c r="H31" s="14"/>
      <c r="I31" s="31">
        <f t="shared" si="0"/>
        <v>45000</v>
      </c>
      <c r="J31" s="31">
        <f t="shared" si="1"/>
        <v>-31000</v>
      </c>
      <c r="K31" s="35"/>
      <c r="L31" s="38">
        <f t="shared" si="2"/>
        <v>4599.9999999999091</v>
      </c>
      <c r="M31" s="63">
        <f t="shared" si="3"/>
        <v>3800.0000000000305</v>
      </c>
      <c r="N31" s="15"/>
      <c r="R31" s="14"/>
    </row>
    <row r="32" spans="1:18">
      <c r="A32" s="8" t="s">
        <v>212</v>
      </c>
      <c r="B32" s="13">
        <v>40512</v>
      </c>
      <c r="C32" s="14">
        <v>5139</v>
      </c>
      <c r="D32" s="14">
        <v>14281</v>
      </c>
      <c r="E32" s="23">
        <v>2215.1999999999998</v>
      </c>
      <c r="F32" s="14">
        <v>0</v>
      </c>
      <c r="G32" s="14">
        <v>0</v>
      </c>
      <c r="H32" s="14"/>
      <c r="I32" s="31">
        <f t="shared" si="0"/>
        <v>-12000</v>
      </c>
      <c r="J32" s="31">
        <f t="shared" si="1"/>
        <v>-18333.333333333332</v>
      </c>
      <c r="K32" s="35"/>
      <c r="L32" s="38">
        <f t="shared" si="2"/>
        <v>2599.9999999999091</v>
      </c>
      <c r="M32" s="63">
        <f t="shared" si="3"/>
        <v>2766.6666666665756</v>
      </c>
      <c r="N32" s="15"/>
      <c r="R32" s="23"/>
    </row>
    <row r="33" spans="1:18">
      <c r="A33" s="8" t="s">
        <v>213</v>
      </c>
      <c r="B33" s="13">
        <v>40543</v>
      </c>
      <c r="C33" s="14">
        <v>5135</v>
      </c>
      <c r="D33" s="14">
        <v>14258</v>
      </c>
      <c r="E33" s="23">
        <v>2221.3000000000002</v>
      </c>
      <c r="F33" s="14">
        <v>0</v>
      </c>
      <c r="G33" s="14">
        <v>0</v>
      </c>
      <c r="H33" s="14"/>
      <c r="I33" s="31">
        <f t="shared" si="0"/>
        <v>-27000</v>
      </c>
      <c r="J33" s="31">
        <f t="shared" si="1"/>
        <v>2000</v>
      </c>
      <c r="K33" s="35"/>
      <c r="L33" s="38">
        <f t="shared" si="2"/>
        <v>6100.0000000003638</v>
      </c>
      <c r="M33" s="63">
        <f t="shared" si="3"/>
        <v>4433.333333333394</v>
      </c>
      <c r="N33" s="15"/>
      <c r="R33" s="14"/>
    </row>
    <row r="34" spans="1:18">
      <c r="A34" s="8" t="s">
        <v>214</v>
      </c>
      <c r="B34" s="13">
        <v>40574</v>
      </c>
      <c r="C34" s="14">
        <v>5141</v>
      </c>
      <c r="D34" s="14">
        <v>14246</v>
      </c>
      <c r="E34" s="23">
        <v>2228.1999999999998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-15000</v>
      </c>
      <c r="K34" s="35"/>
      <c r="L34" s="38">
        <f t="shared" si="2"/>
        <v>5899.9999999996362</v>
      </c>
      <c r="M34" s="63">
        <f t="shared" si="3"/>
        <v>4866.666666666636</v>
      </c>
      <c r="N34" s="15"/>
      <c r="R34" s="23"/>
    </row>
    <row r="35" spans="1:18">
      <c r="A35" s="8" t="s">
        <v>215</v>
      </c>
      <c r="B35" s="13">
        <v>40602</v>
      </c>
      <c r="C35" s="14">
        <v>5107</v>
      </c>
      <c r="D35" s="14">
        <v>14224</v>
      </c>
      <c r="E35" s="23">
        <v>2232.8000000000002</v>
      </c>
      <c r="F35" s="14">
        <v>3</v>
      </c>
      <c r="G35" s="14">
        <v>0</v>
      </c>
      <c r="H35" s="14"/>
      <c r="I35" s="31">
        <f t="shared" si="0"/>
        <v>-56000</v>
      </c>
      <c r="J35" s="31">
        <f t="shared" si="1"/>
        <v>-29666.666666666668</v>
      </c>
      <c r="K35" s="35"/>
      <c r="L35" s="38">
        <f t="shared" si="2"/>
        <v>2600.0000000003638</v>
      </c>
      <c r="M35" s="63">
        <f t="shared" si="3"/>
        <v>4866.6666666667879</v>
      </c>
      <c r="N35" s="15"/>
      <c r="R35" s="14"/>
    </row>
    <row r="36" spans="1:18">
      <c r="A36" s="8" t="s">
        <v>216</v>
      </c>
      <c r="B36" s="13">
        <v>40633</v>
      </c>
      <c r="C36" s="14">
        <v>5096</v>
      </c>
      <c r="D36" s="14">
        <v>14215</v>
      </c>
      <c r="E36" s="23">
        <v>2236.3000000000002</v>
      </c>
      <c r="F36" s="14">
        <v>3</v>
      </c>
      <c r="G36" s="14">
        <v>0</v>
      </c>
      <c r="H36" s="14"/>
      <c r="I36" s="31">
        <f t="shared" si="0"/>
        <v>-20000</v>
      </c>
      <c r="J36" s="31">
        <f t="shared" si="1"/>
        <v>-27333.333333333332</v>
      </c>
      <c r="K36" s="35"/>
      <c r="L36" s="38">
        <f t="shared" si="2"/>
        <v>3500</v>
      </c>
      <c r="M36" s="63">
        <f t="shared" si="3"/>
        <v>4000</v>
      </c>
      <c r="N36" s="15"/>
      <c r="R36" s="23"/>
    </row>
    <row r="37" spans="1:18">
      <c r="A37" s="8" t="s">
        <v>217</v>
      </c>
      <c r="B37" s="13">
        <v>40663</v>
      </c>
      <c r="C37" s="14">
        <v>5091</v>
      </c>
      <c r="D37" s="14">
        <v>14226</v>
      </c>
      <c r="E37" s="23">
        <v>2234.9</v>
      </c>
      <c r="F37" s="14">
        <v>0</v>
      </c>
      <c r="G37" s="14">
        <v>0</v>
      </c>
      <c r="H37" s="14"/>
      <c r="I37" s="31">
        <f t="shared" si="0"/>
        <v>6000</v>
      </c>
      <c r="J37" s="31">
        <f t="shared" si="1"/>
        <v>-23333.333333333332</v>
      </c>
      <c r="K37" s="35"/>
      <c r="L37" s="38">
        <f t="shared" si="2"/>
        <v>1599.9999999999091</v>
      </c>
      <c r="M37" s="63">
        <f t="shared" si="3"/>
        <v>2566.6666666667575</v>
      </c>
      <c r="N37" s="15"/>
      <c r="R37" s="14"/>
    </row>
    <row r="38" spans="1:18">
      <c r="A38" s="8" t="s">
        <v>218</v>
      </c>
      <c r="B38" s="13">
        <v>40694</v>
      </c>
      <c r="C38" s="14">
        <v>5082</v>
      </c>
      <c r="D38" s="14">
        <v>14171</v>
      </c>
      <c r="E38" s="23">
        <v>2236.4</v>
      </c>
      <c r="F38" s="14">
        <v>0</v>
      </c>
      <c r="G38" s="14">
        <v>0</v>
      </c>
      <c r="H38" s="14"/>
      <c r="I38" s="31">
        <f t="shared" si="0"/>
        <v>-64000</v>
      </c>
      <c r="J38" s="31">
        <f t="shared" si="1"/>
        <v>-26000</v>
      </c>
      <c r="K38" s="35"/>
      <c r="L38" s="38">
        <f t="shared" si="2"/>
        <v>1500</v>
      </c>
      <c r="M38" s="63">
        <f t="shared" si="3"/>
        <v>2199.9999999999695</v>
      </c>
      <c r="N38" s="15"/>
      <c r="R38" s="23"/>
    </row>
    <row r="39" spans="1:18">
      <c r="A39" s="8" t="s">
        <v>219</v>
      </c>
      <c r="B39" s="13">
        <v>40724</v>
      </c>
      <c r="C39" s="14">
        <v>5079</v>
      </c>
      <c r="D39" s="14">
        <v>14218</v>
      </c>
      <c r="E39" s="23">
        <v>2227.6</v>
      </c>
      <c r="F39" s="14">
        <v>0</v>
      </c>
      <c r="G39" s="14">
        <v>0</v>
      </c>
      <c r="H39" s="14"/>
      <c r="I39" s="31">
        <f t="shared" si="0"/>
        <v>44000</v>
      </c>
      <c r="J39" s="31">
        <f t="shared" si="1"/>
        <v>-4666.666666666667</v>
      </c>
      <c r="K39" s="35"/>
      <c r="L39" s="38">
        <f t="shared" si="2"/>
        <v>-8800.0000000001819</v>
      </c>
      <c r="M39" s="63">
        <f t="shared" si="3"/>
        <v>-1900.0000000000909</v>
      </c>
      <c r="N39" s="15"/>
      <c r="R39" s="14"/>
    </row>
    <row r="40" spans="1:18">
      <c r="A40" s="8" t="s">
        <v>220</v>
      </c>
      <c r="B40" s="13">
        <v>40755</v>
      </c>
      <c r="C40" s="14">
        <v>5058</v>
      </c>
      <c r="D40" s="14">
        <v>14125</v>
      </c>
      <c r="E40" s="23">
        <v>2225.3000000000002</v>
      </c>
      <c r="F40" s="14">
        <v>0</v>
      </c>
      <c r="G40" s="14">
        <v>0</v>
      </c>
      <c r="H40" s="14"/>
      <c r="I40" s="31">
        <f t="shared" si="0"/>
        <v>-114000</v>
      </c>
      <c r="J40" s="31">
        <f t="shared" si="1"/>
        <v>-44666.666666666664</v>
      </c>
      <c r="K40" s="35"/>
      <c r="L40" s="38">
        <f t="shared" si="2"/>
        <v>-2299.9999999997272</v>
      </c>
      <c r="M40" s="63">
        <f t="shared" si="3"/>
        <v>-3199.9999999999695</v>
      </c>
      <c r="N40" s="15"/>
      <c r="R40" s="23"/>
    </row>
    <row r="41" spans="1:18">
      <c r="A41" s="8" t="s">
        <v>221</v>
      </c>
      <c r="B41" s="13">
        <v>40786</v>
      </c>
      <c r="C41" s="14">
        <v>5080</v>
      </c>
      <c r="D41" s="14">
        <v>14108</v>
      </c>
      <c r="E41" s="23">
        <v>2224.1999999999998</v>
      </c>
      <c r="F41" s="14">
        <v>0</v>
      </c>
      <c r="G41" s="14">
        <v>0</v>
      </c>
      <c r="H41" s="14"/>
      <c r="I41" s="31">
        <f t="shared" si="0"/>
        <v>5000</v>
      </c>
      <c r="J41" s="31">
        <f t="shared" si="1"/>
        <v>-21666.666666666668</v>
      </c>
      <c r="K41" s="35"/>
      <c r="L41" s="38">
        <f t="shared" si="2"/>
        <v>-1100.0000000003638</v>
      </c>
      <c r="M41" s="63">
        <f t="shared" si="3"/>
        <v>-4066.6666666667575</v>
      </c>
      <c r="N41" s="15"/>
      <c r="R41" s="14"/>
    </row>
    <row r="42" spans="1:18">
      <c r="A42" s="8" t="s">
        <v>222</v>
      </c>
      <c r="B42" s="13">
        <v>40816</v>
      </c>
      <c r="C42" s="14">
        <v>5079</v>
      </c>
      <c r="D42" s="14">
        <v>14068</v>
      </c>
      <c r="E42" s="23">
        <v>2224.1</v>
      </c>
      <c r="F42" s="14">
        <v>0</v>
      </c>
      <c r="G42" s="14">
        <v>0</v>
      </c>
      <c r="H42" s="14"/>
      <c r="I42" s="31">
        <f t="shared" si="0"/>
        <v>-41000</v>
      </c>
      <c r="J42" s="31">
        <f t="shared" si="1"/>
        <v>-50000</v>
      </c>
      <c r="K42" s="35"/>
      <c r="L42" s="38">
        <f t="shared" si="2"/>
        <v>-99.999999999909051</v>
      </c>
      <c r="M42" s="63">
        <f t="shared" si="3"/>
        <v>-1166.6666666666667</v>
      </c>
      <c r="N42" s="15"/>
      <c r="R42" s="23"/>
    </row>
    <row r="43" spans="1:18">
      <c r="A43" s="8" t="s">
        <v>223</v>
      </c>
      <c r="B43" s="13">
        <v>40847</v>
      </c>
      <c r="C43" s="14">
        <v>5055</v>
      </c>
      <c r="D43" s="14">
        <v>14095</v>
      </c>
      <c r="E43" s="23">
        <v>2223.4</v>
      </c>
      <c r="F43" s="14">
        <v>0</v>
      </c>
      <c r="G43" s="14">
        <v>0</v>
      </c>
      <c r="H43" s="14"/>
      <c r="I43" s="31">
        <f t="shared" si="0"/>
        <v>3000</v>
      </c>
      <c r="J43" s="31">
        <f t="shared" si="1"/>
        <v>-11000</v>
      </c>
      <c r="K43" s="35"/>
      <c r="L43" s="38">
        <f t="shared" si="2"/>
        <v>-699.9999999998181</v>
      </c>
      <c r="M43" s="63">
        <f t="shared" si="3"/>
        <v>-633.33333333336361</v>
      </c>
      <c r="N43" s="15"/>
      <c r="R43" s="14"/>
    </row>
    <row r="44" spans="1:18">
      <c r="A44" s="8" t="s">
        <v>224</v>
      </c>
      <c r="B44" s="13">
        <v>40877</v>
      </c>
      <c r="C44" s="14">
        <v>5048</v>
      </c>
      <c r="D44" s="14">
        <v>14081</v>
      </c>
      <c r="E44" s="23">
        <v>2220.4</v>
      </c>
      <c r="F44" s="14">
        <v>0</v>
      </c>
      <c r="G44" s="14">
        <v>0</v>
      </c>
      <c r="H44" s="14"/>
      <c r="I44" s="31">
        <f t="shared" si="0"/>
        <v>-21000</v>
      </c>
      <c r="J44" s="31">
        <f t="shared" si="1"/>
        <v>-19666.666666666668</v>
      </c>
      <c r="K44" s="35"/>
      <c r="L44" s="38">
        <f t="shared" si="2"/>
        <v>-3000</v>
      </c>
      <c r="M44" s="63">
        <f t="shared" si="3"/>
        <v>-1266.6666666665758</v>
      </c>
      <c r="N44" s="15"/>
      <c r="R44" s="23"/>
    </row>
    <row r="45" spans="1:18">
      <c r="A45" s="8" t="s">
        <v>225</v>
      </c>
      <c r="B45" s="13">
        <v>40908</v>
      </c>
      <c r="C45" s="14">
        <v>5041</v>
      </c>
      <c r="D45" s="14">
        <v>14066</v>
      </c>
      <c r="E45" s="23">
        <v>2218.9</v>
      </c>
      <c r="F45" s="14">
        <v>0</v>
      </c>
      <c r="G45" s="14">
        <v>0</v>
      </c>
      <c r="H45" s="14"/>
      <c r="I45" s="31">
        <f t="shared" si="0"/>
        <v>-22000</v>
      </c>
      <c r="J45" s="31">
        <f t="shared" si="1"/>
        <v>-13333.333333333334</v>
      </c>
      <c r="K45" s="35"/>
      <c r="L45" s="38">
        <f t="shared" si="2"/>
        <v>-1500</v>
      </c>
      <c r="M45" s="63">
        <f t="shared" si="3"/>
        <v>-1733.3333333332728</v>
      </c>
      <c r="N45" s="15"/>
      <c r="R45" s="14"/>
    </row>
    <row r="46" spans="1:18">
      <c r="A46" s="8" t="s">
        <v>226</v>
      </c>
      <c r="B46" s="13">
        <v>40939</v>
      </c>
      <c r="C46" s="14">
        <v>5048</v>
      </c>
      <c r="D46" s="14">
        <v>14061</v>
      </c>
      <c r="E46" s="23">
        <v>2213.1</v>
      </c>
      <c r="F46" s="14">
        <v>0</v>
      </c>
      <c r="G46" s="14">
        <v>0</v>
      </c>
      <c r="H46" s="14"/>
      <c r="I46" s="31">
        <f t="shared" si="0"/>
        <v>2000</v>
      </c>
      <c r="J46" s="31">
        <f t="shared" si="1"/>
        <v>-13666.666666666666</v>
      </c>
      <c r="K46" s="35"/>
      <c r="L46" s="38">
        <f t="shared" si="2"/>
        <v>-5800.0000000001819</v>
      </c>
      <c r="M46" s="63">
        <f t="shared" si="3"/>
        <v>-3433.333333333394</v>
      </c>
      <c r="N46" s="15"/>
      <c r="R46" s="23"/>
    </row>
    <row r="47" spans="1:18">
      <c r="A47" s="8" t="s">
        <v>227</v>
      </c>
      <c r="B47" s="13">
        <v>40968</v>
      </c>
      <c r="C47" s="14">
        <v>5049</v>
      </c>
      <c r="D47" s="14">
        <v>14064</v>
      </c>
      <c r="E47" s="23">
        <v>2209.4</v>
      </c>
      <c r="F47" s="14">
        <v>0</v>
      </c>
      <c r="G47" s="14">
        <v>0</v>
      </c>
      <c r="H47" s="14"/>
      <c r="I47" s="31">
        <f t="shared" si="0"/>
        <v>4000</v>
      </c>
      <c r="J47" s="31">
        <f t="shared" si="1"/>
        <v>-5333.333333333333</v>
      </c>
      <c r="K47" s="35"/>
      <c r="L47" s="38">
        <f t="shared" si="2"/>
        <v>-3699.9999999998181</v>
      </c>
      <c r="M47" s="63">
        <f t="shared" si="3"/>
        <v>-3666.6666666666665</v>
      </c>
      <c r="N47" s="15"/>
      <c r="R47" s="14"/>
    </row>
    <row r="48" spans="1:18">
      <c r="A48" s="8" t="s">
        <v>228</v>
      </c>
      <c r="B48" s="13">
        <v>40999</v>
      </c>
      <c r="C48" s="14">
        <v>5053</v>
      </c>
      <c r="D48" s="14">
        <v>14058</v>
      </c>
      <c r="E48" s="23">
        <v>2210.8000000000002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1333.3333333333333</v>
      </c>
      <c r="K48" s="35"/>
      <c r="L48" s="38">
        <f t="shared" si="2"/>
        <v>1400.0000000000909</v>
      </c>
      <c r="M48" s="63">
        <f t="shared" si="3"/>
        <v>-2699.9999999999695</v>
      </c>
      <c r="N48" s="15"/>
      <c r="R48" s="23"/>
    </row>
    <row r="49" spans="1:18">
      <c r="A49" s="8" t="s">
        <v>229</v>
      </c>
      <c r="B49" s="13">
        <v>41029</v>
      </c>
      <c r="C49" s="14">
        <v>5058</v>
      </c>
      <c r="D49" s="14">
        <v>14047</v>
      </c>
      <c r="E49" s="23">
        <v>2210.1</v>
      </c>
      <c r="F49" s="14">
        <v>0</v>
      </c>
      <c r="G49" s="14">
        <v>0</v>
      </c>
      <c r="H49" s="14"/>
      <c r="I49" s="31">
        <f t="shared" si="0"/>
        <v>-6000</v>
      </c>
      <c r="J49" s="31">
        <f t="shared" si="1"/>
        <v>-1333.3333333333333</v>
      </c>
      <c r="K49" s="35"/>
      <c r="L49" s="38">
        <f t="shared" si="2"/>
        <v>-700.00000000027285</v>
      </c>
      <c r="M49" s="63">
        <f t="shared" si="3"/>
        <v>-1000</v>
      </c>
      <c r="N49" s="15"/>
      <c r="R49" s="14"/>
    </row>
    <row r="50" spans="1:18">
      <c r="A50" s="8" t="s">
        <v>230</v>
      </c>
      <c r="B50" s="13">
        <v>41060</v>
      </c>
      <c r="C50" s="14">
        <v>5049</v>
      </c>
      <c r="D50" s="14">
        <v>14036</v>
      </c>
      <c r="E50" s="23">
        <v>2211</v>
      </c>
      <c r="F50" s="14">
        <v>0</v>
      </c>
      <c r="G50" s="14">
        <v>0</v>
      </c>
      <c r="H50" s="14"/>
      <c r="I50" s="31">
        <f t="shared" si="0"/>
        <v>-20000</v>
      </c>
      <c r="J50" s="31">
        <f t="shared" si="1"/>
        <v>-9333.3333333333339</v>
      </c>
      <c r="K50" s="35"/>
      <c r="L50" s="38">
        <f>IF(E50&lt;&gt;"", ((E50-F50)-(E49-F49))*1000, "")</f>
        <v>900.00000000009095</v>
      </c>
      <c r="M50" s="63">
        <f t="shared" si="3"/>
        <v>533.33333333330302</v>
      </c>
      <c r="N50" s="15"/>
      <c r="R50" s="23"/>
    </row>
    <row r="51" spans="1:18">
      <c r="A51" s="8" t="s">
        <v>231</v>
      </c>
      <c r="B51" s="13">
        <v>41090</v>
      </c>
      <c r="C51" s="14">
        <v>5056</v>
      </c>
      <c r="D51" s="14">
        <v>14043</v>
      </c>
      <c r="E51" s="23">
        <v>2210.8000000000002</v>
      </c>
      <c r="F51" s="14">
        <v>0</v>
      </c>
      <c r="G51" s="14">
        <v>0</v>
      </c>
      <c r="H51" s="14"/>
      <c r="I51" s="31">
        <f t="shared" si="0"/>
        <v>14000</v>
      </c>
      <c r="J51" s="31">
        <f t="shared" si="1"/>
        <v>-4000</v>
      </c>
      <c r="K51" s="35"/>
      <c r="L51" s="38">
        <f t="shared" si="2"/>
        <v>-199.9999999998181</v>
      </c>
      <c r="M51" s="63">
        <f t="shared" si="3"/>
        <v>0</v>
      </c>
      <c r="N51" s="23"/>
      <c r="R51" s="14"/>
    </row>
    <row r="52" spans="1:18">
      <c r="A52" s="8" t="s">
        <v>232</v>
      </c>
      <c r="B52" s="13">
        <v>41121</v>
      </c>
      <c r="C52" s="14">
        <v>5053</v>
      </c>
      <c r="D52" s="14">
        <v>14044</v>
      </c>
      <c r="E52" s="23">
        <v>2202.4</v>
      </c>
      <c r="F52" s="14">
        <v>0</v>
      </c>
      <c r="G52" s="14">
        <v>0</v>
      </c>
      <c r="H52" s="14"/>
      <c r="I52" s="31">
        <f t="shared" si="0"/>
        <v>-2000</v>
      </c>
      <c r="J52" s="31">
        <f t="shared" si="1"/>
        <v>-2666.6666666666665</v>
      </c>
      <c r="K52" s="35"/>
      <c r="L52" s="38">
        <f t="shared" si="2"/>
        <v>-8400.0000000000909</v>
      </c>
      <c r="M52" s="63">
        <f t="shared" si="3"/>
        <v>-2566.666666666606</v>
      </c>
      <c r="N52" s="15"/>
      <c r="R52" s="23"/>
    </row>
    <row r="53" spans="1:18">
      <c r="A53" s="8" t="s">
        <v>233</v>
      </c>
      <c r="B53" s="13">
        <v>41152</v>
      </c>
      <c r="C53" s="14">
        <v>5058</v>
      </c>
      <c r="D53" s="14">
        <v>14048</v>
      </c>
      <c r="E53" s="23">
        <v>2209.6</v>
      </c>
      <c r="F53" s="14">
        <v>0</v>
      </c>
      <c r="G53" s="14">
        <v>0</v>
      </c>
      <c r="H53" s="14"/>
      <c r="I53" s="31">
        <f t="shared" si="0"/>
        <v>9000</v>
      </c>
      <c r="J53" s="31">
        <f t="shared" si="1"/>
        <v>7000</v>
      </c>
      <c r="K53" s="35"/>
      <c r="L53" s="38">
        <f t="shared" si="2"/>
        <v>7199.9999999998181</v>
      </c>
      <c r="M53" s="63">
        <f t="shared" si="3"/>
        <v>-466.66666666669698</v>
      </c>
      <c r="N53" s="15"/>
      <c r="R53" s="14"/>
    </row>
    <row r="54" spans="1:18">
      <c r="A54" s="8" t="s">
        <v>234</v>
      </c>
      <c r="B54" s="13">
        <v>41182</v>
      </c>
      <c r="C54" s="14">
        <v>5074</v>
      </c>
      <c r="D54" s="14">
        <v>14034</v>
      </c>
      <c r="E54" s="23">
        <v>2215.9</v>
      </c>
      <c r="F54" s="14">
        <v>0</v>
      </c>
      <c r="G54" s="14">
        <v>0</v>
      </c>
      <c r="H54" s="14"/>
      <c r="I54" s="31">
        <f t="shared" si="0"/>
        <v>2000</v>
      </c>
      <c r="J54" s="31">
        <f t="shared" si="1"/>
        <v>3000</v>
      </c>
      <c r="K54" s="35"/>
      <c r="L54" s="38">
        <f t="shared" si="2"/>
        <v>6300.0000000001819</v>
      </c>
      <c r="M54" s="63">
        <f t="shared" si="3"/>
        <v>1699.9999999999698</v>
      </c>
      <c r="N54" s="15"/>
      <c r="R54" s="23"/>
    </row>
    <row r="55" spans="1:18">
      <c r="A55" s="8" t="s">
        <v>235</v>
      </c>
      <c r="B55" s="13">
        <v>41213</v>
      </c>
      <c r="C55" s="14">
        <v>5052</v>
      </c>
      <c r="D55" s="14">
        <v>14024</v>
      </c>
      <c r="E55" s="23">
        <v>2212</v>
      </c>
      <c r="F55" s="14">
        <v>0</v>
      </c>
      <c r="G55" s="14">
        <v>0</v>
      </c>
      <c r="H55" s="14"/>
      <c r="I55" s="31">
        <f t="shared" si="0"/>
        <v>-32000</v>
      </c>
      <c r="J55" s="31">
        <f t="shared" si="1"/>
        <v>-7000</v>
      </c>
      <c r="K55" s="35"/>
      <c r="L55" s="38">
        <f t="shared" si="2"/>
        <v>-3900.0000000000909</v>
      </c>
      <c r="M55" s="63">
        <f t="shared" si="3"/>
        <v>3199.9999999999695</v>
      </c>
      <c r="N55" s="15"/>
      <c r="R55" s="14"/>
    </row>
    <row r="56" spans="1:18">
      <c r="A56" s="8" t="s">
        <v>236</v>
      </c>
      <c r="B56" s="13">
        <v>41243</v>
      </c>
      <c r="C56" s="14">
        <v>5052</v>
      </c>
      <c r="D56" s="14">
        <v>14021</v>
      </c>
      <c r="E56" s="23">
        <v>2211.4</v>
      </c>
      <c r="F56" s="14">
        <v>0</v>
      </c>
      <c r="G56" s="14">
        <v>0</v>
      </c>
      <c r="H56" s="14"/>
      <c r="I56" s="31">
        <f t="shared" si="0"/>
        <v>-3000</v>
      </c>
      <c r="J56" s="31">
        <f t="shared" si="1"/>
        <v>-11000</v>
      </c>
      <c r="K56" s="35"/>
      <c r="L56" s="38">
        <f t="shared" si="2"/>
        <v>-599.99999999990905</v>
      </c>
      <c r="M56" s="63">
        <f t="shared" si="3"/>
        <v>600.0000000000606</v>
      </c>
      <c r="N56" s="15"/>
      <c r="R56" s="23"/>
    </row>
    <row r="57" spans="1:18">
      <c r="A57" s="8" t="s">
        <v>237</v>
      </c>
      <c r="B57" s="13">
        <v>41274</v>
      </c>
      <c r="C57" s="14">
        <v>5050</v>
      </c>
      <c r="D57" s="14">
        <v>14024</v>
      </c>
      <c r="E57" s="23">
        <v>2209.9</v>
      </c>
      <c r="F57" s="14">
        <v>0</v>
      </c>
      <c r="G57" s="14">
        <v>0</v>
      </c>
      <c r="H57" s="14"/>
      <c r="I57" s="31">
        <f t="shared" si="0"/>
        <v>1000</v>
      </c>
      <c r="J57" s="31">
        <f t="shared" si="1"/>
        <v>-11333.333333333334</v>
      </c>
      <c r="K57" s="35"/>
      <c r="L57" s="38">
        <f t="shared" si="2"/>
        <v>-1500</v>
      </c>
      <c r="M57" s="63">
        <f t="shared" si="3"/>
        <v>-2000</v>
      </c>
      <c r="N57" s="15"/>
      <c r="R57" s="14"/>
    </row>
    <row r="58" spans="1:18">
      <c r="A58" s="8" t="s">
        <v>238</v>
      </c>
      <c r="B58" s="13">
        <v>41305</v>
      </c>
      <c r="C58" s="14">
        <v>5034</v>
      </c>
      <c r="D58" s="14">
        <v>14023</v>
      </c>
      <c r="E58" s="23">
        <v>2206</v>
      </c>
      <c r="F58" s="14">
        <v>0</v>
      </c>
      <c r="G58" s="14">
        <v>0</v>
      </c>
      <c r="H58" s="14"/>
      <c r="I58" s="31">
        <f t="shared" si="0"/>
        <v>-17000</v>
      </c>
      <c r="J58" s="31">
        <f t="shared" si="1"/>
        <v>-6333.333333333333</v>
      </c>
      <c r="K58" s="35"/>
      <c r="L58" s="38">
        <f t="shared" si="2"/>
        <v>-3900.0000000000909</v>
      </c>
      <c r="M58" s="63">
        <f t="shared" si="3"/>
        <v>-2000</v>
      </c>
      <c r="N58" s="15"/>
      <c r="R58" s="23"/>
    </row>
    <row r="59" spans="1:18">
      <c r="A59" s="8" t="s">
        <v>239</v>
      </c>
      <c r="B59" s="13">
        <v>41333</v>
      </c>
      <c r="C59" s="14">
        <v>5049</v>
      </c>
      <c r="D59" s="14">
        <v>14024</v>
      </c>
      <c r="E59" s="23">
        <v>2203.6</v>
      </c>
      <c r="F59" s="14">
        <v>0</v>
      </c>
      <c r="G59" s="14">
        <v>0</v>
      </c>
      <c r="H59" s="14"/>
      <c r="I59" s="31">
        <f t="shared" si="0"/>
        <v>16000</v>
      </c>
      <c r="J59" s="31">
        <f t="shared" si="1"/>
        <v>0</v>
      </c>
      <c r="K59" s="35"/>
      <c r="L59" s="38">
        <f t="shared" si="2"/>
        <v>-2400.0000000000909</v>
      </c>
      <c r="M59" s="63">
        <f t="shared" si="3"/>
        <v>-2600.0000000000605</v>
      </c>
      <c r="N59" s="15"/>
      <c r="R59" s="14"/>
    </row>
    <row r="60" spans="1:18">
      <c r="A60" s="8" t="s">
        <v>240</v>
      </c>
      <c r="B60" s="13">
        <v>41364</v>
      </c>
      <c r="C60" s="14">
        <v>5056</v>
      </c>
      <c r="D60" s="14">
        <v>14015</v>
      </c>
      <c r="E60" s="23">
        <v>2199.5</v>
      </c>
      <c r="F60" s="14">
        <v>0</v>
      </c>
      <c r="G60" s="14">
        <v>0</v>
      </c>
      <c r="H60" s="14"/>
      <c r="I60" s="31">
        <f t="shared" si="0"/>
        <v>-2000</v>
      </c>
      <c r="J60" s="31">
        <f t="shared" si="1"/>
        <v>-1000</v>
      </c>
      <c r="K60" s="35"/>
      <c r="L60" s="38">
        <f t="shared" si="2"/>
        <v>-4099.9999999999091</v>
      </c>
      <c r="M60" s="63">
        <f t="shared" si="3"/>
        <v>-3466.666666666697</v>
      </c>
      <c r="N60" s="15"/>
      <c r="R60" s="23"/>
    </row>
    <row r="61" spans="1:18">
      <c r="A61" s="8" t="s">
        <v>241</v>
      </c>
      <c r="B61" s="13">
        <v>41394</v>
      </c>
      <c r="C61" s="14">
        <v>5053</v>
      </c>
      <c r="D61" s="14">
        <v>14031</v>
      </c>
      <c r="E61" s="23">
        <v>2190.1999999999998</v>
      </c>
      <c r="F61" s="14">
        <v>0</v>
      </c>
      <c r="G61" s="14">
        <v>0</v>
      </c>
      <c r="H61" s="14"/>
      <c r="I61" s="31">
        <f t="shared" si="0"/>
        <v>13000</v>
      </c>
      <c r="J61" s="31">
        <f t="shared" si="1"/>
        <v>9000</v>
      </c>
      <c r="K61" s="35"/>
      <c r="L61" s="38">
        <f t="shared" si="2"/>
        <v>-9300.0000000001819</v>
      </c>
      <c r="M61" s="63">
        <f t="shared" si="3"/>
        <v>-5266.666666666727</v>
      </c>
      <c r="N61" s="15"/>
      <c r="R61" s="14"/>
    </row>
    <row r="62" spans="1:18">
      <c r="A62" s="8" t="s">
        <v>242</v>
      </c>
      <c r="B62" s="13">
        <v>41425</v>
      </c>
      <c r="C62" s="14">
        <v>5047</v>
      </c>
      <c r="D62" s="14">
        <v>14037</v>
      </c>
      <c r="E62" s="23">
        <v>2179.5</v>
      </c>
      <c r="F62" s="14">
        <v>0</v>
      </c>
      <c r="G62" s="14">
        <v>0</v>
      </c>
      <c r="H62" s="14"/>
      <c r="I62" s="31">
        <f t="shared" si="0"/>
        <v>0</v>
      </c>
      <c r="J62" s="31">
        <f t="shared" si="1"/>
        <v>3666.6666666666665</v>
      </c>
      <c r="K62" s="35"/>
      <c r="L62" s="38">
        <f t="shared" si="2"/>
        <v>-10699.999999999818</v>
      </c>
      <c r="M62" s="63">
        <f t="shared" si="3"/>
        <v>-8033.333333333303</v>
      </c>
      <c r="N62" s="15"/>
      <c r="R62" s="23"/>
    </row>
    <row r="63" spans="1:18">
      <c r="A63" s="8" t="s">
        <v>243</v>
      </c>
      <c r="B63" s="13">
        <v>41455</v>
      </c>
      <c r="C63" s="14">
        <v>5034</v>
      </c>
      <c r="D63" s="14">
        <v>14051</v>
      </c>
      <c r="E63" s="23">
        <v>2172.6999999999998</v>
      </c>
      <c r="F63" s="14">
        <v>0</v>
      </c>
      <c r="G63" s="14">
        <v>0</v>
      </c>
      <c r="H63" s="14"/>
      <c r="I63" s="31">
        <f t="shared" si="0"/>
        <v>1000</v>
      </c>
      <c r="J63" s="31">
        <f t="shared" si="1"/>
        <v>4666.666666666667</v>
      </c>
      <c r="K63" s="35"/>
      <c r="L63" s="38">
        <f t="shared" si="2"/>
        <v>-6800.0000000001819</v>
      </c>
      <c r="M63" s="63">
        <f t="shared" si="3"/>
        <v>-8933.333333333394</v>
      </c>
      <c r="N63" s="15"/>
      <c r="R63" s="14"/>
    </row>
    <row r="64" spans="1:18">
      <c r="A64" s="8" t="s">
        <v>244</v>
      </c>
      <c r="B64" s="13">
        <v>41486</v>
      </c>
      <c r="C64" s="14">
        <v>5025</v>
      </c>
      <c r="D64" s="14">
        <v>14050</v>
      </c>
      <c r="E64" s="23">
        <v>2165.5</v>
      </c>
      <c r="F64" s="14">
        <v>0</v>
      </c>
      <c r="G64" s="14">
        <v>0</v>
      </c>
      <c r="H64" s="14"/>
      <c r="I64" s="31">
        <f t="shared" si="0"/>
        <v>-10000</v>
      </c>
      <c r="J64" s="31">
        <f t="shared" si="1"/>
        <v>-3000</v>
      </c>
      <c r="K64" s="35"/>
      <c r="L64" s="38">
        <f t="shared" si="2"/>
        <v>-7199.9999999998181</v>
      </c>
      <c r="M64" s="63">
        <f t="shared" si="3"/>
        <v>-8233.3333333332721</v>
      </c>
      <c r="N64" s="15"/>
      <c r="R64" s="23"/>
    </row>
    <row r="65" spans="1:18">
      <c r="A65" s="8" t="s">
        <v>245</v>
      </c>
      <c r="B65" s="13">
        <v>41517</v>
      </c>
      <c r="C65" s="14">
        <v>5039</v>
      </c>
      <c r="D65" s="14">
        <v>14065</v>
      </c>
      <c r="E65" s="23">
        <v>2157.6</v>
      </c>
      <c r="F65" s="14">
        <v>0</v>
      </c>
      <c r="G65" s="14">
        <v>0</v>
      </c>
      <c r="H65" s="14"/>
      <c r="I65" s="31">
        <f t="shared" si="0"/>
        <v>29000</v>
      </c>
      <c r="J65" s="31">
        <f t="shared" si="1"/>
        <v>6666.666666666667</v>
      </c>
      <c r="K65" s="35"/>
      <c r="L65" s="38">
        <f t="shared" si="2"/>
        <v>-7900.0000000000909</v>
      </c>
      <c r="M65" s="63">
        <f t="shared" si="3"/>
        <v>-7300.00000000003</v>
      </c>
      <c r="N65" s="15"/>
      <c r="R65" s="14"/>
    </row>
    <row r="66" spans="1:18">
      <c r="A66" s="8" t="s">
        <v>246</v>
      </c>
      <c r="B66" s="13">
        <v>41547</v>
      </c>
      <c r="C66" s="14">
        <v>5051</v>
      </c>
      <c r="D66" s="14">
        <v>14069</v>
      </c>
      <c r="E66" s="23">
        <v>2152.6999999999998</v>
      </c>
      <c r="F66" s="14">
        <v>0</v>
      </c>
      <c r="G66" s="14">
        <v>0</v>
      </c>
      <c r="H66" s="14"/>
      <c r="I66" s="31">
        <f t="shared" si="0"/>
        <v>16000</v>
      </c>
      <c r="J66" s="31">
        <f t="shared" si="1"/>
        <v>11666.666666666666</v>
      </c>
      <c r="K66" s="35"/>
      <c r="L66" s="38">
        <f t="shared" si="2"/>
        <v>-4900.0000000000909</v>
      </c>
      <c r="M66" s="63">
        <f t="shared" si="3"/>
        <v>-6666.666666666667</v>
      </c>
      <c r="N66" s="15"/>
      <c r="R66" s="23"/>
    </row>
    <row r="67" spans="1:18">
      <c r="A67" s="8" t="s">
        <v>247</v>
      </c>
      <c r="B67" s="13">
        <v>41578</v>
      </c>
      <c r="C67" s="14">
        <v>5057</v>
      </c>
      <c r="D67" s="14">
        <v>14065</v>
      </c>
      <c r="E67" s="23">
        <v>2143.4</v>
      </c>
      <c r="F67" s="14">
        <v>0</v>
      </c>
      <c r="G67" s="14">
        <v>0</v>
      </c>
      <c r="H67" s="14"/>
      <c r="I67" s="31">
        <f t="shared" si="0"/>
        <v>2000</v>
      </c>
      <c r="J67" s="31">
        <f t="shared" si="1"/>
        <v>15666.666666666666</v>
      </c>
      <c r="K67" s="35"/>
      <c r="L67" s="38">
        <f t="shared" si="2"/>
        <v>-9299.9999999997272</v>
      </c>
      <c r="M67" s="63">
        <f t="shared" si="3"/>
        <v>-7366.666666666636</v>
      </c>
      <c r="N67" s="15"/>
      <c r="R67" s="14"/>
    </row>
    <row r="68" spans="1:18">
      <c r="A68" s="8" t="s">
        <v>248</v>
      </c>
      <c r="B68" s="13">
        <v>41608</v>
      </c>
      <c r="C68" s="14">
        <v>5060</v>
      </c>
      <c r="D68" s="14">
        <v>14057</v>
      </c>
      <c r="E68" s="23">
        <v>2147.6</v>
      </c>
      <c r="F68" s="14">
        <v>0</v>
      </c>
      <c r="G68" s="14">
        <v>0</v>
      </c>
      <c r="H68" s="14"/>
      <c r="I68" s="31">
        <f t="shared" si="0"/>
        <v>-5000</v>
      </c>
      <c r="J68" s="31">
        <f t="shared" si="1"/>
        <v>4333.333333333333</v>
      </c>
      <c r="K68" s="35"/>
      <c r="L68" s="38">
        <f t="shared" si="2"/>
        <v>4199.9999999998181</v>
      </c>
      <c r="M68" s="63">
        <f t="shared" si="3"/>
        <v>-3333.3333333333335</v>
      </c>
      <c r="N68" s="15"/>
      <c r="R68" s="23"/>
    </row>
    <row r="69" spans="1:18">
      <c r="A69" s="8" t="s">
        <v>249</v>
      </c>
      <c r="B69" s="13">
        <v>41639</v>
      </c>
      <c r="C69" s="14">
        <v>5064</v>
      </c>
      <c r="D69" s="14">
        <v>14054</v>
      </c>
      <c r="E69" s="23">
        <v>2141.3000000000002</v>
      </c>
      <c r="F69" s="14">
        <v>0</v>
      </c>
      <c r="G69" s="14">
        <v>0</v>
      </c>
      <c r="H69" s="14"/>
      <c r="I69" s="31">
        <f t="shared" si="0"/>
        <v>1000</v>
      </c>
      <c r="J69" s="31">
        <f t="shared" si="1"/>
        <v>-666.66666666666663</v>
      </c>
      <c r="K69" s="35"/>
      <c r="L69" s="38">
        <f t="shared" si="2"/>
        <v>-6299.9999999997272</v>
      </c>
      <c r="M69" s="63">
        <f t="shared" si="3"/>
        <v>-3799.9999999998786</v>
      </c>
      <c r="N69" s="15"/>
      <c r="R69" s="14"/>
    </row>
    <row r="70" spans="1:18">
      <c r="A70" s="8" t="s">
        <v>250</v>
      </c>
      <c r="B70" s="13">
        <v>41670</v>
      </c>
      <c r="C70" s="14">
        <v>5057</v>
      </c>
      <c r="D70" s="14">
        <v>14054</v>
      </c>
      <c r="E70" s="23">
        <v>2135.6999999999998</v>
      </c>
      <c r="F70" s="14">
        <v>0</v>
      </c>
      <c r="G70" s="14">
        <v>0</v>
      </c>
      <c r="H70" s="14"/>
      <c r="I70" s="31">
        <f t="shared" si="0"/>
        <v>-7000</v>
      </c>
      <c r="J70" s="31">
        <f t="shared" si="1"/>
        <v>-3666.6666666666665</v>
      </c>
      <c r="K70" s="35"/>
      <c r="L70" s="38">
        <f t="shared" si="2"/>
        <v>-5600.0000000003638</v>
      </c>
      <c r="M70" s="63">
        <f t="shared" si="3"/>
        <v>-2566.6666666667575</v>
      </c>
      <c r="N70" s="15"/>
      <c r="R70" s="23"/>
    </row>
    <row r="71" spans="1:18">
      <c r="A71" s="8" t="s">
        <v>251</v>
      </c>
      <c r="B71" s="13">
        <v>41698</v>
      </c>
      <c r="C71" s="14">
        <v>5066</v>
      </c>
      <c r="D71" s="14">
        <v>14069</v>
      </c>
      <c r="E71" s="23">
        <v>2129.4</v>
      </c>
      <c r="F71" s="14">
        <v>0</v>
      </c>
      <c r="G71" s="14">
        <v>0</v>
      </c>
      <c r="H71" s="14"/>
      <c r="I71" s="31">
        <f t="shared" si="0"/>
        <v>24000</v>
      </c>
      <c r="J71" s="31">
        <f t="shared" si="1"/>
        <v>6000</v>
      </c>
      <c r="K71" s="35"/>
      <c r="L71" s="38">
        <f t="shared" si="2"/>
        <v>-6299.9999999997272</v>
      </c>
      <c r="M71" s="63">
        <f t="shared" si="3"/>
        <v>-6066.666666666606</v>
      </c>
      <c r="N71" s="15"/>
      <c r="R71" s="14"/>
    </row>
    <row r="72" spans="1:18">
      <c r="A72" s="8" t="s">
        <v>252</v>
      </c>
      <c r="B72" s="13">
        <v>41729</v>
      </c>
      <c r="C72" s="14">
        <v>5064</v>
      </c>
      <c r="D72" s="14">
        <v>14079</v>
      </c>
      <c r="E72" s="23">
        <v>2125.4</v>
      </c>
      <c r="F72" s="14">
        <v>0</v>
      </c>
      <c r="G72" s="14">
        <v>0</v>
      </c>
      <c r="H72" s="14"/>
      <c r="I72" s="31">
        <f t="shared" si="0"/>
        <v>8000</v>
      </c>
      <c r="J72" s="31">
        <f t="shared" si="1"/>
        <v>8333.3333333333339</v>
      </c>
      <c r="K72" s="35"/>
      <c r="L72" s="38">
        <f t="shared" si="2"/>
        <v>-4000</v>
      </c>
      <c r="M72" s="63">
        <f t="shared" si="3"/>
        <v>-5300.00000000003</v>
      </c>
      <c r="N72" s="15"/>
      <c r="R72" s="23"/>
    </row>
    <row r="73" spans="1:18">
      <c r="A73" s="8" t="s">
        <v>253</v>
      </c>
      <c r="B73" s="13">
        <v>41759</v>
      </c>
      <c r="C73" s="14">
        <v>5067</v>
      </c>
      <c r="D73" s="14">
        <v>14102</v>
      </c>
      <c r="E73" s="23">
        <v>2122.6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26000</v>
      </c>
      <c r="J73" s="31">
        <f t="shared" ref="J73:J133" si="5">IF(I72&lt;&gt;"", IF(I73&lt;&gt;"", (AVERAGE(I71:I73)), ""), "")</f>
        <v>19333.333333333332</v>
      </c>
      <c r="K73" s="35"/>
      <c r="L73" s="38">
        <f t="shared" ref="L73:L133" si="6">IF(E73&lt;&gt;"", ((E73-F73)-(E72-F72))*1000, "")</f>
        <v>-2800.0000000001819</v>
      </c>
      <c r="M73" s="63">
        <f t="shared" si="3"/>
        <v>-4366.666666666636</v>
      </c>
      <c r="N73" s="15"/>
      <c r="R73" s="14"/>
    </row>
    <row r="74" spans="1:18">
      <c r="A74" s="8" t="s">
        <v>254</v>
      </c>
      <c r="B74" s="13">
        <v>41790</v>
      </c>
      <c r="C74" s="14">
        <v>5062</v>
      </c>
      <c r="D74" s="14">
        <v>14109</v>
      </c>
      <c r="E74" s="23">
        <v>2122.8000000000002</v>
      </c>
      <c r="F74" s="14">
        <v>0</v>
      </c>
      <c r="G74" s="14">
        <v>0</v>
      </c>
      <c r="H74" s="14"/>
      <c r="I74" s="31">
        <f t="shared" si="4"/>
        <v>2000</v>
      </c>
      <c r="J74" s="31">
        <f t="shared" si="5"/>
        <v>12000</v>
      </c>
      <c r="K74" s="35"/>
      <c r="L74" s="38">
        <f t="shared" si="6"/>
        <v>200.00000000027285</v>
      </c>
      <c r="M74" s="63">
        <f t="shared" si="3"/>
        <v>-2199.9999999999695</v>
      </c>
      <c r="N74" s="15"/>
      <c r="R74" s="23"/>
    </row>
    <row r="75" spans="1:18">
      <c r="A75" s="8" t="s">
        <v>255</v>
      </c>
      <c r="B75" s="13">
        <v>41820</v>
      </c>
      <c r="C75" s="14">
        <v>5061</v>
      </c>
      <c r="D75" s="14">
        <v>14114</v>
      </c>
      <c r="E75" s="23">
        <v>2123</v>
      </c>
      <c r="F75" s="14">
        <v>0</v>
      </c>
      <c r="G75" s="14">
        <v>0</v>
      </c>
      <c r="H75" s="14"/>
      <c r="I75" s="31">
        <f t="shared" si="4"/>
        <v>4000</v>
      </c>
      <c r="J75" s="31">
        <f t="shared" si="5"/>
        <v>10666.666666666666</v>
      </c>
      <c r="K75" s="35"/>
      <c r="L75" s="38">
        <f t="shared" si="6"/>
        <v>199.9999999998181</v>
      </c>
      <c r="M75" s="63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256</v>
      </c>
      <c r="B76" s="13">
        <v>41851</v>
      </c>
      <c r="C76" s="14">
        <v>5057</v>
      </c>
      <c r="D76" s="14">
        <v>14124</v>
      </c>
      <c r="E76" s="23">
        <v>2123.1999999999998</v>
      </c>
      <c r="F76" s="14">
        <v>0</v>
      </c>
      <c r="G76" s="14">
        <v>0</v>
      </c>
      <c r="H76" s="14"/>
      <c r="I76" s="31">
        <f t="shared" si="4"/>
        <v>6000</v>
      </c>
      <c r="J76" s="31">
        <f t="shared" si="5"/>
        <v>4000</v>
      </c>
      <c r="K76" s="35"/>
      <c r="L76" s="38">
        <f t="shared" si="6"/>
        <v>199.9999999998181</v>
      </c>
      <c r="M76" s="63">
        <f t="shared" si="7"/>
        <v>199.99999999996967</v>
      </c>
      <c r="N76" s="15"/>
      <c r="R76" s="23"/>
    </row>
    <row r="77" spans="1:18">
      <c r="A77" s="8" t="s">
        <v>257</v>
      </c>
      <c r="B77" s="13">
        <v>41882</v>
      </c>
      <c r="C77" s="14">
        <v>5047</v>
      </c>
      <c r="D77" s="14">
        <v>14134</v>
      </c>
      <c r="E77" s="23">
        <v>2125.1999999999998</v>
      </c>
      <c r="F77" s="14">
        <v>0</v>
      </c>
      <c r="G77" s="14">
        <v>0</v>
      </c>
      <c r="H77" s="14"/>
      <c r="I77" s="31">
        <f t="shared" si="4"/>
        <v>0</v>
      </c>
      <c r="J77" s="31">
        <f t="shared" si="5"/>
        <v>3333.3333333333335</v>
      </c>
      <c r="K77" s="35"/>
      <c r="L77" s="38">
        <f t="shared" si="6"/>
        <v>2000</v>
      </c>
      <c r="M77" s="63">
        <f t="shared" si="7"/>
        <v>799.9999999998787</v>
      </c>
      <c r="N77" s="15"/>
      <c r="R77" s="14"/>
    </row>
    <row r="78" spans="1:18">
      <c r="A78" s="8" t="s">
        <v>352</v>
      </c>
      <c r="B78" s="13">
        <v>41912</v>
      </c>
      <c r="C78" s="14">
        <v>5070</v>
      </c>
      <c r="D78" s="14">
        <v>14133</v>
      </c>
      <c r="E78" s="23">
        <v>2123.5</v>
      </c>
      <c r="F78" s="14">
        <v>0</v>
      </c>
      <c r="G78" s="14">
        <v>0</v>
      </c>
      <c r="H78" s="14"/>
      <c r="I78" s="31">
        <f t="shared" si="4"/>
        <v>22000</v>
      </c>
      <c r="J78" s="31">
        <f t="shared" si="5"/>
        <v>9333.3333333333339</v>
      </c>
      <c r="K78" s="35"/>
      <c r="L78" s="38">
        <f t="shared" si="6"/>
        <v>-1699.9999999998181</v>
      </c>
      <c r="M78" s="63">
        <f t="shared" si="7"/>
        <v>166.66666666666666</v>
      </c>
      <c r="N78" s="15"/>
      <c r="R78" s="23"/>
    </row>
    <row r="79" spans="1:18">
      <c r="A79" s="8" t="s">
        <v>369</v>
      </c>
      <c r="B79" s="13">
        <v>41943</v>
      </c>
      <c r="C79" s="14">
        <v>5077</v>
      </c>
      <c r="D79" s="14">
        <v>14135</v>
      </c>
      <c r="E79" s="23">
        <v>2124.1999999999998</v>
      </c>
      <c r="F79" s="14">
        <v>0</v>
      </c>
      <c r="G79" s="14">
        <v>0</v>
      </c>
      <c r="H79" s="14"/>
      <c r="I79" s="31">
        <f t="shared" si="4"/>
        <v>9000</v>
      </c>
      <c r="J79" s="31">
        <f>IF(I78&lt;&gt;"", IF(I79&lt;&gt;"", (AVERAGE(I77:I79)), ""), "")</f>
        <v>10333.333333333334</v>
      </c>
      <c r="K79" s="35"/>
      <c r="L79" s="38">
        <f t="shared" si="6"/>
        <v>699.9999999998181</v>
      </c>
      <c r="M79" s="63">
        <f t="shared" si="7"/>
        <v>333.33333333333331</v>
      </c>
      <c r="N79" s="15"/>
      <c r="R79" s="14"/>
    </row>
    <row r="80" spans="1:18">
      <c r="A80" s="8" t="s">
        <v>409</v>
      </c>
      <c r="B80" s="13">
        <v>41973</v>
      </c>
      <c r="C80" s="14">
        <v>5080</v>
      </c>
      <c r="D80" s="14">
        <v>14134</v>
      </c>
      <c r="E80" s="23">
        <v>2125.3000000000002</v>
      </c>
      <c r="F80" s="14">
        <v>0</v>
      </c>
      <c r="G80" s="14">
        <v>0</v>
      </c>
      <c r="H80" s="14"/>
      <c r="I80" s="31">
        <f t="shared" si="4"/>
        <v>2000</v>
      </c>
      <c r="J80" s="31">
        <f t="shared" si="5"/>
        <v>11000</v>
      </c>
      <c r="K80" s="35"/>
      <c r="L80" s="38">
        <f t="shared" si="6"/>
        <v>1100.0000000003638</v>
      </c>
      <c r="M80" s="63">
        <f t="shared" si="7"/>
        <v>33.333333333454597</v>
      </c>
      <c r="N80" s="15"/>
      <c r="R80" s="23"/>
    </row>
    <row r="81" spans="2:18">
      <c r="B81" s="13"/>
      <c r="C81" s="14"/>
      <c r="D81" s="14"/>
      <c r="E81" s="23"/>
      <c r="F81" s="14"/>
      <c r="G81" s="14"/>
      <c r="H81" s="14"/>
      <c r="I81" s="31" t="str">
        <f t="shared" si="4"/>
        <v/>
      </c>
      <c r="J81" s="31" t="str">
        <f t="shared" si="5"/>
        <v/>
      </c>
      <c r="K81" s="35"/>
      <c r="L81" s="38" t="str">
        <f t="shared" si="6"/>
        <v/>
      </c>
      <c r="M81" s="63" t="str">
        <f t="shared" si="7"/>
        <v/>
      </c>
      <c r="N81" s="15"/>
      <c r="R81" s="14"/>
    </row>
    <row r="82" spans="2:18">
      <c r="B82" s="13"/>
      <c r="C82" s="14"/>
      <c r="D82" s="14"/>
      <c r="E82" s="23"/>
      <c r="F82" s="14"/>
      <c r="G82" s="14"/>
      <c r="H82" s="14"/>
      <c r="I82" s="31" t="str">
        <f t="shared" si="4"/>
        <v/>
      </c>
      <c r="J82" s="31" t="str">
        <f t="shared" si="5"/>
        <v/>
      </c>
      <c r="K82" s="35"/>
      <c r="L82" s="38" t="str">
        <f t="shared" si="6"/>
        <v/>
      </c>
      <c r="M82" s="63" t="str">
        <f t="shared" si="7"/>
        <v/>
      </c>
      <c r="N82" s="15"/>
      <c r="R82" s="23"/>
    </row>
    <row r="83" spans="2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2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2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2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2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2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2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2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2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2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2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2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2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2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C3" r:id="rId1"/>
    <hyperlink ref="D3" r:id="rId2"/>
    <hyperlink ref="E3" r:id="rId3"/>
    <hyperlink ref="F3" r:id="rId4"/>
    <hyperlink ref="G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69"/>
  <sheetViews>
    <sheetView zoomScale="85" zoomScaleNormal="85" workbookViewId="0">
      <selection activeCell="K6" sqref="K6:K28"/>
    </sheetView>
  </sheetViews>
  <sheetFormatPr defaultColWidth="12" defaultRowHeight="15"/>
  <cols>
    <col min="1" max="1" width="12" style="26"/>
    <col min="2" max="2" width="12" style="23"/>
    <col min="3" max="3" width="12" style="26"/>
    <col min="4" max="4" width="12" style="23"/>
    <col min="5" max="5" width="12" style="26"/>
    <col min="6" max="6" width="12" style="23"/>
    <col min="7" max="7" width="12" style="26"/>
    <col min="8" max="8" width="12" style="23"/>
  </cols>
  <sheetData>
    <row r="1" spans="1:12">
      <c r="A1" s="26" t="s">
        <v>135</v>
      </c>
    </row>
    <row r="2" spans="1:12">
      <c r="A2" s="26" t="s">
        <v>137</v>
      </c>
      <c r="B2" s="23" t="s">
        <v>134</v>
      </c>
      <c r="F2" s="40">
        <v>39814</v>
      </c>
      <c r="J2" s="20" t="s">
        <v>412</v>
      </c>
      <c r="K2" s="20" t="s">
        <v>413</v>
      </c>
      <c r="L2" s="21" t="s">
        <v>417</v>
      </c>
    </row>
    <row r="3" spans="1:12">
      <c r="A3" s="26" t="s">
        <v>133</v>
      </c>
      <c r="B3" s="23" t="s">
        <v>132</v>
      </c>
      <c r="J3" s="20" t="s">
        <v>7</v>
      </c>
      <c r="K3" s="20"/>
      <c r="L3" s="20" t="s">
        <v>420</v>
      </c>
    </row>
    <row r="4" spans="1:12">
      <c r="A4" s="26">
        <f>$F$2</f>
        <v>39814</v>
      </c>
      <c r="B4" s="23" t="s">
        <v>368</v>
      </c>
      <c r="J4" s="20" t="s">
        <v>403</v>
      </c>
      <c r="K4" s="20"/>
      <c r="L4" s="20" t="s">
        <v>404</v>
      </c>
    </row>
    <row r="5" spans="1:12">
      <c r="A5" s="27" t="s">
        <v>136</v>
      </c>
      <c r="B5" s="28"/>
      <c r="C5" s="27"/>
      <c r="E5" s="27"/>
      <c r="G5" s="27"/>
      <c r="J5" s="19" t="s">
        <v>26</v>
      </c>
      <c r="K5" s="19"/>
      <c r="L5" s="19" t="s">
        <v>405</v>
      </c>
    </row>
    <row r="6" spans="1:12">
      <c r="A6" s="26" t="s">
        <v>379</v>
      </c>
      <c r="J6" t="s">
        <v>380</v>
      </c>
      <c r="K6" s="108">
        <v>39814</v>
      </c>
      <c r="L6" s="14">
        <v>1</v>
      </c>
    </row>
    <row r="7" spans="1:12">
      <c r="A7" s="26" t="s">
        <v>138</v>
      </c>
      <c r="B7" s="23" t="s">
        <v>139</v>
      </c>
      <c r="J7" t="s">
        <v>381</v>
      </c>
      <c r="K7" s="108">
        <v>39904</v>
      </c>
      <c r="L7" s="14">
        <v>1</v>
      </c>
    </row>
    <row r="8" spans="1:12">
      <c r="A8" s="26">
        <v>39814</v>
      </c>
      <c r="B8" s="23">
        <v>288.7</v>
      </c>
      <c r="C8" s="109">
        <f>VLOOKUP(A8, K6:L28, 2, FALSE)</f>
        <v>1</v>
      </c>
      <c r="J8" t="s">
        <v>382</v>
      </c>
      <c r="K8" s="108">
        <v>39995</v>
      </c>
      <c r="L8" s="14">
        <v>0</v>
      </c>
    </row>
    <row r="9" spans="1:12">
      <c r="A9" s="26">
        <v>39904</v>
      </c>
      <c r="B9" s="23">
        <v>294.7</v>
      </c>
      <c r="C9" s="109">
        <f t="shared" ref="C9:C30" si="0">VLOOKUP(A9, K7:L29, 2, FALSE)</f>
        <v>1</v>
      </c>
      <c r="J9" t="s">
        <v>383</v>
      </c>
      <c r="K9" s="108">
        <v>40087</v>
      </c>
      <c r="L9" s="14">
        <v>0</v>
      </c>
    </row>
    <row r="10" spans="1:12">
      <c r="A10" s="26">
        <v>39995</v>
      </c>
      <c r="B10" s="23">
        <v>293.3</v>
      </c>
      <c r="C10" s="109">
        <f t="shared" si="0"/>
        <v>0</v>
      </c>
      <c r="J10" t="s">
        <v>384</v>
      </c>
      <c r="K10" s="108">
        <v>40179</v>
      </c>
      <c r="L10" s="14">
        <v>0</v>
      </c>
    </row>
    <row r="11" spans="1:12">
      <c r="A11" s="26">
        <v>40087</v>
      </c>
      <c r="B11" s="23">
        <v>282.39999999999998</v>
      </c>
      <c r="C11" s="109">
        <f t="shared" si="0"/>
        <v>0</v>
      </c>
      <c r="J11" t="s">
        <v>385</v>
      </c>
      <c r="K11" s="108">
        <v>40269</v>
      </c>
      <c r="L11" s="14">
        <v>0</v>
      </c>
    </row>
    <row r="12" spans="1:12">
      <c r="A12" s="26">
        <v>40179</v>
      </c>
      <c r="B12" s="23">
        <v>273.60000000000002</v>
      </c>
      <c r="C12" s="109">
        <f t="shared" si="0"/>
        <v>0</v>
      </c>
      <c r="J12" t="s">
        <v>386</v>
      </c>
      <c r="K12" s="108">
        <v>40360</v>
      </c>
      <c r="L12" s="14">
        <v>0</v>
      </c>
    </row>
    <row r="13" spans="1:12">
      <c r="A13" s="26">
        <v>40269</v>
      </c>
      <c r="B13" s="23">
        <v>284.2</v>
      </c>
      <c r="C13" s="109">
        <f t="shared" si="0"/>
        <v>0</v>
      </c>
      <c r="J13" t="s">
        <v>387</v>
      </c>
      <c r="K13" s="108">
        <v>40452</v>
      </c>
      <c r="L13" s="14">
        <v>0</v>
      </c>
    </row>
    <row r="14" spans="1:12">
      <c r="A14" s="26">
        <v>40360</v>
      </c>
      <c r="B14" s="23">
        <v>285.60000000000002</v>
      </c>
      <c r="C14" s="109">
        <f t="shared" si="0"/>
        <v>0</v>
      </c>
      <c r="J14" t="s">
        <v>388</v>
      </c>
      <c r="K14" s="108">
        <v>40544</v>
      </c>
      <c r="L14" s="14">
        <v>0</v>
      </c>
    </row>
    <row r="15" spans="1:12">
      <c r="A15" s="26">
        <v>40452</v>
      </c>
      <c r="B15" s="23">
        <v>274.5</v>
      </c>
      <c r="C15" s="109">
        <f t="shared" si="0"/>
        <v>0</v>
      </c>
      <c r="J15" t="s">
        <v>389</v>
      </c>
      <c r="K15" s="108">
        <v>40634</v>
      </c>
      <c r="L15" s="14">
        <v>0</v>
      </c>
    </row>
    <row r="16" spans="1:12">
      <c r="A16" s="26">
        <v>40544</v>
      </c>
      <c r="B16" s="23">
        <v>265.7</v>
      </c>
      <c r="C16" s="109">
        <f t="shared" si="0"/>
        <v>0</v>
      </c>
      <c r="J16" t="s">
        <v>390</v>
      </c>
      <c r="K16" s="108">
        <v>40725</v>
      </c>
      <c r="L16" s="14">
        <v>0</v>
      </c>
    </row>
    <row r="17" spans="1:12">
      <c r="A17" s="26">
        <v>40634</v>
      </c>
      <c r="B17" s="23">
        <v>261.39999999999998</v>
      </c>
      <c r="C17" s="109">
        <f t="shared" si="0"/>
        <v>0</v>
      </c>
      <c r="J17" t="s">
        <v>391</v>
      </c>
      <c r="K17" s="108">
        <v>40817</v>
      </c>
      <c r="L17" s="14">
        <v>0</v>
      </c>
    </row>
    <row r="18" spans="1:12">
      <c r="A18" s="26">
        <v>40725</v>
      </c>
      <c r="B18" s="23">
        <v>258.60000000000002</v>
      </c>
      <c r="C18" s="109">
        <f t="shared" si="0"/>
        <v>0</v>
      </c>
      <c r="J18" t="s">
        <v>392</v>
      </c>
      <c r="K18" s="108">
        <v>40909</v>
      </c>
      <c r="L18" s="14">
        <v>0</v>
      </c>
    </row>
    <row r="19" spans="1:12">
      <c r="A19" s="26">
        <v>40817</v>
      </c>
      <c r="B19" s="23">
        <v>257.89999999999998</v>
      </c>
      <c r="C19" s="109">
        <f t="shared" si="0"/>
        <v>0</v>
      </c>
      <c r="J19" t="s">
        <v>393</v>
      </c>
      <c r="K19" s="108">
        <v>41000</v>
      </c>
      <c r="L19" s="14">
        <v>0</v>
      </c>
    </row>
    <row r="20" spans="1:12">
      <c r="A20" s="26">
        <v>40909</v>
      </c>
      <c r="B20" s="23">
        <v>249.2</v>
      </c>
      <c r="C20" s="109">
        <f t="shared" si="0"/>
        <v>0</v>
      </c>
      <c r="J20" t="s">
        <v>394</v>
      </c>
      <c r="K20" s="108">
        <v>41091</v>
      </c>
      <c r="L20" s="14">
        <v>0</v>
      </c>
    </row>
    <row r="21" spans="1:12">
      <c r="A21" s="26">
        <v>41000</v>
      </c>
      <c r="B21" s="23">
        <v>247.1</v>
      </c>
      <c r="C21" s="109">
        <f t="shared" si="0"/>
        <v>0</v>
      </c>
      <c r="J21" t="s">
        <v>395</v>
      </c>
      <c r="K21" s="108">
        <v>41183</v>
      </c>
      <c r="L21" s="14">
        <v>0</v>
      </c>
    </row>
    <row r="22" spans="1:12">
      <c r="A22" s="26">
        <v>41091</v>
      </c>
      <c r="B22" s="23">
        <v>240.5</v>
      </c>
      <c r="C22" s="109">
        <f t="shared" si="0"/>
        <v>0</v>
      </c>
      <c r="J22" t="s">
        <v>396</v>
      </c>
      <c r="K22" s="108">
        <v>41275</v>
      </c>
      <c r="L22" s="14">
        <v>0</v>
      </c>
    </row>
    <row r="23" spans="1:12">
      <c r="A23" s="26">
        <v>41183</v>
      </c>
      <c r="B23" s="23">
        <v>233.4</v>
      </c>
      <c r="C23" s="109">
        <f t="shared" si="0"/>
        <v>0</v>
      </c>
      <c r="J23" t="s">
        <v>397</v>
      </c>
      <c r="K23" s="108">
        <v>41365</v>
      </c>
      <c r="L23" s="14">
        <v>0</v>
      </c>
    </row>
    <row r="24" spans="1:12">
      <c r="A24" s="26">
        <v>41275</v>
      </c>
      <c r="B24" s="23">
        <v>228.6</v>
      </c>
      <c r="C24" s="109">
        <f t="shared" si="0"/>
        <v>0</v>
      </c>
      <c r="J24" t="s">
        <v>398</v>
      </c>
      <c r="K24" s="108">
        <v>41456</v>
      </c>
      <c r="L24" s="14">
        <v>0</v>
      </c>
    </row>
    <row r="25" spans="1:12">
      <c r="A25" s="26">
        <v>41365</v>
      </c>
      <c r="B25" s="23">
        <v>233.7</v>
      </c>
      <c r="C25" s="109">
        <f t="shared" si="0"/>
        <v>0</v>
      </c>
      <c r="J25" t="s">
        <v>399</v>
      </c>
      <c r="K25" s="108">
        <v>41548</v>
      </c>
      <c r="L25" s="14">
        <v>0</v>
      </c>
    </row>
    <row r="26" spans="1:12">
      <c r="A26" s="26">
        <v>41456</v>
      </c>
      <c r="B26" s="23">
        <v>233</v>
      </c>
      <c r="C26" s="109">
        <f t="shared" si="0"/>
        <v>0</v>
      </c>
      <c r="J26" t="s">
        <v>400</v>
      </c>
      <c r="K26" s="108">
        <v>41640</v>
      </c>
      <c r="L26" s="14">
        <v>0</v>
      </c>
    </row>
    <row r="27" spans="1:12">
      <c r="A27" s="26">
        <v>41548</v>
      </c>
      <c r="B27" s="23">
        <v>231.2</v>
      </c>
      <c r="C27" s="109">
        <f t="shared" si="0"/>
        <v>0</v>
      </c>
      <c r="J27" t="s">
        <v>401</v>
      </c>
      <c r="K27" s="108">
        <v>41730</v>
      </c>
      <c r="L27" s="14">
        <v>0</v>
      </c>
    </row>
    <row r="28" spans="1:12">
      <c r="A28" s="26">
        <v>41640</v>
      </c>
      <c r="B28" s="23">
        <v>223.6</v>
      </c>
      <c r="C28" s="109">
        <f t="shared" si="0"/>
        <v>0</v>
      </c>
      <c r="J28" t="s">
        <v>402</v>
      </c>
      <c r="K28" s="108">
        <v>41821</v>
      </c>
      <c r="L28" s="14">
        <v>0</v>
      </c>
    </row>
    <row r="29" spans="1:12">
      <c r="A29" s="26">
        <v>41730</v>
      </c>
      <c r="B29" s="23">
        <v>232.9</v>
      </c>
      <c r="C29" s="109">
        <f t="shared" si="0"/>
        <v>0</v>
      </c>
    </row>
    <row r="30" spans="1:12">
      <c r="A30" s="26">
        <v>41821</v>
      </c>
      <c r="B30" s="23">
        <v>232.4</v>
      </c>
      <c r="C30" s="109">
        <f t="shared" si="0"/>
        <v>0</v>
      </c>
    </row>
    <row r="46" spans="1:2">
      <c r="A46" s="40"/>
      <c r="B46" s="32"/>
    </row>
    <row r="47" spans="1:2">
      <c r="A47" s="40"/>
      <c r="B47" s="32"/>
    </row>
    <row r="48" spans="1:2">
      <c r="A48" s="40"/>
      <c r="B48" s="32"/>
    </row>
    <row r="49" spans="1:2">
      <c r="A49" s="40"/>
      <c r="B49" s="32"/>
    </row>
    <row r="50" spans="1:2">
      <c r="A50" s="40"/>
      <c r="B50" s="32"/>
    </row>
    <row r="51" spans="1:2">
      <c r="A51" s="40"/>
      <c r="B51" s="32"/>
    </row>
    <row r="52" spans="1:2">
      <c r="A52" s="40"/>
      <c r="B52" s="32"/>
    </row>
    <row r="53" spans="1:2">
      <c r="A53" s="40"/>
      <c r="B53" s="32"/>
    </row>
    <row r="54" spans="1:2">
      <c r="A54" s="40"/>
      <c r="B54" s="32"/>
    </row>
    <row r="55" spans="1:2">
      <c r="A55" s="40"/>
      <c r="B55" s="32"/>
    </row>
    <row r="56" spans="1:2">
      <c r="A56" s="40"/>
      <c r="B56" s="32"/>
    </row>
    <row r="57" spans="1:2">
      <c r="A57" s="40"/>
      <c r="B57" s="32"/>
    </row>
    <row r="58" spans="1:2">
      <c r="A58" s="40"/>
      <c r="B58" s="32"/>
    </row>
    <row r="59" spans="1:2">
      <c r="A59" s="40"/>
      <c r="B59" s="32"/>
    </row>
    <row r="60" spans="1:2">
      <c r="A60" s="40"/>
      <c r="B60" s="32"/>
    </row>
    <row r="61" spans="1:2">
      <c r="A61" s="40"/>
      <c r="B61" s="32"/>
    </row>
    <row r="62" spans="1:2">
      <c r="A62" s="40"/>
      <c r="B62" s="32"/>
    </row>
    <row r="63" spans="1:2">
      <c r="A63" s="40"/>
      <c r="B63" s="32"/>
    </row>
    <row r="64" spans="1:2">
      <c r="A64" s="40"/>
      <c r="B64" s="32"/>
    </row>
    <row r="65" spans="1:2">
      <c r="A65" s="40"/>
      <c r="B65" s="32"/>
    </row>
    <row r="66" spans="1:2">
      <c r="A66" s="40"/>
      <c r="B66" s="32"/>
    </row>
    <row r="67" spans="1:2">
      <c r="A67" s="40"/>
      <c r="B67" s="32"/>
    </row>
    <row r="68" spans="1:2">
      <c r="A68" s="54"/>
      <c r="B68" s="35"/>
    </row>
    <row r="69" spans="1:2">
      <c r="A69" s="54"/>
      <c r="B69" s="35"/>
    </row>
  </sheetData>
  <sortState ref="L8:L28">
    <sortCondition ref="L8"/>
  </sortState>
  <hyperlinks>
    <hyperlink ref="L2" r:id="rId1"/>
    <hyperlink ref="A5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zoomScaleNormal="100" workbookViewId="0"/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19"/>
  </cols>
  <sheetData>
    <row r="2" spans="1:10">
      <c r="A2" s="22" t="s">
        <v>323</v>
      </c>
      <c r="B2" s="12" t="s">
        <v>0</v>
      </c>
      <c r="C2" s="33" t="s">
        <v>151</v>
      </c>
      <c r="D2" s="33" t="s">
        <v>152</v>
      </c>
      <c r="E2" s="33" t="s">
        <v>153</v>
      </c>
      <c r="F2" s="33" t="s">
        <v>154</v>
      </c>
      <c r="J2" s="21" t="s">
        <v>417</v>
      </c>
    </row>
    <row r="3" spans="1:10">
      <c r="A3" s="11" t="s">
        <v>7</v>
      </c>
      <c r="C3" t="s">
        <v>157</v>
      </c>
      <c r="D3" t="s">
        <v>158</v>
      </c>
      <c r="E3" t="s">
        <v>159</v>
      </c>
      <c r="F3" t="s">
        <v>160</v>
      </c>
      <c r="J3" s="20" t="s">
        <v>420</v>
      </c>
    </row>
    <row r="4" spans="1:10">
      <c r="A4" s="11" t="s">
        <v>22</v>
      </c>
      <c r="C4" t="s">
        <v>156</v>
      </c>
      <c r="D4" t="s">
        <v>156</v>
      </c>
      <c r="E4" t="s">
        <v>156</v>
      </c>
      <c r="F4" t="s">
        <v>156</v>
      </c>
      <c r="G4" s="19" t="s">
        <v>161</v>
      </c>
      <c r="I4" t="s">
        <v>163</v>
      </c>
      <c r="J4" s="20" t="s">
        <v>411</v>
      </c>
    </row>
    <row r="5" spans="1:10">
      <c r="A5" s="11" t="s">
        <v>26</v>
      </c>
      <c r="C5" t="s">
        <v>291</v>
      </c>
      <c r="D5" t="s">
        <v>291</v>
      </c>
      <c r="E5" t="s">
        <v>291</v>
      </c>
      <c r="F5" t="s">
        <v>291</v>
      </c>
      <c r="H5" s="56" t="s">
        <v>162</v>
      </c>
      <c r="J5" s="19" t="s">
        <v>405</v>
      </c>
    </row>
    <row r="6" spans="1:10">
      <c r="A6" s="11" t="s">
        <v>16</v>
      </c>
      <c r="B6" s="13"/>
      <c r="C6" s="14" t="s">
        <v>155</v>
      </c>
      <c r="D6" s="14" t="s">
        <v>155</v>
      </c>
      <c r="E6" s="14" t="s">
        <v>155</v>
      </c>
      <c r="F6" t="s">
        <v>155</v>
      </c>
      <c r="J6" t="s">
        <v>415</v>
      </c>
    </row>
    <row r="7" spans="1:10">
      <c r="A7" s="11" t="s">
        <v>19</v>
      </c>
      <c r="B7" s="13"/>
      <c r="C7" s="14" t="s">
        <v>290</v>
      </c>
      <c r="D7" s="14" t="s">
        <v>290</v>
      </c>
      <c r="E7" s="14" t="s">
        <v>290</v>
      </c>
      <c r="F7" t="s">
        <v>290</v>
      </c>
      <c r="J7" t="s">
        <v>414</v>
      </c>
    </row>
    <row r="8" spans="1:10">
      <c r="A8" s="11" t="s">
        <v>322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60" si="0">SUM(C8:F8)/1000</f>
        <v>186.52</v>
      </c>
      <c r="J8" s="14">
        <v>0</v>
      </c>
    </row>
    <row r="9" spans="1:10">
      <c r="A9" s="11" t="s">
        <v>324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325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326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327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>
        <f>G12/G8-1</f>
        <v>-1.9107870469654897E-2</v>
      </c>
      <c r="J12" s="14">
        <v>0</v>
      </c>
    </row>
    <row r="13" spans="1:10">
      <c r="A13" s="11" t="s">
        <v>328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ref="H13:H56" si="1">G13/G9-1</f>
        <v>8.9863594915979617E-2</v>
      </c>
      <c r="J13" s="14">
        <v>0</v>
      </c>
    </row>
    <row r="14" spans="1:10">
      <c r="A14" s="11" t="s">
        <v>329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330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>AVERAGE(H12:H15)</f>
        <v>5.369569361085616E-2</v>
      </c>
      <c r="J15" s="14">
        <v>0</v>
      </c>
    </row>
    <row r="16" spans="1:10">
      <c r="A16" s="11" t="s">
        <v>331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>AVERAGE(H13:H16)</f>
        <v>8.4668850475957902E-2</v>
      </c>
      <c r="J16" s="14">
        <v>0</v>
      </c>
    </row>
    <row r="17" spans="1:10">
      <c r="A17" s="11" t="s">
        <v>332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ref="I17:I56" si="2">AVERAGE(H14:H17)</f>
        <v>7.7355372377818199E-2</v>
      </c>
      <c r="J17" s="14">
        <v>0</v>
      </c>
    </row>
    <row r="18" spans="1:10">
      <c r="A18" s="11" t="s">
        <v>333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334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>G19/G15-1</f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335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>AVERAGE(H17:H20)</f>
        <v>0.10554327532003155</v>
      </c>
      <c r="J20" s="14">
        <v>0</v>
      </c>
    </row>
    <row r="21" spans="1:10">
      <c r="A21" s="11" t="s">
        <v>336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337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338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339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340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341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314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315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316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317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318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319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320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321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289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292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293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294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>AVERAGE(H35:H38)</f>
        <v>-3.8799180571538583E-2</v>
      </c>
      <c r="J38" s="14">
        <v>0</v>
      </c>
    </row>
    <row r="39" spans="1:10">
      <c r="A39" s="11" t="s">
        <v>295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296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297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298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299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300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301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302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303</v>
      </c>
      <c r="B47" s="42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1">
        <f t="shared" si="0"/>
        <v>270.72500000000002</v>
      </c>
      <c r="H47" s="20">
        <f t="shared" si="1"/>
        <v>2.5054144516637233E-2</v>
      </c>
      <c r="I47" s="29">
        <f t="shared" si="2"/>
        <v>4.5467232762942844E-2</v>
      </c>
      <c r="J47" s="14">
        <v>0</v>
      </c>
    </row>
    <row r="48" spans="1:10">
      <c r="A48" s="11" t="s">
        <v>304</v>
      </c>
      <c r="B48" s="42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1">
        <f t="shared" si="0"/>
        <v>290.755</v>
      </c>
      <c r="H48" s="20">
        <f t="shared" si="1"/>
        <v>3.3560363152917994E-2</v>
      </c>
      <c r="I48" s="29">
        <f t="shared" si="2"/>
        <v>3.312359756279798E-2</v>
      </c>
      <c r="J48" s="14">
        <v>0</v>
      </c>
    </row>
    <row r="49" spans="1:10">
      <c r="A49" s="11" t="s">
        <v>305</v>
      </c>
      <c r="B49" s="42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1">
        <f t="shared" si="0"/>
        <v>248.61099999999999</v>
      </c>
      <c r="H49" s="20">
        <f t="shared" si="1"/>
        <v>5.2223708268436475E-2</v>
      </c>
      <c r="I49" s="29">
        <f t="shared" si="2"/>
        <v>3.8314979040426356E-2</v>
      </c>
      <c r="J49" s="14">
        <v>0</v>
      </c>
    </row>
    <row r="50" spans="1:10">
      <c r="A50" s="11" t="s">
        <v>306</v>
      </c>
      <c r="B50" s="42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1">
        <f t="shared" si="0"/>
        <v>347.43200000000002</v>
      </c>
      <c r="H50" s="20">
        <f t="shared" si="1"/>
        <v>3.5586435484495915E-2</v>
      </c>
      <c r="I50" s="29">
        <f t="shared" si="2"/>
        <v>3.6606162855621904E-2</v>
      </c>
      <c r="J50" s="14">
        <v>0</v>
      </c>
    </row>
    <row r="51" spans="1:10">
      <c r="A51" s="11" t="s">
        <v>307</v>
      </c>
      <c r="B51" s="42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1">
        <f t="shared" si="0"/>
        <v>287.137</v>
      </c>
      <c r="H51" s="20">
        <f t="shared" si="1"/>
        <v>6.0622402807276599E-2</v>
      </c>
      <c r="I51" s="29">
        <f t="shared" si="2"/>
        <v>4.5498227428281746E-2</v>
      </c>
      <c r="J51" s="14">
        <v>0</v>
      </c>
    </row>
    <row r="52" spans="1:10">
      <c r="A52" s="11" t="s">
        <v>308</v>
      </c>
      <c r="B52" s="42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1">
        <f t="shared" si="0"/>
        <v>309.66300000000001</v>
      </c>
      <c r="H52" s="20">
        <f t="shared" si="1"/>
        <v>6.5030695946759254E-2</v>
      </c>
      <c r="I52" s="29">
        <f t="shared" si="2"/>
        <v>5.3365810626742061E-2</v>
      </c>
      <c r="J52" s="14">
        <v>0</v>
      </c>
    </row>
    <row r="53" spans="1:10">
      <c r="A53" s="11" t="s">
        <v>309</v>
      </c>
      <c r="B53" s="42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1">
        <f t="shared" si="0"/>
        <v>262.863</v>
      </c>
      <c r="H53" s="20">
        <f t="shared" si="1"/>
        <v>5.7326506067712169E-2</v>
      </c>
      <c r="I53" s="29">
        <f t="shared" si="2"/>
        <v>5.4641510076560984E-2</v>
      </c>
      <c r="J53" s="14">
        <v>0</v>
      </c>
    </row>
    <row r="54" spans="1:10">
      <c r="A54" s="11" t="s">
        <v>310</v>
      </c>
      <c r="B54" s="42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1">
        <f t="shared" si="0"/>
        <v>356.66399999999999</v>
      </c>
      <c r="H54" s="20">
        <f t="shared" si="1"/>
        <v>2.6572106196320444E-2</v>
      </c>
      <c r="I54" s="29">
        <f t="shared" si="2"/>
        <v>5.2387927754517116E-2</v>
      </c>
      <c r="J54" s="14">
        <v>0</v>
      </c>
    </row>
    <row r="55" spans="1:10">
      <c r="A55" s="11" t="s">
        <v>311</v>
      </c>
      <c r="B55" s="42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1">
        <f t="shared" si="0"/>
        <v>294.22199999999998</v>
      </c>
      <c r="H55" s="20">
        <f t="shared" si="1"/>
        <v>2.4674632666636498E-2</v>
      </c>
      <c r="I55" s="29">
        <f t="shared" si="2"/>
        <v>4.3400985219357091E-2</v>
      </c>
      <c r="J55" s="14">
        <v>0</v>
      </c>
    </row>
    <row r="56" spans="1:10">
      <c r="A56" s="11" t="s">
        <v>312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1">
        <f t="shared" si="0"/>
        <v>309.52999999999997</v>
      </c>
      <c r="H56" s="20">
        <f t="shared" si="1"/>
        <v>-4.2949916522172504E-4</v>
      </c>
      <c r="I56" s="29">
        <f t="shared" si="2"/>
        <v>2.7035936441361846E-2</v>
      </c>
      <c r="J56" s="14">
        <v>0</v>
      </c>
    </row>
    <row r="57" spans="1:10">
      <c r="A57" s="11" t="s">
        <v>416</v>
      </c>
      <c r="B57" s="13">
        <v>41912</v>
      </c>
      <c r="G57" s="41">
        <f t="shared" si="0"/>
        <v>0</v>
      </c>
      <c r="H57" s="20"/>
      <c r="I57" s="20"/>
      <c r="J57" s="14">
        <v>0</v>
      </c>
    </row>
    <row r="58" spans="1:10">
      <c r="B58" s="13"/>
      <c r="G58" s="41">
        <f t="shared" si="0"/>
        <v>0</v>
      </c>
      <c r="H58" s="20"/>
      <c r="I58" s="20"/>
    </row>
    <row r="59" spans="1:10">
      <c r="B59" s="13"/>
      <c r="G59" s="41">
        <f t="shared" si="0"/>
        <v>0</v>
      </c>
      <c r="H59" s="20"/>
      <c r="I59" s="20"/>
    </row>
    <row r="60" spans="1:10">
      <c r="B60" s="13"/>
      <c r="G60" s="41">
        <f t="shared" si="0"/>
        <v>0</v>
      </c>
      <c r="H60" s="20"/>
      <c r="I60" s="20"/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workbookViewId="0">
      <selection activeCell="E1" sqref="E1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2" t="s">
        <v>288</v>
      </c>
      <c r="B4" s="22" t="s">
        <v>413</v>
      </c>
      <c r="C4" s="17" t="s">
        <v>114</v>
      </c>
      <c r="D4" s="17" t="s">
        <v>115</v>
      </c>
      <c r="E4" s="17" t="s">
        <v>112</v>
      </c>
      <c r="F4" s="17" t="s">
        <v>113</v>
      </c>
      <c r="G4" s="111" t="s">
        <v>422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  <c r="G5" t="s">
        <v>421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  <c r="G6" t="s">
        <v>411</v>
      </c>
    </row>
    <row r="7" spans="1:14">
      <c r="A7" s="16" t="s">
        <v>26</v>
      </c>
      <c r="C7" t="s">
        <v>174</v>
      </c>
      <c r="D7" t="s">
        <v>174</v>
      </c>
      <c r="E7" t="s">
        <v>182</v>
      </c>
      <c r="F7" t="s">
        <v>182</v>
      </c>
      <c r="G7" t="s">
        <v>405</v>
      </c>
    </row>
    <row r="8" spans="1:14">
      <c r="A8" s="16" t="s">
        <v>31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32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33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34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35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36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37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38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39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40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41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42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43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44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45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46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47</v>
      </c>
      <c r="B24" s="43">
        <v>33239</v>
      </c>
      <c r="C24" s="32" t="e">
        <v>#N/A</v>
      </c>
      <c r="D24" s="32" t="e">
        <v>#N/A</v>
      </c>
      <c r="E24" s="44">
        <v>17.266999999999999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48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49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50</v>
      </c>
      <c r="B27" s="43">
        <v>34335</v>
      </c>
      <c r="C27" s="32" t="e">
        <v>#N/A</v>
      </c>
      <c r="D27" s="32" t="e">
        <v>#N/A</v>
      </c>
      <c r="E27" s="44">
        <v>17.486000000000001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51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52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53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54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55</v>
      </c>
      <c r="B32" s="43">
        <v>36161</v>
      </c>
      <c r="C32" s="32" t="e">
        <v>#N/A</v>
      </c>
      <c r="D32" s="32" t="e">
        <v>#N/A</v>
      </c>
      <c r="E32" s="44">
        <v>19.207999999999998</v>
      </c>
      <c r="F32" s="44">
        <v>17.888000000000002</v>
      </c>
      <c r="G32" s="14">
        <v>0</v>
      </c>
      <c r="H32" s="20">
        <f t="shared" si="0"/>
        <v>0</v>
      </c>
    </row>
    <row r="33" spans="1:8">
      <c r="A33" s="16" t="s">
        <v>56</v>
      </c>
      <c r="B33" s="43">
        <v>36526</v>
      </c>
      <c r="C33" s="32" t="e">
        <v>#N/A</v>
      </c>
      <c r="D33" s="32" t="e">
        <v>#N/A</v>
      </c>
      <c r="E33" s="44">
        <v>19.945</v>
      </c>
      <c r="F33" s="44">
        <v>17.617999999999999</v>
      </c>
      <c r="G33" s="14">
        <v>0</v>
      </c>
      <c r="H33" s="20">
        <f t="shared" si="0"/>
        <v>0</v>
      </c>
    </row>
    <row r="34" spans="1:8">
      <c r="A34" s="16" t="s">
        <v>57</v>
      </c>
      <c r="B34" s="43">
        <v>36892</v>
      </c>
      <c r="C34" s="32" t="e">
        <v>#N/A</v>
      </c>
      <c r="D34" s="32" t="e">
        <v>#N/A</v>
      </c>
      <c r="E34" s="44">
        <v>18.84</v>
      </c>
      <c r="F34" s="44">
        <v>17.626999999999999</v>
      </c>
      <c r="G34" s="14">
        <v>3</v>
      </c>
      <c r="H34" s="20">
        <f t="shared" si="0"/>
        <v>1</v>
      </c>
    </row>
    <row r="35" spans="1:8">
      <c r="A35" s="16" t="s">
        <v>58</v>
      </c>
      <c r="B35" s="43">
        <v>37257</v>
      </c>
      <c r="C35" s="32" t="e">
        <v>#N/A</v>
      </c>
      <c r="D35" s="32" t="e">
        <v>#N/A</v>
      </c>
      <c r="E35" s="44">
        <v>17.033000000000001</v>
      </c>
      <c r="F35" s="44">
        <v>18.483000000000001</v>
      </c>
      <c r="G35" s="14">
        <v>0</v>
      </c>
      <c r="H35" s="20">
        <f t="shared" si="0"/>
        <v>0</v>
      </c>
    </row>
    <row r="36" spans="1:8">
      <c r="A36" s="16" t="s">
        <v>59</v>
      </c>
      <c r="B36" s="43">
        <v>37622</v>
      </c>
      <c r="C36" s="32" t="e">
        <v>#N/A</v>
      </c>
      <c r="D36" s="32" t="e">
        <v>#N/A</v>
      </c>
      <c r="E36" s="44">
        <v>15.725</v>
      </c>
      <c r="F36" s="44">
        <v>19.056999999999999</v>
      </c>
      <c r="G36" s="14">
        <v>0</v>
      </c>
      <c r="H36" s="20">
        <f t="shared" si="0"/>
        <v>0</v>
      </c>
    </row>
    <row r="37" spans="1:8">
      <c r="A37" s="16" t="s">
        <v>60</v>
      </c>
      <c r="B37" s="43">
        <v>37987</v>
      </c>
      <c r="C37" s="32" t="e">
        <v>#N/A</v>
      </c>
      <c r="D37" s="32" t="e">
        <v>#N/A</v>
      </c>
      <c r="E37" s="44">
        <v>15.55</v>
      </c>
      <c r="F37" s="44">
        <v>18.963999999999999</v>
      </c>
      <c r="G37" s="14">
        <v>0</v>
      </c>
      <c r="H37" s="20">
        <f t="shared" si="0"/>
        <v>0</v>
      </c>
    </row>
    <row r="38" spans="1:8">
      <c r="A38" s="16" t="s">
        <v>61</v>
      </c>
      <c r="B38" s="43">
        <v>38353</v>
      </c>
      <c r="C38" s="32" t="e">
        <v>#N/A</v>
      </c>
      <c r="D38" s="32" t="e">
        <v>#N/A</v>
      </c>
      <c r="E38" s="44">
        <v>16.707000000000001</v>
      </c>
      <c r="F38" s="44">
        <v>19.177</v>
      </c>
      <c r="G38" s="14">
        <v>0</v>
      </c>
      <c r="H38" s="20">
        <f t="shared" si="0"/>
        <v>0</v>
      </c>
    </row>
    <row r="39" spans="1:8">
      <c r="A39" s="16" t="s">
        <v>62</v>
      </c>
      <c r="B39" s="43">
        <v>38718</v>
      </c>
      <c r="C39" s="32" t="e">
        <v>#N/A</v>
      </c>
      <c r="D39" s="32" t="e">
        <v>#N/A</v>
      </c>
      <c r="E39" s="44">
        <v>17.585999999999999</v>
      </c>
      <c r="F39" s="44">
        <v>19.399000000000001</v>
      </c>
      <c r="G39" s="14">
        <v>0</v>
      </c>
      <c r="H39" s="20">
        <f t="shared" si="0"/>
        <v>0</v>
      </c>
    </row>
    <row r="40" spans="1:8">
      <c r="A40" s="16" t="s">
        <v>63</v>
      </c>
      <c r="B40" s="43">
        <v>39083</v>
      </c>
      <c r="C40" s="32" t="e">
        <v>#N/A</v>
      </c>
      <c r="D40" s="32" t="e">
        <v>#N/A</v>
      </c>
      <c r="E40" s="44">
        <v>17.927</v>
      </c>
      <c r="F40" s="44">
        <v>19.047999999999998</v>
      </c>
      <c r="G40" s="14">
        <v>0</v>
      </c>
      <c r="H40" s="20">
        <f t="shared" si="0"/>
        <v>0</v>
      </c>
    </row>
    <row r="41" spans="1:8">
      <c r="A41" s="16" t="s">
        <v>64</v>
      </c>
      <c r="B41" s="43">
        <v>39448</v>
      </c>
      <c r="C41" s="32" t="e">
        <v>#N/A</v>
      </c>
      <c r="D41" s="32" t="e">
        <v>#N/A</v>
      </c>
      <c r="E41" s="44">
        <v>17.105</v>
      </c>
      <c r="F41" s="44">
        <v>20.212</v>
      </c>
      <c r="G41" s="14">
        <v>4</v>
      </c>
      <c r="H41" s="20">
        <f t="shared" si="0"/>
        <v>1</v>
      </c>
    </row>
    <row r="42" spans="1:8">
      <c r="A42" s="16" t="s">
        <v>65</v>
      </c>
      <c r="B42" s="43">
        <v>39814</v>
      </c>
      <c r="C42" s="32" t="e">
        <v>#N/A</v>
      </c>
      <c r="D42" s="32" t="e">
        <v>#N/A</v>
      </c>
      <c r="E42" s="44">
        <v>14.603999999999999</v>
      </c>
      <c r="F42" s="44">
        <v>24.405000000000001</v>
      </c>
      <c r="G42" s="14">
        <v>2</v>
      </c>
      <c r="H42" s="20">
        <f t="shared" si="0"/>
        <v>1</v>
      </c>
    </row>
    <row r="43" spans="1:8">
      <c r="A43" s="16" t="s">
        <v>66</v>
      </c>
      <c r="B43" s="43">
        <v>40179</v>
      </c>
      <c r="C43" s="32" t="e">
        <v>#N/A</v>
      </c>
      <c r="D43" s="32" t="e">
        <v>#N/A</v>
      </c>
      <c r="E43" s="44">
        <v>14.621</v>
      </c>
      <c r="F43" s="44">
        <v>23.372</v>
      </c>
      <c r="G43" s="14">
        <v>0</v>
      </c>
      <c r="H43" s="20">
        <f t="shared" si="0"/>
        <v>0</v>
      </c>
    </row>
    <row r="44" spans="1:8">
      <c r="A44" s="16" t="s">
        <v>67</v>
      </c>
      <c r="B44" s="43">
        <v>40544</v>
      </c>
      <c r="C44" s="32" t="e">
        <v>#N/A</v>
      </c>
      <c r="D44" s="32" t="e">
        <v>#N/A</v>
      </c>
      <c r="E44" s="44">
        <v>14.97</v>
      </c>
      <c r="F44" s="44">
        <v>23.416</v>
      </c>
      <c r="G44" s="14">
        <v>0</v>
      </c>
      <c r="H44" s="20">
        <f t="shared" si="0"/>
        <v>0</v>
      </c>
    </row>
    <row r="45" spans="1:8">
      <c r="A45" s="16" t="s">
        <v>68</v>
      </c>
      <c r="B45" s="43">
        <v>40909</v>
      </c>
      <c r="C45" s="32">
        <v>15.2</v>
      </c>
      <c r="D45" s="32">
        <v>22</v>
      </c>
      <c r="E45" s="44">
        <v>15.224</v>
      </c>
      <c r="F45" s="44">
        <v>21.978000000000002</v>
      </c>
      <c r="G45" s="14">
        <v>0</v>
      </c>
      <c r="H45" s="20">
        <f t="shared" si="0"/>
        <v>0</v>
      </c>
    </row>
    <row r="46" spans="1:8">
      <c r="A46" s="16" t="s">
        <v>69</v>
      </c>
      <c r="B46" s="43">
        <v>41275</v>
      </c>
      <c r="C46" s="32">
        <v>16.7</v>
      </c>
      <c r="D46" s="32">
        <v>20.8</v>
      </c>
      <c r="E46" s="44">
        <v>16.684999999999999</v>
      </c>
      <c r="F46" s="44">
        <v>20.77</v>
      </c>
      <c r="G46" s="14">
        <v>0</v>
      </c>
      <c r="H46" s="20">
        <f t="shared" si="0"/>
        <v>0</v>
      </c>
    </row>
    <row r="47" spans="1:8">
      <c r="A47" s="16" t="s">
        <v>70</v>
      </c>
      <c r="B47" s="43">
        <v>41640</v>
      </c>
      <c r="C47" s="32">
        <v>17.5</v>
      </c>
      <c r="D47" s="32">
        <v>20.399999999999999</v>
      </c>
      <c r="E47" s="44" t="e">
        <v>#N/A</v>
      </c>
      <c r="F47" s="44" t="e">
        <v>#N/A</v>
      </c>
      <c r="G47" s="14">
        <v>0</v>
      </c>
      <c r="H47" s="20">
        <f t="shared" si="0"/>
        <v>0</v>
      </c>
    </row>
    <row r="48" spans="1:8">
      <c r="A48" s="16" t="s">
        <v>71</v>
      </c>
      <c r="B48" s="43">
        <v>42005</v>
      </c>
      <c r="C48" s="32">
        <v>18.3</v>
      </c>
      <c r="D48" s="32">
        <v>20.9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72</v>
      </c>
      <c r="B49" s="43">
        <v>42370</v>
      </c>
      <c r="C49" s="32">
        <v>18.100000000000001</v>
      </c>
      <c r="D49" s="32">
        <v>21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73</v>
      </c>
      <c r="B50" s="43">
        <v>42736</v>
      </c>
      <c r="C50" s="32">
        <v>18.100000000000001</v>
      </c>
      <c r="D50" s="32">
        <v>20.8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74</v>
      </c>
      <c r="B51" s="43">
        <v>43101</v>
      </c>
      <c r="C51" s="32">
        <v>18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75</v>
      </c>
      <c r="B52" s="43">
        <v>43466</v>
      </c>
      <c r="C52" s="32">
        <v>18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76</v>
      </c>
      <c r="B53" s="43">
        <v>43831</v>
      </c>
      <c r="C53" s="32">
        <v>18.100000000000001</v>
      </c>
      <c r="D53" s="32">
        <v>21.3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77</v>
      </c>
      <c r="B54" s="43">
        <v>44197</v>
      </c>
      <c r="C54" s="32">
        <v>18.100000000000001</v>
      </c>
      <c r="D54" s="32">
        <v>21.5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78</v>
      </c>
      <c r="B55" s="43">
        <v>44562</v>
      </c>
      <c r="C55" s="32">
        <v>18.100000000000001</v>
      </c>
      <c r="D55" s="32">
        <v>21.9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79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80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workbookViewId="0"/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144</v>
      </c>
      <c r="G1">
        <v>2014</v>
      </c>
    </row>
    <row r="2" spans="1:10">
      <c r="C2" s="19" t="s">
        <v>355</v>
      </c>
      <c r="D2" s="19"/>
    </row>
    <row r="3" spans="1:10">
      <c r="A3" s="22" t="s">
        <v>288</v>
      </c>
      <c r="B3" s="22" t="s">
        <v>413</v>
      </c>
      <c r="C3" s="45" t="s">
        <v>354</v>
      </c>
      <c r="D3" s="21" t="s">
        <v>356</v>
      </c>
      <c r="E3" s="21"/>
      <c r="F3" s="17"/>
      <c r="G3" s="111" t="s">
        <v>422</v>
      </c>
      <c r="I3" s="17"/>
      <c r="J3" s="17"/>
    </row>
    <row r="4" spans="1:10">
      <c r="A4" s="16" t="s">
        <v>7</v>
      </c>
      <c r="C4" s="19" t="s">
        <v>357</v>
      </c>
      <c r="D4" s="19" t="s">
        <v>358</v>
      </c>
      <c r="G4" t="s">
        <v>421</v>
      </c>
    </row>
    <row r="5" spans="1:10">
      <c r="A5" s="16" t="s">
        <v>22</v>
      </c>
      <c r="C5" s="19" t="s">
        <v>24</v>
      </c>
      <c r="D5" s="19" t="s">
        <v>24</v>
      </c>
      <c r="G5" t="s">
        <v>411</v>
      </c>
    </row>
    <row r="6" spans="1:10">
      <c r="A6" s="16" t="s">
        <v>26</v>
      </c>
      <c r="C6" s="19" t="s">
        <v>182</v>
      </c>
      <c r="D6" s="19" t="s">
        <v>174</v>
      </c>
      <c r="E6" s="20" t="s">
        <v>145</v>
      </c>
      <c r="F6" t="s">
        <v>146</v>
      </c>
      <c r="G6" t="s">
        <v>405</v>
      </c>
    </row>
    <row r="7" spans="1:10">
      <c r="A7" s="16" t="s">
        <v>31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32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33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34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35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36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37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38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39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40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41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42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43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44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45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46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47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48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49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50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51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52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53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54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55</v>
      </c>
      <c r="B31" s="43">
        <v>36161</v>
      </c>
      <c r="C31" s="101">
        <v>1.32</v>
      </c>
      <c r="D31" s="35" t="e">
        <v>#N/A</v>
      </c>
      <c r="E31" s="102">
        <f t="shared" si="0"/>
        <v>1.32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56</v>
      </c>
      <c r="B32" s="43">
        <v>36526</v>
      </c>
      <c r="C32" s="101">
        <v>2.327</v>
      </c>
      <c r="D32" s="35" t="e">
        <v>#N/A</v>
      </c>
      <c r="E32" s="102">
        <f t="shared" si="0"/>
        <v>2.327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57</v>
      </c>
      <c r="B33" s="43">
        <v>36892</v>
      </c>
      <c r="C33" s="101">
        <v>1.2130000000000001</v>
      </c>
      <c r="D33" s="35" t="e">
        <v>#N/A</v>
      </c>
      <c r="E33" s="102">
        <f t="shared" si="0"/>
        <v>1.2130000000000001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58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59</v>
      </c>
      <c r="B35" s="43">
        <v>37622</v>
      </c>
      <c r="C35" s="101">
        <v>-3.331</v>
      </c>
      <c r="D35" s="35" t="e">
        <v>#N/A</v>
      </c>
      <c r="E35" s="102">
        <f t="shared" si="0"/>
        <v>-3.331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60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61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62</v>
      </c>
      <c r="B38" s="43">
        <v>38718</v>
      </c>
      <c r="C38" s="101">
        <v>-1.8129999999999999</v>
      </c>
      <c r="D38" s="35" t="e">
        <v>#N/A</v>
      </c>
      <c r="E38" s="102">
        <f t="shared" si="0"/>
        <v>-1.8129999999999999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63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64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65</v>
      </c>
      <c r="B41" s="43">
        <v>39814</v>
      </c>
      <c r="C41" s="101">
        <v>-9.8010000000000002</v>
      </c>
      <c r="D41" s="35" t="e">
        <v>#N/A</v>
      </c>
      <c r="E41" s="102">
        <f t="shared" si="0"/>
        <v>-9.8010000000000002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66</v>
      </c>
      <c r="B42" s="43">
        <v>40179</v>
      </c>
      <c r="C42" s="101">
        <v>-8.7509999999999994</v>
      </c>
      <c r="D42" s="35" t="e">
        <v>#N/A</v>
      </c>
      <c r="E42" s="102">
        <f t="shared" si="0"/>
        <v>-8.7509999999999994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67</v>
      </c>
      <c r="B43" s="43">
        <v>40544</v>
      </c>
      <c r="C43" s="101">
        <v>-8.4459999999999997</v>
      </c>
      <c r="D43" s="35" t="e">
        <v>#N/A</v>
      </c>
      <c r="E43" s="102">
        <f t="shared" si="0"/>
        <v>-8.4459999999999997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68</v>
      </c>
      <c r="B44" s="43">
        <v>40909</v>
      </c>
      <c r="C44" s="101">
        <v>-6.7539999999999996</v>
      </c>
      <c r="D44" s="35">
        <v>-6.8</v>
      </c>
      <c r="E44" s="102">
        <f t="shared" si="0"/>
        <v>-6.7539999999999996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69</v>
      </c>
      <c r="B45" s="43">
        <v>41275</v>
      </c>
      <c r="C45" s="101">
        <v>-4.085</v>
      </c>
      <c r="D45" s="35">
        <v>-4.0999999999999996</v>
      </c>
      <c r="E45" s="102">
        <f t="shared" si="0"/>
        <v>-4.085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70</v>
      </c>
      <c r="B46" s="43">
        <v>41640</v>
      </c>
      <c r="C46" s="101" t="e">
        <v>#N/A</v>
      </c>
      <c r="D46" s="35">
        <v>-2.9</v>
      </c>
      <c r="E46" s="102" t="e">
        <f t="shared" si="0"/>
        <v>#N/A</v>
      </c>
      <c r="F46" s="102">
        <f t="shared" si="1"/>
        <v>-2.9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71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72</v>
      </c>
      <c r="B48" s="43">
        <v>42370</v>
      </c>
      <c r="C48" s="101" t="e">
        <v>#N/A</v>
      </c>
      <c r="D48" s="35">
        <v>-2.9</v>
      </c>
      <c r="E48" s="102" t="e">
        <f t="shared" si="0"/>
        <v>#N/A</v>
      </c>
      <c r="F48" s="102">
        <f t="shared" si="1"/>
        <v>-2.9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73</v>
      </c>
      <c r="B49" s="43">
        <v>42736</v>
      </c>
      <c r="C49" s="101" t="e">
        <v>#N/A</v>
      </c>
      <c r="D49" s="35">
        <v>-2.7</v>
      </c>
      <c r="E49" s="102" t="e">
        <f t="shared" si="0"/>
        <v>#N/A</v>
      </c>
      <c r="F49" s="102">
        <f t="shared" si="1"/>
        <v>-2.7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74</v>
      </c>
      <c r="B50" s="43">
        <v>43101</v>
      </c>
      <c r="C50" s="101" t="e">
        <v>#N/A</v>
      </c>
      <c r="D50" s="35">
        <v>-2.7</v>
      </c>
      <c r="E50" s="102" t="e">
        <f t="shared" si="0"/>
        <v>#N/A</v>
      </c>
      <c r="F50" s="102">
        <f t="shared" si="1"/>
        <v>-2.7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75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76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77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78</v>
      </c>
      <c r="B54" s="43">
        <v>44562</v>
      </c>
      <c r="C54" s="101" t="e">
        <v>#N/A</v>
      </c>
      <c r="D54" s="35">
        <v>-3.8</v>
      </c>
      <c r="E54" s="102" t="e">
        <f t="shared" si="0"/>
        <v>#N/A</v>
      </c>
      <c r="F54" s="102">
        <f t="shared" si="1"/>
        <v>-3.8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79</v>
      </c>
      <c r="B55" s="43">
        <v>44927</v>
      </c>
      <c r="C55" s="101" t="e">
        <v>#N/A</v>
      </c>
      <c r="D55" s="35">
        <v>-3.7</v>
      </c>
      <c r="E55" s="102" t="e">
        <f t="shared" si="0"/>
        <v>#N/A</v>
      </c>
      <c r="F55" s="102">
        <f t="shared" si="1"/>
        <v>-3.7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80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/>
  </sheetViews>
  <sheetFormatPr defaultRowHeight="15"/>
  <cols>
    <col min="1" max="2" width="9.140625" style="20"/>
    <col min="7" max="7" width="9.140625" style="29"/>
  </cols>
  <sheetData>
    <row r="1" spans="1:7">
      <c r="C1" s="20" t="s">
        <v>120</v>
      </c>
    </row>
    <row r="2" spans="1:7">
      <c r="A2" s="22" t="s">
        <v>288</v>
      </c>
      <c r="B2" s="22" t="s">
        <v>413</v>
      </c>
      <c r="C2" s="21" t="s">
        <v>121</v>
      </c>
      <c r="F2" s="111" t="s">
        <v>422</v>
      </c>
    </row>
    <row r="3" spans="1:7">
      <c r="A3" s="20" t="s">
        <v>7</v>
      </c>
      <c r="C3" t="s">
        <v>122</v>
      </c>
      <c r="F3" t="s">
        <v>421</v>
      </c>
    </row>
    <row r="4" spans="1:7">
      <c r="A4" s="20" t="s">
        <v>22</v>
      </c>
      <c r="C4" t="s">
        <v>24</v>
      </c>
      <c r="F4" t="s">
        <v>411</v>
      </c>
    </row>
    <row r="5" spans="1:7">
      <c r="A5" s="20" t="s">
        <v>26</v>
      </c>
      <c r="C5" t="s">
        <v>174</v>
      </c>
      <c r="D5" t="s">
        <v>147</v>
      </c>
      <c r="E5" t="s">
        <v>148</v>
      </c>
      <c r="F5" t="s">
        <v>405</v>
      </c>
    </row>
    <row r="6" spans="1:7">
      <c r="A6" s="20" t="s">
        <v>31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32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33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34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35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36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37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38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39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40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41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42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43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44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45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46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47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48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49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50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51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52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53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54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55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56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57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58</v>
      </c>
      <c r="B33" s="43">
        <v>37257</v>
      </c>
      <c r="C33" s="23">
        <v>32.5</v>
      </c>
      <c r="D33" s="29">
        <f t="shared" si="0"/>
        <v>32.5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59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60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61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62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63</v>
      </c>
      <c r="B38" s="43">
        <v>39083</v>
      </c>
      <c r="C38" s="23">
        <v>35.1</v>
      </c>
      <c r="D38" s="29">
        <f t="shared" si="0"/>
        <v>35.1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64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65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66</v>
      </c>
      <c r="B41" s="43">
        <v>40179</v>
      </c>
      <c r="C41" s="23">
        <v>61</v>
      </c>
      <c r="D41" s="29">
        <f t="shared" si="0"/>
        <v>61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67</v>
      </c>
      <c r="B42" s="43">
        <v>40544</v>
      </c>
      <c r="C42" s="23">
        <v>65.8</v>
      </c>
      <c r="D42" s="29">
        <f t="shared" si="0"/>
        <v>65.8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68</v>
      </c>
      <c r="B43" s="43">
        <v>40909</v>
      </c>
      <c r="C43" s="23">
        <v>70.099999999999994</v>
      </c>
      <c r="D43" s="29">
        <f t="shared" si="0"/>
        <v>70.099999999999994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69</v>
      </c>
      <c r="B44" s="43">
        <v>41275</v>
      </c>
      <c r="C44" s="23">
        <v>72</v>
      </c>
      <c r="D44" s="29">
        <f t="shared" si="0"/>
        <v>72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70</v>
      </c>
      <c r="B45" s="43">
        <v>41640</v>
      </c>
      <c r="C45" s="23">
        <v>74.400000000000006</v>
      </c>
      <c r="D45" s="29">
        <f t="shared" si="0"/>
        <v>74.400000000000006</v>
      </c>
      <c r="E45" s="31">
        <f t="shared" si="1"/>
        <v>74.400000000000006</v>
      </c>
      <c r="F45" s="14">
        <v>0</v>
      </c>
      <c r="G45" s="29">
        <f t="shared" si="2"/>
        <v>0</v>
      </c>
    </row>
    <row r="46" spans="1:7">
      <c r="A46" s="20" t="s">
        <v>71</v>
      </c>
      <c r="B46" s="43">
        <v>42005</v>
      </c>
      <c r="C46" s="23">
        <v>74</v>
      </c>
      <c r="D46" s="29" t="e">
        <f t="shared" si="0"/>
        <v>#N/A</v>
      </c>
      <c r="E46" s="31">
        <f t="shared" si="1"/>
        <v>74</v>
      </c>
      <c r="F46" s="14" t="e">
        <v>#N/A</v>
      </c>
      <c r="G46" s="29">
        <f t="shared" si="2"/>
        <v>0</v>
      </c>
    </row>
    <row r="47" spans="1:7">
      <c r="A47" s="20" t="s">
        <v>72</v>
      </c>
      <c r="B47" s="43">
        <v>42370</v>
      </c>
      <c r="C47" s="23">
        <v>73.599999999999994</v>
      </c>
      <c r="D47" s="29" t="e">
        <f t="shared" si="0"/>
        <v>#N/A</v>
      </c>
      <c r="E47" s="31">
        <f t="shared" si="1"/>
        <v>73.599999999999994</v>
      </c>
      <c r="F47" s="14" t="e">
        <v>#N/A</v>
      </c>
      <c r="G47" s="29">
        <f t="shared" si="2"/>
        <v>0</v>
      </c>
    </row>
    <row r="48" spans="1:7">
      <c r="A48" s="20" t="s">
        <v>73</v>
      </c>
      <c r="B48" s="43">
        <v>42736</v>
      </c>
      <c r="C48" s="23">
        <v>73</v>
      </c>
      <c r="D48" s="29" t="e">
        <f t="shared" si="0"/>
        <v>#N/A</v>
      </c>
      <c r="E48" s="31">
        <f t="shared" si="1"/>
        <v>73</v>
      </c>
      <c r="F48" s="14" t="e">
        <v>#N/A</v>
      </c>
      <c r="G48" s="29">
        <f t="shared" si="2"/>
        <v>0</v>
      </c>
    </row>
    <row r="49" spans="1:7">
      <c r="A49" s="20" t="s">
        <v>74</v>
      </c>
      <c r="B49" s="43">
        <v>43101</v>
      </c>
      <c r="C49" s="23">
        <v>72.8</v>
      </c>
      <c r="D49" s="29" t="e">
        <f t="shared" si="0"/>
        <v>#N/A</v>
      </c>
      <c r="E49" s="31">
        <f t="shared" si="1"/>
        <v>72.8</v>
      </c>
      <c r="F49" s="14" t="e">
        <v>#N/A</v>
      </c>
      <c r="G49" s="29">
        <f t="shared" si="2"/>
        <v>0</v>
      </c>
    </row>
    <row r="50" spans="1:7">
      <c r="A50" s="20" t="s">
        <v>75</v>
      </c>
      <c r="B50" s="43">
        <v>43466</v>
      </c>
      <c r="C50" s="23">
        <v>73.099999999999994</v>
      </c>
      <c r="D50" s="29" t="e">
        <f t="shared" si="0"/>
        <v>#N/A</v>
      </c>
      <c r="E50" s="31">
        <f t="shared" si="1"/>
        <v>73.099999999999994</v>
      </c>
      <c r="F50" s="14" t="e">
        <v>#N/A</v>
      </c>
      <c r="G50" s="29">
        <f t="shared" si="2"/>
        <v>0</v>
      </c>
    </row>
    <row r="51" spans="1:7">
      <c r="A51" s="20" t="s">
        <v>76</v>
      </c>
      <c r="B51" s="43">
        <v>43831</v>
      </c>
      <c r="C51" s="23">
        <v>73.599999999999994</v>
      </c>
      <c r="D51" s="29" t="e">
        <f t="shared" si="0"/>
        <v>#N/A</v>
      </c>
      <c r="E51" s="31">
        <f t="shared" si="1"/>
        <v>73.599999999999994</v>
      </c>
      <c r="F51" s="14" t="e">
        <v>#N/A</v>
      </c>
      <c r="G51" s="29">
        <f t="shared" si="2"/>
        <v>0</v>
      </c>
    </row>
    <row r="52" spans="1:7">
      <c r="A52" s="20" t="s">
        <v>77</v>
      </c>
      <c r="B52" s="43">
        <v>44197</v>
      </c>
      <c r="C52" s="23">
        <v>74.3</v>
      </c>
      <c r="D52" s="29" t="e">
        <f t="shared" si="0"/>
        <v>#N/A</v>
      </c>
      <c r="E52" s="31">
        <f t="shared" si="1"/>
        <v>74.3</v>
      </c>
      <c r="F52" s="14" t="e">
        <v>#N/A</v>
      </c>
      <c r="G52" s="29">
        <f t="shared" si="2"/>
        <v>0</v>
      </c>
    </row>
    <row r="53" spans="1:7">
      <c r="A53" s="20" t="s">
        <v>78</v>
      </c>
      <c r="B53" s="43">
        <v>44562</v>
      </c>
      <c r="C53" s="23">
        <v>75.400000000000006</v>
      </c>
      <c r="D53" s="29" t="e">
        <f t="shared" si="0"/>
        <v>#N/A</v>
      </c>
      <c r="E53" s="31">
        <f t="shared" si="1"/>
        <v>75.400000000000006</v>
      </c>
      <c r="F53" s="14" t="e">
        <v>#N/A</v>
      </c>
      <c r="G53" s="29">
        <f t="shared" si="2"/>
        <v>0</v>
      </c>
    </row>
    <row r="54" spans="1:7">
      <c r="A54" s="20" t="s">
        <v>79</v>
      </c>
      <c r="B54" s="43">
        <v>44927</v>
      </c>
      <c r="C54" s="23">
        <v>76.400000000000006</v>
      </c>
      <c r="D54" s="29" t="e">
        <f t="shared" si="0"/>
        <v>#N/A</v>
      </c>
      <c r="E54" s="31">
        <f t="shared" si="1"/>
        <v>76.400000000000006</v>
      </c>
      <c r="F54" s="14" t="e">
        <v>#N/A</v>
      </c>
      <c r="G54" s="29">
        <f t="shared" si="2"/>
        <v>0</v>
      </c>
    </row>
    <row r="55" spans="1:7">
      <c r="A55" s="20" t="s">
        <v>80</v>
      </c>
      <c r="B55" s="43">
        <v>45292</v>
      </c>
      <c r="C55" s="23">
        <v>77.2</v>
      </c>
      <c r="D55" s="29" t="e">
        <f t="shared" si="0"/>
        <v>#N/A</v>
      </c>
      <c r="E55" s="31">
        <f t="shared" si="1"/>
        <v>77.2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22"/>
  <sheetViews>
    <sheetView workbookViewId="0"/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0" width="14" style="2" customWidth="1"/>
    <col min="11" max="16384" width="9.140625" style="2"/>
  </cols>
  <sheetData>
    <row r="1" spans="1:12" ht="15">
      <c r="A1" s="1" t="s">
        <v>189</v>
      </c>
      <c r="B1" s="1" t="s">
        <v>413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K1" s="111" t="s">
        <v>422</v>
      </c>
    </row>
    <row r="2" spans="1:12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K2" s="3" t="s">
        <v>421</v>
      </c>
    </row>
    <row r="3" spans="1:12">
      <c r="A3" s="2" t="s">
        <v>16</v>
      </c>
      <c r="C3" s="6" t="s">
        <v>180</v>
      </c>
      <c r="D3" s="6" t="s">
        <v>181</v>
      </c>
      <c r="E3" s="6" t="s">
        <v>181</v>
      </c>
      <c r="F3" s="6" t="s">
        <v>181</v>
      </c>
      <c r="G3" s="59"/>
      <c r="H3" s="6" t="s">
        <v>18</v>
      </c>
      <c r="I3" s="7" t="s">
        <v>18</v>
      </c>
      <c r="K3" s="2" t="s">
        <v>424</v>
      </c>
    </row>
    <row r="4" spans="1:12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59"/>
      <c r="H4" s="6" t="s">
        <v>17</v>
      </c>
      <c r="I4" s="7" t="s">
        <v>17</v>
      </c>
      <c r="K4" s="2" t="s">
        <v>423</v>
      </c>
    </row>
    <row r="5" spans="1:12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59" t="s">
        <v>25</v>
      </c>
      <c r="H5" s="6" t="s">
        <v>24</v>
      </c>
      <c r="I5" s="7" t="s">
        <v>24</v>
      </c>
      <c r="K5" s="2" t="s">
        <v>411</v>
      </c>
    </row>
    <row r="6" spans="1:12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59"/>
      <c r="H6" s="6" t="s">
        <v>182</v>
      </c>
      <c r="I6" s="7" t="s">
        <v>29</v>
      </c>
      <c r="K6" s="2" t="s">
        <v>405</v>
      </c>
    </row>
    <row r="7" spans="1:12">
      <c r="A7" s="2" t="s">
        <v>30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112">
        <v>4</v>
      </c>
      <c r="L7" s="2">
        <f>IFERROR(IF(K7&gt;0, 1, 0), 0)</f>
        <v>1</v>
      </c>
    </row>
    <row r="8" spans="1:12">
      <c r="A8" s="2" t="s">
        <v>31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112">
        <v>1</v>
      </c>
      <c r="L8" s="2">
        <f t="shared" ref="L8:L68" si="0">IFERROR(IF(K8&gt;0, 1, 0), 0)</f>
        <v>1</v>
      </c>
    </row>
    <row r="9" spans="1:12">
      <c r="A9" s="2" t="s">
        <v>32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112">
        <v>0</v>
      </c>
      <c r="L9" s="2">
        <f t="shared" si="0"/>
        <v>0</v>
      </c>
    </row>
    <row r="10" spans="1:12">
      <c r="A10" s="2" t="s">
        <v>33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112">
        <v>0</v>
      </c>
      <c r="L10" s="2">
        <f t="shared" si="0"/>
        <v>0</v>
      </c>
    </row>
    <row r="11" spans="1:12">
      <c r="A11" s="2" t="s">
        <v>34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112">
        <v>0</v>
      </c>
      <c r="L11" s="2">
        <f t="shared" si="0"/>
        <v>0</v>
      </c>
    </row>
    <row r="12" spans="1:12">
      <c r="A12" s="2" t="s">
        <v>35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112">
        <v>0</v>
      </c>
      <c r="L12" s="2">
        <f t="shared" si="0"/>
        <v>0</v>
      </c>
    </row>
    <row r="13" spans="1:12">
      <c r="A13" s="2" t="s">
        <v>36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112">
        <v>2</v>
      </c>
      <c r="L13" s="2">
        <f t="shared" si="0"/>
        <v>1</v>
      </c>
    </row>
    <row r="14" spans="1:12">
      <c r="A14" s="2" t="s">
        <v>37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112">
        <v>1</v>
      </c>
      <c r="L14" s="2">
        <f t="shared" si="0"/>
        <v>1</v>
      </c>
    </row>
    <row r="15" spans="1:12">
      <c r="A15" s="2" t="s">
        <v>38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112">
        <v>4</v>
      </c>
      <c r="L15" s="2">
        <f t="shared" si="0"/>
        <v>1</v>
      </c>
    </row>
    <row r="16" spans="1:12">
      <c r="A16" s="2" t="s">
        <v>39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112">
        <v>0</v>
      </c>
      <c r="L16" s="2">
        <f t="shared" si="0"/>
        <v>0</v>
      </c>
    </row>
    <row r="17" spans="1:12">
      <c r="A17" s="2" t="s">
        <v>40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112">
        <v>0</v>
      </c>
      <c r="L17" s="2">
        <f t="shared" si="0"/>
        <v>0</v>
      </c>
    </row>
    <row r="18" spans="1:12">
      <c r="A18" s="2" t="s">
        <v>41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112">
        <v>0</v>
      </c>
      <c r="L18" s="2">
        <f t="shared" si="0"/>
        <v>0</v>
      </c>
    </row>
    <row r="19" spans="1:12">
      <c r="A19" s="2" t="s">
        <v>42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112">
        <v>0</v>
      </c>
      <c r="L19" s="2">
        <f t="shared" si="0"/>
        <v>0</v>
      </c>
    </row>
    <row r="20" spans="1:12">
      <c r="A20" s="2" t="s">
        <v>43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112">
        <v>0</v>
      </c>
      <c r="L20" s="2">
        <f t="shared" si="0"/>
        <v>0</v>
      </c>
    </row>
    <row r="21" spans="1:12">
      <c r="A21" s="2" t="s">
        <v>44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112">
        <v>0</v>
      </c>
      <c r="L21" s="2">
        <f t="shared" si="0"/>
        <v>0</v>
      </c>
    </row>
    <row r="22" spans="1:12">
      <c r="A22" s="2" t="s">
        <v>45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112">
        <v>0</v>
      </c>
      <c r="L22" s="2">
        <f t="shared" si="0"/>
        <v>0</v>
      </c>
    </row>
    <row r="23" spans="1:12">
      <c r="A23" s="2" t="s">
        <v>46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112">
        <v>1</v>
      </c>
      <c r="L23" s="2">
        <f t="shared" si="0"/>
        <v>1</v>
      </c>
    </row>
    <row r="24" spans="1:12">
      <c r="A24" s="2" t="s">
        <v>47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112">
        <v>1</v>
      </c>
      <c r="L24" s="2">
        <f t="shared" si="0"/>
        <v>1</v>
      </c>
    </row>
    <row r="25" spans="1:12">
      <c r="A25" s="2" t="s">
        <v>48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112">
        <v>0</v>
      </c>
      <c r="L25" s="2">
        <f t="shared" si="0"/>
        <v>0</v>
      </c>
    </row>
    <row r="26" spans="1:12">
      <c r="A26" s="2" t="s">
        <v>49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112">
        <v>0</v>
      </c>
      <c r="L26" s="2">
        <f t="shared" si="0"/>
        <v>0</v>
      </c>
    </row>
    <row r="27" spans="1:12">
      <c r="A27" s="2" t="s">
        <v>50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112">
        <v>0</v>
      </c>
      <c r="L27" s="2">
        <f t="shared" si="0"/>
        <v>0</v>
      </c>
    </row>
    <row r="28" spans="1:12">
      <c r="A28" s="2" t="s">
        <v>51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112">
        <v>0</v>
      </c>
      <c r="L28" s="2">
        <f t="shared" si="0"/>
        <v>0</v>
      </c>
    </row>
    <row r="29" spans="1:12">
      <c r="A29" s="2" t="s">
        <v>52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112">
        <v>0</v>
      </c>
      <c r="L29" s="2">
        <f t="shared" si="0"/>
        <v>0</v>
      </c>
    </row>
    <row r="30" spans="1:12">
      <c r="A30" s="2" t="s">
        <v>53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112">
        <v>0</v>
      </c>
      <c r="L30" s="2">
        <f t="shared" si="0"/>
        <v>0</v>
      </c>
    </row>
    <row r="31" spans="1:12">
      <c r="A31" s="2" t="s">
        <v>54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112">
        <v>0</v>
      </c>
      <c r="L31" s="2">
        <f t="shared" si="0"/>
        <v>0</v>
      </c>
    </row>
    <row r="32" spans="1:12">
      <c r="A32" s="2" t="s">
        <v>55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4.0679999999999996</v>
      </c>
      <c r="I32" s="49">
        <v>2.415</v>
      </c>
      <c r="J32" s="62">
        <v>8.2906398842761106</v>
      </c>
      <c r="K32" s="112">
        <v>0</v>
      </c>
      <c r="L32" s="2">
        <f t="shared" si="0"/>
        <v>0</v>
      </c>
    </row>
    <row r="33" spans="1:12">
      <c r="A33" s="2" t="s">
        <v>56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3.9990000000000001</v>
      </c>
      <c r="I33" s="49">
        <v>2.1960000000000002</v>
      </c>
      <c r="J33" s="62">
        <v>8.3379421778170606</v>
      </c>
      <c r="K33" s="112">
        <v>0</v>
      </c>
      <c r="L33" s="2">
        <f t="shared" si="0"/>
        <v>0</v>
      </c>
    </row>
    <row r="34" spans="1:12">
      <c r="A34" s="2" t="s">
        <v>57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4.0629999999999997</v>
      </c>
      <c r="I34" s="49">
        <v>1.9510000000000001</v>
      </c>
      <c r="J34" s="62">
        <v>8.3283667646787478</v>
      </c>
      <c r="K34" s="112">
        <v>3</v>
      </c>
      <c r="L34" s="2">
        <f t="shared" si="0"/>
        <v>1</v>
      </c>
    </row>
    <row r="35" spans="1:12">
      <c r="A35" s="2" t="s">
        <v>58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4.1550000000000002</v>
      </c>
      <c r="I35" s="49">
        <v>1.571</v>
      </c>
      <c r="J35" s="62">
        <v>9.2743515205272313</v>
      </c>
      <c r="K35" s="112">
        <v>0</v>
      </c>
      <c r="L35" s="2">
        <f t="shared" si="0"/>
        <v>0</v>
      </c>
    </row>
    <row r="36" spans="1:12">
      <c r="A36" s="2" t="s">
        <v>59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112">
        <v>0</v>
      </c>
      <c r="L36" s="2">
        <f t="shared" si="0"/>
        <v>0</v>
      </c>
    </row>
    <row r="37" spans="1:12">
      <c r="A37" s="2" t="s">
        <v>60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4.0650000000000004</v>
      </c>
      <c r="I37" s="49">
        <v>1.325</v>
      </c>
      <c r="J37" s="62">
        <v>9.8874640674237213</v>
      </c>
      <c r="K37" s="112">
        <v>0</v>
      </c>
      <c r="L37" s="2">
        <f t="shared" si="0"/>
        <v>0</v>
      </c>
    </row>
    <row r="38" spans="1:12">
      <c r="A38" s="2" t="s">
        <v>61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4.024</v>
      </c>
      <c r="I38" s="49">
        <v>1.427</v>
      </c>
      <c r="J38" s="62">
        <v>9.9931647059279847</v>
      </c>
      <c r="K38" s="112">
        <v>0</v>
      </c>
      <c r="L38" s="2">
        <f t="shared" si="0"/>
        <v>0</v>
      </c>
    </row>
    <row r="39" spans="1:12">
      <c r="A39" s="2" t="s">
        <v>62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3.9740000000000002</v>
      </c>
      <c r="I39" s="49">
        <v>1.6559999999999999</v>
      </c>
      <c r="J39" s="62">
        <v>10.035756778972173</v>
      </c>
      <c r="K39" s="112">
        <v>0</v>
      </c>
      <c r="L39" s="2">
        <f t="shared" si="0"/>
        <v>0</v>
      </c>
    </row>
    <row r="40" spans="1:12">
      <c r="A40" s="2" t="s">
        <v>63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4.0590000000000002</v>
      </c>
      <c r="I40" s="49">
        <v>1.655</v>
      </c>
      <c r="J40" s="62">
        <v>9.3730856512588137</v>
      </c>
      <c r="K40" s="112">
        <v>0</v>
      </c>
      <c r="L40" s="2">
        <f t="shared" si="0"/>
        <v>0</v>
      </c>
    </row>
    <row r="41" spans="1:12">
      <c r="A41" s="2" t="s">
        <v>64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4.1479999999999997</v>
      </c>
      <c r="I41" s="49">
        <v>1.7130000000000001</v>
      </c>
      <c r="J41" s="62">
        <v>10.324570207524697</v>
      </c>
      <c r="K41" s="112">
        <v>4</v>
      </c>
      <c r="L41" s="2">
        <f t="shared" si="0"/>
        <v>1</v>
      </c>
    </row>
    <row r="42" spans="1:12">
      <c r="A42" s="2" t="s">
        <v>65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112">
        <v>2</v>
      </c>
      <c r="L42" s="2">
        <f t="shared" si="0"/>
        <v>1</v>
      </c>
    </row>
    <row r="43" spans="1:12">
      <c r="A43" s="2" t="s">
        <v>66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4.7380000000000004</v>
      </c>
      <c r="I43" s="49">
        <v>1.3260000000000001</v>
      </c>
      <c r="J43" s="62">
        <v>12.392062360560868</v>
      </c>
      <c r="K43" s="112">
        <v>0</v>
      </c>
      <c r="L43" s="2">
        <f t="shared" si="0"/>
        <v>0</v>
      </c>
    </row>
    <row r="44" spans="1:12">
      <c r="A44" s="2" t="s">
        <v>67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4.7110000000000003</v>
      </c>
      <c r="I44" s="49">
        <v>1.4950000000000001</v>
      </c>
      <c r="J44" s="62">
        <v>12.247783334389416</v>
      </c>
      <c r="K44" s="112">
        <v>0</v>
      </c>
      <c r="L44" s="2">
        <f t="shared" si="0"/>
        <v>0</v>
      </c>
    </row>
    <row r="45" spans="1:12">
      <c r="A45" s="2" t="s">
        <v>68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4.7699999999999996</v>
      </c>
      <c r="I45" s="49">
        <v>1.369</v>
      </c>
      <c r="J45" s="62">
        <v>11.329393263401201</v>
      </c>
      <c r="K45" s="112">
        <v>0</v>
      </c>
      <c r="L45" s="2">
        <f t="shared" si="0"/>
        <v>0</v>
      </c>
    </row>
    <row r="46" spans="1:12">
      <c r="A46" s="2" t="s">
        <v>69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4.8570000000000002</v>
      </c>
      <c r="I46" s="49">
        <v>1.3280000000000001</v>
      </c>
      <c r="J46" s="62">
        <v>9.9731723988608785</v>
      </c>
      <c r="K46" s="112">
        <v>0</v>
      </c>
      <c r="L46" s="2">
        <f t="shared" si="0"/>
        <v>0</v>
      </c>
    </row>
    <row r="47" spans="1:12">
      <c r="A47" s="2" t="s">
        <v>70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 t="e">
        <v>#N/A</v>
      </c>
      <c r="I47" s="62" t="e">
        <v>#N/A</v>
      </c>
      <c r="J47" s="60">
        <v>9.3000000000000007</v>
      </c>
      <c r="K47" s="112">
        <v>0</v>
      </c>
      <c r="L47" s="2">
        <f t="shared" si="0"/>
        <v>0</v>
      </c>
    </row>
    <row r="48" spans="1:12">
      <c r="A48" s="2" t="s">
        <v>71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112" t="e">
        <v>#N/A</v>
      </c>
      <c r="L48" s="2">
        <f t="shared" si="0"/>
        <v>0</v>
      </c>
    </row>
    <row r="49" spans="1:12">
      <c r="A49" s="2" t="s">
        <v>72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112" t="e">
        <v>#N/A</v>
      </c>
      <c r="L49" s="2">
        <f t="shared" si="0"/>
        <v>0</v>
      </c>
    </row>
    <row r="50" spans="1:12">
      <c r="A50" s="2" t="s">
        <v>73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112" t="e">
        <v>#N/A</v>
      </c>
      <c r="L50" s="2">
        <f t="shared" si="0"/>
        <v>0</v>
      </c>
    </row>
    <row r="51" spans="1:12">
      <c r="A51" s="2" t="s">
        <v>74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112" t="e">
        <v>#N/A</v>
      </c>
      <c r="L51" s="2">
        <f t="shared" si="0"/>
        <v>0</v>
      </c>
    </row>
    <row r="52" spans="1:12">
      <c r="A52" s="2" t="s">
        <v>75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112" t="e">
        <v>#N/A</v>
      </c>
      <c r="L52" s="2">
        <f t="shared" si="0"/>
        <v>0</v>
      </c>
    </row>
    <row r="53" spans="1:12">
      <c r="A53" s="2" t="s">
        <v>76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112" t="e">
        <v>#N/A</v>
      </c>
      <c r="L53" s="2">
        <f t="shared" si="0"/>
        <v>0</v>
      </c>
    </row>
    <row r="54" spans="1:12">
      <c r="A54" s="2" t="s">
        <v>77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112" t="e">
        <v>#N/A</v>
      </c>
      <c r="L54" s="2">
        <f t="shared" si="0"/>
        <v>0</v>
      </c>
    </row>
    <row r="55" spans="1:12">
      <c r="A55" s="2" t="s">
        <v>78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112" t="e">
        <v>#N/A</v>
      </c>
      <c r="L55" s="2">
        <f t="shared" si="0"/>
        <v>0</v>
      </c>
    </row>
    <row r="56" spans="1:12">
      <c r="A56" s="2" t="s">
        <v>79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112" t="e">
        <v>#N/A</v>
      </c>
      <c r="L56" s="2">
        <f t="shared" si="0"/>
        <v>0</v>
      </c>
    </row>
    <row r="57" spans="1:12">
      <c r="A57" s="2" t="s">
        <v>80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112" t="e">
        <v>#N/A</v>
      </c>
      <c r="L57" s="2">
        <f t="shared" si="0"/>
        <v>0</v>
      </c>
    </row>
    <row r="58" spans="1:12">
      <c r="A58" s="2" t="s">
        <v>81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112" t="e">
        <v>#N/A</v>
      </c>
      <c r="L58" s="2">
        <f t="shared" si="0"/>
        <v>0</v>
      </c>
    </row>
    <row r="59" spans="1:12">
      <c r="A59" s="2" t="s">
        <v>82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112" t="e">
        <v>#N/A</v>
      </c>
      <c r="L59" s="2">
        <f t="shared" si="0"/>
        <v>0</v>
      </c>
    </row>
    <row r="60" spans="1:12">
      <c r="A60" s="2" t="s">
        <v>83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112" t="e">
        <v>#N/A</v>
      </c>
      <c r="L60" s="2">
        <f t="shared" si="0"/>
        <v>0</v>
      </c>
    </row>
    <row r="61" spans="1:12">
      <c r="A61" s="2" t="s">
        <v>84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112" t="e">
        <v>#N/A</v>
      </c>
      <c r="L61" s="2">
        <f t="shared" si="0"/>
        <v>0</v>
      </c>
    </row>
    <row r="62" spans="1:12">
      <c r="A62" s="2" t="s">
        <v>85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112" t="e">
        <v>#N/A</v>
      </c>
      <c r="L62" s="2">
        <f t="shared" si="0"/>
        <v>0</v>
      </c>
    </row>
    <row r="63" spans="1:12">
      <c r="A63" s="2" t="s">
        <v>86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112" t="e">
        <v>#N/A</v>
      </c>
      <c r="L63" s="2">
        <f t="shared" si="0"/>
        <v>0</v>
      </c>
    </row>
    <row r="64" spans="1:12">
      <c r="A64" s="2" t="s">
        <v>87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112" t="e">
        <v>#N/A</v>
      </c>
      <c r="L64" s="2">
        <f t="shared" si="0"/>
        <v>0</v>
      </c>
    </row>
    <row r="65" spans="1:12">
      <c r="A65" s="2" t="s">
        <v>88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112" t="e">
        <v>#N/A</v>
      </c>
      <c r="L65" s="2">
        <f t="shared" si="0"/>
        <v>0</v>
      </c>
    </row>
    <row r="66" spans="1:12">
      <c r="A66" s="2" t="s">
        <v>89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112" t="e">
        <v>#N/A</v>
      </c>
      <c r="L66" s="2">
        <f t="shared" si="0"/>
        <v>0</v>
      </c>
    </row>
    <row r="67" spans="1:12">
      <c r="A67" s="2" t="s">
        <v>90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112" t="e">
        <v>#N/A</v>
      </c>
      <c r="L67" s="2">
        <f t="shared" si="0"/>
        <v>0</v>
      </c>
    </row>
    <row r="68" spans="1:12">
      <c r="A68" s="2" t="s">
        <v>91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112" t="e">
        <v>#N/A</v>
      </c>
      <c r="L68" s="2">
        <f t="shared" si="0"/>
        <v>0</v>
      </c>
    </row>
    <row r="69" spans="1:12">
      <c r="B69" s="50"/>
      <c r="C69" s="51"/>
      <c r="D69" s="52"/>
      <c r="E69" s="52"/>
      <c r="F69" s="52"/>
      <c r="G69" s="59"/>
      <c r="H69" s="7"/>
      <c r="I69" s="7"/>
    </row>
    <row r="70" spans="1:12">
      <c r="B70" s="50"/>
      <c r="C70" s="51"/>
      <c r="D70" s="52"/>
      <c r="E70" s="52"/>
      <c r="F70" s="52"/>
      <c r="G70" s="59"/>
      <c r="H70" s="7"/>
      <c r="I70" s="7"/>
    </row>
    <row r="71" spans="1:12">
      <c r="B71" s="50"/>
      <c r="C71" s="51"/>
      <c r="D71" s="52"/>
      <c r="E71" s="52"/>
      <c r="F71" s="52"/>
      <c r="G71" s="59"/>
      <c r="H71" s="7"/>
      <c r="I71" s="7"/>
    </row>
    <row r="72" spans="1:12">
      <c r="B72" s="50"/>
      <c r="C72" s="51"/>
      <c r="D72" s="52"/>
      <c r="E72" s="52"/>
      <c r="F72" s="52"/>
      <c r="G72" s="59"/>
      <c r="H72" s="7"/>
      <c r="I72" s="7"/>
    </row>
    <row r="73" spans="1:12">
      <c r="B73" s="50"/>
      <c r="C73" s="51"/>
      <c r="D73" s="52"/>
      <c r="E73" s="52"/>
      <c r="F73" s="52"/>
      <c r="G73" s="59"/>
      <c r="H73" s="7"/>
      <c r="I73" s="7"/>
    </row>
    <row r="74" spans="1:12">
      <c r="B74" s="50"/>
      <c r="C74" s="51"/>
      <c r="D74" s="52"/>
      <c r="E74" s="52"/>
      <c r="F74" s="52"/>
      <c r="G74" s="59"/>
      <c r="H74" s="7"/>
      <c r="I74" s="7"/>
    </row>
    <row r="75" spans="1:12">
      <c r="B75" s="50"/>
      <c r="C75" s="51"/>
      <c r="D75" s="52"/>
      <c r="E75" s="52"/>
      <c r="F75" s="52"/>
      <c r="G75" s="59"/>
      <c r="H75" s="7"/>
      <c r="I75" s="7"/>
    </row>
    <row r="76" spans="1:12">
      <c r="B76" s="50"/>
      <c r="C76" s="51"/>
      <c r="D76" s="52"/>
      <c r="E76" s="52"/>
      <c r="F76" s="52"/>
      <c r="G76" s="59"/>
      <c r="H76" s="7"/>
      <c r="I76" s="7"/>
    </row>
    <row r="77" spans="1:12">
      <c r="B77" s="50"/>
      <c r="C77" s="51"/>
      <c r="D77" s="52"/>
      <c r="E77" s="52"/>
      <c r="F77" s="52"/>
      <c r="G77" s="59"/>
      <c r="H77" s="7"/>
      <c r="I77" s="7"/>
    </row>
    <row r="78" spans="1:12">
      <c r="B78" s="50"/>
      <c r="C78" s="51"/>
      <c r="D78" s="52"/>
      <c r="E78" s="52"/>
      <c r="F78" s="52"/>
      <c r="G78" s="59"/>
      <c r="H78" s="7"/>
      <c r="I78" s="7"/>
    </row>
    <row r="79" spans="1:12">
      <c r="B79" s="50"/>
      <c r="C79" s="51"/>
      <c r="D79" s="52"/>
      <c r="E79" s="52"/>
      <c r="F79" s="52"/>
      <c r="G79" s="59"/>
      <c r="H79" s="7"/>
      <c r="I79" s="7"/>
    </row>
    <row r="80" spans="1:12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D2" sqref="D2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138</v>
      </c>
      <c r="B1" t="s">
        <v>349</v>
      </c>
      <c r="C1" t="s">
        <v>350</v>
      </c>
      <c r="D1" t="s">
        <v>410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-31000</v>
      </c>
      <c r="C15" s="22" t="str">
        <f>IF(ISNUMBER('Change in Employment'!J22),TEXT('Change in Employment'!J22, "0"),"")</f>
        <v>-20333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-23000</v>
      </c>
      <c r="C16" s="22" t="str">
        <f>IF(ISNUMBER('Change in Employment'!J23),TEXT('Change in Employment'!J23, "0"),"")</f>
        <v>-31333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-8000</v>
      </c>
      <c r="C17" s="22" t="str">
        <f>IF(ISNUMBER('Change in Employment'!J24),TEXT('Change in Employment'!J24, "0"),"")</f>
        <v>-20667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-5000</v>
      </c>
      <c r="C18" s="22" t="str">
        <f>IF(ISNUMBER('Change in Employment'!J25),TEXT('Change in Employment'!J25, "0"),"")</f>
        <v>-12000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-7000</v>
      </c>
      <c r="C19" s="22" t="str">
        <f>IF(ISNUMBER('Change in Employment'!J26),TEXT('Change in Employment'!J26, "0"),"")</f>
        <v>-6667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-10000</v>
      </c>
      <c r="C20" s="22" t="str">
        <f>IF(ISNUMBER('Change in Employment'!J27),TEXT('Change in Employment'!J27, "0"),"")</f>
        <v>-7333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-42000</v>
      </c>
      <c r="C21" s="22" t="str">
        <f>IF(ISNUMBER('Change in Employment'!J28),TEXT('Change in Employment'!J28, "0"),"")</f>
        <v>-19667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-50000</v>
      </c>
      <c r="C22" s="22" t="str">
        <f>IF(ISNUMBER('Change in Employment'!J29),TEXT('Change in Employment'!J29, "0"),"")</f>
        <v>-34000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-88000</v>
      </c>
      <c r="C23" s="22" t="str">
        <f>IF(ISNUMBER('Change in Employment'!J30),TEXT('Change in Employment'!J30, "0"),"")</f>
        <v>-60000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45000</v>
      </c>
      <c r="C24" s="22" t="str">
        <f>IF(ISNUMBER('Change in Employment'!J31),TEXT('Change in Employment'!J31, "0"),"")</f>
        <v>-31000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-12000</v>
      </c>
      <c r="C25" s="22" t="str">
        <f>IF(ISNUMBER('Change in Employment'!J32),TEXT('Change in Employment'!J32, "0"),"")</f>
        <v>-18333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-27000</v>
      </c>
      <c r="C26" s="22" t="str">
        <f>IF(ISNUMBER('Change in Employment'!J33),TEXT('Change in Employment'!J33, "0"),"")</f>
        <v>2000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-15000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-56000</v>
      </c>
      <c r="C28" s="22" t="str">
        <f>IF(ISNUMBER('Change in Employment'!J35),TEXT('Change in Employment'!J35, "0"),"")</f>
        <v>-29667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-20000</v>
      </c>
      <c r="C29" s="22" t="str">
        <f>IF(ISNUMBER('Change in Employment'!J36),TEXT('Change in Employment'!J36, "0"),"")</f>
        <v>-27333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6000</v>
      </c>
      <c r="C30" s="22" t="str">
        <f>IF(ISNUMBER('Change in Employment'!J37),TEXT('Change in Employment'!J37, "0"),"")</f>
        <v>-23333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-64000</v>
      </c>
      <c r="C31" s="22" t="str">
        <f>IF(ISNUMBER('Change in Employment'!J38),TEXT('Change in Employment'!J38, "0"),"")</f>
        <v>-26000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44000</v>
      </c>
      <c r="C32" s="22" t="str">
        <f>IF(ISNUMBER('Change in Employment'!J39),TEXT('Change in Employment'!J39, "0"),"")</f>
        <v>-4667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-114000</v>
      </c>
      <c r="C33" s="22" t="str">
        <f>IF(ISNUMBER('Change in Employment'!J40),TEXT('Change in Employment'!J40, "0"),"")</f>
        <v>-44667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5000</v>
      </c>
      <c r="C34" s="22" t="str">
        <f>IF(ISNUMBER('Change in Employment'!J41),TEXT('Change in Employment'!J41, "0"),"")</f>
        <v>-21667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-41000</v>
      </c>
      <c r="C35" s="22" t="str">
        <f>IF(ISNUMBER('Change in Employment'!J42),TEXT('Change in Employment'!J42, "0"),"")</f>
        <v>-50000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3000</v>
      </c>
      <c r="C36" s="22" t="str">
        <f>IF(ISNUMBER('Change in Employment'!J43),TEXT('Change in Employment'!J43, "0"),"")</f>
        <v>-11000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-21000</v>
      </c>
      <c r="C37" s="22" t="str">
        <f>IF(ISNUMBER('Change in Employment'!J44),TEXT('Change in Employment'!J44, "0"),"")</f>
        <v>-19667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-22000</v>
      </c>
      <c r="C38" s="22" t="str">
        <f>IF(ISNUMBER('Change in Employment'!J45),TEXT('Change in Employment'!J45, "0"),"")</f>
        <v>-13333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2000</v>
      </c>
      <c r="C39" s="22" t="str">
        <f>IF(ISNUMBER('Change in Employment'!J46),TEXT('Change in Employment'!J46, "0"),"")</f>
        <v>-13667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4000</v>
      </c>
      <c r="C40" s="22" t="str">
        <f>IF(ISNUMBER('Change in Employment'!J47),TEXT('Change in Employment'!J47, "0"),"")</f>
        <v>-5333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1333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-6000</v>
      </c>
      <c r="C42" s="22" t="str">
        <f>IF(ISNUMBER('Change in Employment'!J49),TEXT('Change in Employment'!J49, "0"),"")</f>
        <v>-1333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-20000</v>
      </c>
      <c r="C43" s="22" t="str">
        <f>IF(ISNUMBER('Change in Employment'!J50),TEXT('Change in Employment'!J50, "0"),"")</f>
        <v>-9333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14000</v>
      </c>
      <c r="C44" s="22" t="str">
        <f>IF(ISNUMBER('Change in Employment'!J51),TEXT('Change in Employment'!J51, "0"),"")</f>
        <v>-4000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-2000</v>
      </c>
      <c r="C45" s="22" t="str">
        <f>IF(ISNUMBER('Change in Employment'!J52),TEXT('Change in Employment'!J52, "0"),"")</f>
        <v>-2667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9000</v>
      </c>
      <c r="C46" s="22" t="str">
        <f>IF(ISNUMBER('Change in Employment'!J53),TEXT('Change in Employment'!J53, "0"),"")</f>
        <v>7000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2000</v>
      </c>
      <c r="C47" s="22" t="str">
        <f>IF(ISNUMBER('Change in Employment'!J54),TEXT('Change in Employment'!J54, "0"),"")</f>
        <v>3000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-32000</v>
      </c>
      <c r="C48" s="22" t="str">
        <f>IF(ISNUMBER('Change in Employment'!J55),TEXT('Change in Employment'!J55, "0"),"")</f>
        <v>-7000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-3000</v>
      </c>
      <c r="C49" s="22" t="str">
        <f>IF(ISNUMBER('Change in Employment'!J56),TEXT('Change in Employment'!J56, "0"),"")</f>
        <v>-11000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1000</v>
      </c>
      <c r="C50" s="22" t="str">
        <f>IF(ISNUMBER('Change in Employment'!J57),TEXT('Change in Employment'!J57, "0"),"")</f>
        <v>-11333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-17000</v>
      </c>
      <c r="C51" s="22" t="str">
        <f>IF(ISNUMBER('Change in Employment'!J58),TEXT('Change in Employment'!J58, "0"),"")</f>
        <v>-6333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16000</v>
      </c>
      <c r="C52" s="22" t="str">
        <f>IF(ISNUMBER('Change in Employment'!J59),TEXT('Change in Employment'!J59, "0"),"")</f>
        <v>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-2000</v>
      </c>
      <c r="C53" s="22" t="str">
        <f>IF(ISNUMBER('Change in Employment'!J60),TEXT('Change in Employment'!J60, "0"),"")</f>
        <v>-1000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13000</v>
      </c>
      <c r="C54" s="22" t="str">
        <f>IF(ISNUMBER('Change in Employment'!J61),TEXT('Change in Employment'!J61, "0"),"")</f>
        <v>9000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0</v>
      </c>
      <c r="C55" s="22" t="str">
        <f>IF(ISNUMBER('Change in Employment'!J62),TEXT('Change in Employment'!J62, "0"),"")</f>
        <v>3667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1000</v>
      </c>
      <c r="C56" s="22" t="str">
        <f>IF(ISNUMBER('Change in Employment'!J63),TEXT('Change in Employment'!J63, "0"),"")</f>
        <v>4667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-10000</v>
      </c>
      <c r="C57" s="22" t="str">
        <f>IF(ISNUMBER('Change in Employment'!J64),TEXT('Change in Employment'!J64, "0"),"")</f>
        <v>-3000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29000</v>
      </c>
      <c r="C58" s="22" t="str">
        <f>IF(ISNUMBER('Change in Employment'!J65),TEXT('Change in Employment'!J65, "0"),"")</f>
        <v>6667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16000</v>
      </c>
      <c r="C59" s="22" t="str">
        <f>IF(ISNUMBER('Change in Employment'!J66),TEXT('Change in Employment'!J66, "0"),"")</f>
        <v>11667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2000</v>
      </c>
      <c r="C60" s="22" t="str">
        <f>IF(ISNUMBER('Change in Employment'!J67),TEXT('Change in Employment'!J67, "0"),"")</f>
        <v>15667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-5000</v>
      </c>
      <c r="C61" s="22" t="str">
        <f>IF(ISNUMBER('Change in Employment'!J68),TEXT('Change in Employment'!J68, "0"),"")</f>
        <v>4333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1000</v>
      </c>
      <c r="C62" s="22" t="str">
        <f>IF(ISNUMBER('Change in Employment'!J69),TEXT('Change in Employment'!J69, "0"),"")</f>
        <v>-667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-7000</v>
      </c>
      <c r="C63" s="22" t="str">
        <f>IF(ISNUMBER('Change in Employment'!J70),TEXT('Change in Employment'!J70, "0"),"")</f>
        <v>-3667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24000</v>
      </c>
      <c r="C64" s="22" t="str">
        <f>IF(ISNUMBER('Change in Employment'!J71),TEXT('Change in Employment'!J71, "0"),"")</f>
        <v>6000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8000</v>
      </c>
      <c r="C65" s="22" t="str">
        <f>IF(ISNUMBER('Change in Employment'!J72),TEXT('Change in Employment'!J72, "0"),"")</f>
        <v>8333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26000</v>
      </c>
      <c r="C66" s="22" t="str">
        <f>IF(ISNUMBER('Change in Employment'!J73),TEXT('Change in Employment'!J73, "0"),"")</f>
        <v>19333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2000</v>
      </c>
      <c r="C67" s="22" t="str">
        <f>IF(ISNUMBER('Change in Employment'!J74),TEXT('Change in Employment'!J74, "0"),"")</f>
        <v>12000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4000</v>
      </c>
      <c r="C68" s="22" t="str">
        <f>IF(ISNUMBER('Change in Employment'!J75),TEXT('Change in Employment'!J75, "0"),"")</f>
        <v>10667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6000</v>
      </c>
      <c r="C69" s="22" t="str">
        <f>IF(ISNUMBER('Change in Employment'!J76),TEXT('Change in Employment'!J76, "0"),"")</f>
        <v>4000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0</v>
      </c>
      <c r="C70" s="22" t="str">
        <f>IF(ISNUMBER('Change in Employment'!J77),TEXT('Change in Employment'!J77, "0"),"")</f>
        <v>3333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22000</v>
      </c>
      <c r="C71" s="22" t="str">
        <f>IF(ISNUMBER('Change in Employment'!J78),TEXT('Change in Employment'!J78, "0"),"")</f>
        <v>9333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9000</v>
      </c>
      <c r="C72" s="22" t="str">
        <f>IF(ISNUMBER('Change in Employment'!J79),TEXT('Change in Employment'!J79, "0"),"")</f>
        <v>10333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2000</v>
      </c>
      <c r="C73" s="22" t="str">
        <f>IF(ISNUMBER('Change in Employment'!J80),TEXT('Change in Employment'!J80, "0"),"")</f>
        <v>11000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/>
      </c>
      <c r="B74" s="22" t="str">
        <f>IF(ISNUMBER('Change in Employment'!I81), TEXT('Change in Employment'!I81, "0"), "")</f>
        <v/>
      </c>
      <c r="C74" s="22" t="str">
        <f>IF(ISNUMBER('Change in Employment'!J81),TEXT('Change in Employment'!J81, "0"),"")</f>
        <v/>
      </c>
      <c r="D74" s="110" t="str">
        <f>IF(ISNUMBER('Change in Employment'!G81),'Change in Employment'!G81,"")</f>
        <v/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2" t="str">
        <f>IF(ISNUMBER('Change in Employment'!I82), TEXT('Change in Employment'!I82, "0"), "")</f>
        <v/>
      </c>
      <c r="C75" s="22" t="str">
        <f>IF(ISNUMBER('Change in Employment'!J82),TEXT('Change in Employment'!J82, "0"),"")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16" workbookViewId="0">
      <selection activeCell="D2" sqref="D2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138</v>
      </c>
      <c r="B1" s="20" t="s">
        <v>349</v>
      </c>
      <c r="C1" s="20" t="s">
        <v>350</v>
      </c>
      <c r="D1" s="20" t="s">
        <v>410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5400.0000000000909</v>
      </c>
      <c r="C15" s="20" t="str">
        <f>IFERROR(IF(ISNUMBER('Change in Employment'!M22),TEXT('Change in Employment'!M22, "0"), ""), "")</f>
        <v>7000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3700.0000000002728</v>
      </c>
      <c r="C16" s="20" t="str">
        <f>IFERROR(IF(ISNUMBER('Change in Employment'!M23),TEXT('Change in Employment'!M23, "0"), ""), "")</f>
        <v>6100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6099.9999999999091</v>
      </c>
      <c r="C17" s="20" t="str">
        <f>IFERROR(IF(ISNUMBER('Change in Employment'!M24),TEXT('Change in Employment'!M24, "0"), ""), "")</f>
        <v>5067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400.00000000009095</v>
      </c>
      <c r="C18" s="20" t="str">
        <f>IFERROR(IF(ISNUMBER('Change in Employment'!M25),TEXT('Change in Employment'!M25, "0"), ""), "")</f>
        <v>3400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21299.999999999727</v>
      </c>
      <c r="C19" s="20" t="str">
        <f>IFERROR(IF(ISNUMBER('Change in Employment'!M26),TEXT('Change in Employment'!M26, "0"), ""), "")</f>
        <v>9267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3099.9999999999091</v>
      </c>
      <c r="C20" s="20" t="str">
        <f>IFERROR(IF(ISNUMBER('Change in Employment'!M27),TEXT('Change in Employment'!M27, "0"), ""), "")</f>
        <v>8267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6000</v>
      </c>
      <c r="C21" s="20" t="str">
        <f>IFERROR(IF(ISNUMBER('Change in Employment'!M28),TEXT('Change in Employment'!M28, "0"), ""), "")</f>
        <v>10133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5700.0000000002728</v>
      </c>
      <c r="C22" s="20" t="str">
        <f>IFERROR(IF(ISNUMBER('Change in Employment'!M29),TEXT('Change in Employment'!M29, "0"), ""), "")</f>
        <v>4933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1099.9999999999091</v>
      </c>
      <c r="C23" s="20" t="str">
        <f>IFERROR(IF(ISNUMBER('Change in Employment'!M30),TEXT('Change in Employment'!M30, "0"), ""), "")</f>
        <v>4267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3800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2599.9999999999091</v>
      </c>
      <c r="C25" s="20" t="str">
        <f>IFERROR(IF(ISNUMBER('Change in Employment'!M32),TEXT('Change in Employment'!M32, "0"), ""), "")</f>
        <v>2767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6100.0000000003638</v>
      </c>
      <c r="C26" s="20" t="str">
        <f>IFERROR(IF(ISNUMBER('Change in Employment'!M33),TEXT('Change in Employment'!M33, "0"), ""), "")</f>
        <v>4433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5899.9999999996362</v>
      </c>
      <c r="C27" s="20" t="str">
        <f>IFERROR(IF(ISNUMBER('Change in Employment'!M34),TEXT('Change in Employment'!M34, "0"), ""), "")</f>
        <v>4867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2600.0000000003638</v>
      </c>
      <c r="C28" s="20" t="str">
        <f>IFERROR(IF(ISNUMBER('Change in Employment'!M35),TEXT('Change in Employment'!M35, "0"), ""), "")</f>
        <v>4867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3500</v>
      </c>
      <c r="C29" s="20" t="str">
        <f>IFERROR(IF(ISNUMBER('Change in Employment'!M36),TEXT('Change in Employment'!M36, "0"), ""), "")</f>
        <v>4000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1599.9999999999091</v>
      </c>
      <c r="C30" s="20" t="str">
        <f>IFERROR(IF(ISNUMBER('Change in Employment'!M37),TEXT('Change in Employment'!M37, "0"), ""), "")</f>
        <v>2567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1500</v>
      </c>
      <c r="C31" s="20" t="str">
        <f>IFERROR(IF(ISNUMBER('Change in Employment'!M38),TEXT('Change in Employment'!M38, "0"), ""), "")</f>
        <v>2200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-8800.0000000001819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-2299.9999999997272</v>
      </c>
      <c r="C33" s="20" t="str">
        <f>IFERROR(IF(ISNUMBER('Change in Employment'!M40),TEXT('Change in Employment'!M40, "0"), ""), "")</f>
        <v>-3200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-1100.0000000003638</v>
      </c>
      <c r="C34" s="20" t="str">
        <f>IFERROR(IF(ISNUMBER('Change in Employment'!M41),TEXT('Change in Employment'!M41, "0"), ""), "")</f>
        <v>-4067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-99.999999999909051</v>
      </c>
      <c r="C35" s="20" t="str">
        <f>IFERROR(IF(ISNUMBER('Change in Employment'!M42),TEXT('Change in Employment'!M42, "0"), ""), "")</f>
        <v>-1167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-699.9999999998181</v>
      </c>
      <c r="C36" s="20" t="str">
        <f>IFERROR(IF(ISNUMBER('Change in Employment'!M43),TEXT('Change in Employment'!M43, "0"), ""), "")</f>
        <v>-633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-3000</v>
      </c>
      <c r="C37" s="20" t="str">
        <f>IFERROR(IF(ISNUMBER('Change in Employment'!M44),TEXT('Change in Employment'!M44, "0"), ""), "")</f>
        <v>-1267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-1500</v>
      </c>
      <c r="C38" s="20" t="str">
        <f>IFERROR(IF(ISNUMBER('Change in Employment'!M45),TEXT('Change in Employment'!M45, "0"), ""), "")</f>
        <v>-1733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-5800.0000000001819</v>
      </c>
      <c r="C39" s="20" t="str">
        <f>IFERROR(IF(ISNUMBER('Change in Employment'!M46),TEXT('Change in Employment'!M46, "0"), ""), "")</f>
        <v>-3433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-3699.9999999998181</v>
      </c>
      <c r="C40" s="20" t="str">
        <f>IFERROR(IF(ISNUMBER('Change in Employment'!M47),TEXT('Change in Employment'!M47, "0"), ""), "")</f>
        <v>-3667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1400.0000000000909</v>
      </c>
      <c r="C41" s="20" t="str">
        <f>IFERROR(IF(ISNUMBER('Change in Employment'!M48),TEXT('Change in Employment'!M48, "0"), ""), "")</f>
        <v>-2700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-700.00000000027285</v>
      </c>
      <c r="C42" s="20" t="str">
        <f>IFERROR(IF(ISNUMBER('Change in Employment'!M49),TEXT('Change in Employment'!M49, "0"), ""), "")</f>
        <v>-1000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900.00000000009095</v>
      </c>
      <c r="C43" s="20" t="str">
        <f>IFERROR(IF(ISNUMBER('Change in Employment'!M50),TEXT('Change in Employment'!M50, "0"), ""), "")</f>
        <v>533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-199.9999999998181</v>
      </c>
      <c r="C44" s="20" t="str">
        <f>IFERROR(IF(ISNUMBER('Change in Employment'!M51),TEXT('Change in Employment'!M51, "0"), ""), "")</f>
        <v>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-8400.0000000000909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-467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6300.0000000001819</v>
      </c>
      <c r="C47" s="20" t="str">
        <f>IFERROR(IF(ISNUMBER('Change in Employment'!M54),TEXT('Change in Employment'!M54, "0"), ""), "")</f>
        <v>1700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-3900.0000000000909</v>
      </c>
      <c r="C48" s="20" t="str">
        <f>IFERROR(IF(ISNUMBER('Change in Employment'!M55),TEXT('Change in Employment'!M55, "0"), ""), "")</f>
        <v>3200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-599.99999999990905</v>
      </c>
      <c r="C49" s="20" t="str">
        <f>IFERROR(IF(ISNUMBER('Change in Employment'!M56),TEXT('Change in Employment'!M56, "0"), ""), "")</f>
        <v>600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-1500</v>
      </c>
      <c r="C50" s="20" t="str">
        <f>IFERROR(IF(ISNUMBER('Change in Employment'!M57),TEXT('Change in Employment'!M57, "0"), ""), "")</f>
        <v>-2000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-3900.0000000000909</v>
      </c>
      <c r="C51" s="20" t="str">
        <f>IFERROR(IF(ISNUMBER('Change in Employment'!M58),TEXT('Change in Employment'!M58, "0"), ""), "")</f>
        <v>-2000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-2400.0000000000909</v>
      </c>
      <c r="C52" s="20" t="str">
        <f>IFERROR(IF(ISNUMBER('Change in Employment'!M59),TEXT('Change in Employment'!M59, "0"), ""), "")</f>
        <v>-2600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-4099.9999999999091</v>
      </c>
      <c r="C53" s="20" t="str">
        <f>IFERROR(IF(ISNUMBER('Change in Employment'!M60),TEXT('Change in Employment'!M60, "0"), ""), "")</f>
        <v>-3467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-9300.0000000001819</v>
      </c>
      <c r="C54" s="20" t="str">
        <f>IFERROR(IF(ISNUMBER('Change in Employment'!M61),TEXT('Change in Employment'!M61, "0"), ""), "")</f>
        <v>-5267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-10699.999999999818</v>
      </c>
      <c r="C55" s="20" t="str">
        <f>IFERROR(IF(ISNUMBER('Change in Employment'!M62),TEXT('Change in Employment'!M62, "0"), ""), "")</f>
        <v>-8033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-6800.0000000001819</v>
      </c>
      <c r="C56" s="20" t="str">
        <f>IFERROR(IF(ISNUMBER('Change in Employment'!M63),TEXT('Change in Employment'!M63, "0"), ""), "")</f>
        <v>-8933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-7199.9999999998181</v>
      </c>
      <c r="C57" s="20" t="str">
        <f>IFERROR(IF(ISNUMBER('Change in Employment'!M64),TEXT('Change in Employment'!M64, "0"), ""), "")</f>
        <v>-8233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-7900.0000000000909</v>
      </c>
      <c r="C58" s="20" t="str">
        <f>IFERROR(IF(ISNUMBER('Change in Employment'!M65),TEXT('Change in Employment'!M65, "0"), ""), "")</f>
        <v>-7300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-4900.0000000000909</v>
      </c>
      <c r="C59" s="20" t="str">
        <f>IFERROR(IF(ISNUMBER('Change in Employment'!M66),TEXT('Change in Employment'!M66, "0"), ""), "")</f>
        <v>-6667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-9299.9999999997272</v>
      </c>
      <c r="C60" s="20" t="str">
        <f>IFERROR(IF(ISNUMBER('Change in Employment'!M67),TEXT('Change in Employment'!M67, "0"), ""), "")</f>
        <v>-7367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4199.9999999998181</v>
      </c>
      <c r="C61" s="20" t="str">
        <f>IFERROR(IF(ISNUMBER('Change in Employment'!M68),TEXT('Change in Employment'!M68, "0"), ""), "")</f>
        <v>-3333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-6299.9999999997272</v>
      </c>
      <c r="C62" s="20" t="str">
        <f>IFERROR(IF(ISNUMBER('Change in Employment'!M69),TEXT('Change in Employment'!M69, "0"), ""), "")</f>
        <v>-3800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-5600.0000000003638</v>
      </c>
      <c r="C63" s="20" t="str">
        <f>IFERROR(IF(ISNUMBER('Change in Employment'!M70),TEXT('Change in Employment'!M70, "0"), ""), "")</f>
        <v>-2567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-6299.9999999997272</v>
      </c>
      <c r="C64" s="20" t="str">
        <f>IFERROR(IF(ISNUMBER('Change in Employment'!M71),TEXT('Change in Employment'!M71, "0"), ""), "")</f>
        <v>-6067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-4000</v>
      </c>
      <c r="C65" s="20" t="str">
        <f>IFERROR(IF(ISNUMBER('Change in Employment'!M72),TEXT('Change in Employment'!M72, "0"), ""), "")</f>
        <v>-5300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-2800.0000000001819</v>
      </c>
      <c r="C66" s="20" t="str">
        <f>IFERROR(IF(ISNUMBER('Change in Employment'!M73),TEXT('Change in Employment'!M73, "0"), ""), "")</f>
        <v>-4367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200.00000000027285</v>
      </c>
      <c r="C67" s="20" t="str">
        <f>IFERROR(IF(ISNUMBER('Change in Employment'!M74),TEXT('Change in Employment'!M74, "0"), ""), "")</f>
        <v>-2200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199.9999999998181</v>
      </c>
      <c r="C68" s="20" t="str">
        <f>IFERROR(IF(ISNUMBER('Change in Employment'!M75),TEXT('Change in Employment'!M75, "0"), ""), "")</f>
        <v>-800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199.9999999998181</v>
      </c>
      <c r="C69" s="20" t="str">
        <f>IFERROR(IF(ISNUMBER('Change in Employment'!M76),TEXT('Change in Employment'!M76, "0"), ""), "")</f>
        <v>200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2000</v>
      </c>
      <c r="C70" s="20" t="str">
        <f>IFERROR(IF(ISNUMBER('Change in Employment'!M77),TEXT('Change in Employment'!M77, "0"), ""), "")</f>
        <v>800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-1699.9999999998181</v>
      </c>
      <c r="C71" s="20" t="str">
        <f>IFERROR(IF(ISNUMBER('Change in Employment'!M78),TEXT('Change in Employment'!M78, "0"), ""), "")</f>
        <v>167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699.9999999998181</v>
      </c>
      <c r="C72" s="20" t="str">
        <f>IFERROR(IF(ISNUMBER('Change in Employment'!M79),TEXT('Change in Employment'!M79, "0"), ""), "")</f>
        <v>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1100.0000000003638</v>
      </c>
      <c r="C73" s="20" t="str">
        <f>IFERROR(IF(ISNUMBER('Change in Employment'!M80),TEXT('Change in Employment'!M80, "0"), ""), "")</f>
        <v>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/>
      </c>
      <c r="B74" s="20" t="str">
        <f>IF(ISNUMBER('Change in Employment'!L81),'Change in Employment'!L81, "")</f>
        <v/>
      </c>
      <c r="C74" s="20" t="str">
        <f>IFERROR(IF(ISNUMBER('Change in Employment'!M81),TEXT('Change in Employment'!M81, "0"), ""), "")</f>
        <v/>
      </c>
      <c r="D74" s="110" t="str">
        <f>IF(ISNUMBER('Change in Employment'!G81),'Change in Employment'!G81,"")</f>
        <v/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0" t="str">
        <f>IF(ISNUMBER('Change in Employment'!L82),'Change in Employment'!L82, "")</f>
        <v/>
      </c>
      <c r="C75" s="20" t="str">
        <f>IFERROR(IF(ISNUMBER('Change in Employment'!M82),TEXT('Change in Employment'!M82, "0"), ""), 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138</v>
      </c>
      <c r="B1" s="20" t="s">
        <v>348</v>
      </c>
      <c r="C1" s="20" t="s">
        <v>410</v>
      </c>
    </row>
    <row r="2" spans="1:3">
      <c r="A2" s="20" t="str">
        <f>TEXT(IF('Real Structures'!A8&lt;&gt;0,'Real Structures'!A8, ""), "d-mmm-yyyy")</f>
        <v>1-Jan-2009</v>
      </c>
      <c r="B2" s="20">
        <f>IF(ISNUMBER('Real Structures'!B8),'Real Structures'!B8, "")</f>
        <v>288.7</v>
      </c>
      <c r="C2" s="20">
        <f>IF(ISNUMBER('Real Structures'!C8),'Real Structures'!C8, "")</f>
        <v>1</v>
      </c>
    </row>
    <row r="3" spans="1:3">
      <c r="A3" s="20" t="str">
        <f>TEXT(IF('Real Structures'!A9&lt;&gt;0,'Real Structures'!A9, ""), "d-mmm-yyyy")</f>
        <v>1-Apr-2009</v>
      </c>
      <c r="B3" s="20">
        <f>IF(ISNUMBER('Real Structures'!B9),'Real Structures'!B9, "")</f>
        <v>294.7</v>
      </c>
      <c r="C3" s="20">
        <f>IF(ISNUMBER('Real Structures'!C9),'Real Structures'!C9, "")</f>
        <v>1</v>
      </c>
    </row>
    <row r="4" spans="1:3">
      <c r="A4" s="20" t="str">
        <f>TEXT(IF('Real Structures'!A10&lt;&gt;0,'Real Structures'!A10, ""), "d-mmm-yyyy")</f>
        <v>1-Jul-2009</v>
      </c>
      <c r="B4" s="20">
        <f>IF(ISNUMBER('Real Structures'!B10),'Real Structures'!B10, "")</f>
        <v>293.3</v>
      </c>
      <c r="C4" s="20">
        <f>IF(ISNUMBER('Real Structures'!C10),'Real Structures'!C10, "")</f>
        <v>0</v>
      </c>
    </row>
    <row r="5" spans="1:3">
      <c r="A5" s="20" t="str">
        <f>TEXT(IF('Real Structures'!A11&lt;&gt;0,'Real Structures'!A11, ""), "d-mmm-yyyy")</f>
        <v>1-Oct-2009</v>
      </c>
      <c r="B5" s="20">
        <f>IF(ISNUMBER('Real Structures'!B11),'Real Structures'!B11, "")</f>
        <v>282.39999999999998</v>
      </c>
      <c r="C5" s="20">
        <f>IF(ISNUMBER('Real Structures'!C11),'Real Structures'!C11, "")</f>
        <v>0</v>
      </c>
    </row>
    <row r="6" spans="1:3">
      <c r="A6" s="20" t="str">
        <f>TEXT(IF('Real Structures'!A12&lt;&gt;0,'Real Structures'!A12, ""), "d-mmm-yyyy")</f>
        <v>1-Jan-2010</v>
      </c>
      <c r="B6" s="20">
        <f>IF(ISNUMBER('Real Structures'!B12),'Real Structures'!B12, "")</f>
        <v>273.60000000000002</v>
      </c>
      <c r="C6" s="20">
        <f>IF(ISNUMBER('Real Structures'!C12),'Real Structures'!C12, "")</f>
        <v>0</v>
      </c>
    </row>
    <row r="7" spans="1:3">
      <c r="A7" s="20" t="str">
        <f>TEXT(IF('Real Structures'!A13&lt;&gt;0,'Real Structures'!A13, ""), "d-mmm-yyyy")</f>
        <v>1-Apr-2010</v>
      </c>
      <c r="B7" s="20">
        <f>IF(ISNUMBER('Real Structures'!B13),'Real Structures'!B13, "")</f>
        <v>284.2</v>
      </c>
      <c r="C7" s="20">
        <f>IF(ISNUMBER('Real Structures'!C13),'Real Structures'!C13, "")</f>
        <v>0</v>
      </c>
    </row>
    <row r="8" spans="1:3">
      <c r="A8" s="20" t="str">
        <f>TEXT(IF('Real Structures'!A14&lt;&gt;0,'Real Structures'!A14, ""), "d-mmm-yyyy")</f>
        <v>1-Jul-2010</v>
      </c>
      <c r="B8" s="20">
        <f>IF(ISNUMBER('Real Structures'!B14),'Real Structures'!B14, "")</f>
        <v>285.60000000000002</v>
      </c>
      <c r="C8" s="20">
        <f>IF(ISNUMBER('Real Structures'!C14),'Real Structures'!C14, "")</f>
        <v>0</v>
      </c>
    </row>
    <row r="9" spans="1:3">
      <c r="A9" s="20" t="str">
        <f>TEXT(IF('Real Structures'!A15&lt;&gt;0,'Real Structures'!A15, ""), "d-mmm-yyyy")</f>
        <v>1-Oct-2010</v>
      </c>
      <c r="B9" s="20">
        <f>IF(ISNUMBER('Real Structures'!B15),'Real Structures'!B15, "")</f>
        <v>274.5</v>
      </c>
      <c r="C9" s="20">
        <f>IF(ISNUMBER('Real Structures'!C15),'Real Structures'!C15, "")</f>
        <v>0</v>
      </c>
    </row>
    <row r="10" spans="1:3">
      <c r="A10" s="20" t="str">
        <f>TEXT(IF('Real Structures'!A16&lt;&gt;0,'Real Structures'!A16, ""), "d-mmm-yyyy")</f>
        <v>1-Jan-2011</v>
      </c>
      <c r="B10" s="20">
        <f>IF(ISNUMBER('Real Structures'!B16),'Real Structures'!B16, "")</f>
        <v>265.7</v>
      </c>
      <c r="C10" s="20">
        <f>IF(ISNUMBER('Real Structures'!C16),'Real Structures'!C16, "")</f>
        <v>0</v>
      </c>
    </row>
    <row r="11" spans="1:3">
      <c r="A11" s="20" t="str">
        <f>TEXT(IF('Real Structures'!A17&lt;&gt;0,'Real Structures'!A17, ""), "d-mmm-yyyy")</f>
        <v>1-Apr-2011</v>
      </c>
      <c r="B11" s="20">
        <f>IF(ISNUMBER('Real Structures'!B17),'Real Structures'!B17, "")</f>
        <v>261.39999999999998</v>
      </c>
      <c r="C11" s="20">
        <f>IF(ISNUMBER('Real Structures'!C17),'Real Structures'!C17, "")</f>
        <v>0</v>
      </c>
    </row>
    <row r="12" spans="1:3">
      <c r="A12" s="20" t="str">
        <f>TEXT(IF('Real Structures'!A18&lt;&gt;0,'Real Structures'!A18, ""), "d-mmm-yyyy")</f>
        <v>1-Jul-2011</v>
      </c>
      <c r="B12" s="20">
        <f>IF(ISNUMBER('Real Structures'!B18),'Real Structures'!B18, "")</f>
        <v>258.60000000000002</v>
      </c>
      <c r="C12" s="20">
        <f>IF(ISNUMBER('Real Structures'!C18),'Real Structures'!C18, "")</f>
        <v>0</v>
      </c>
    </row>
    <row r="13" spans="1:3">
      <c r="A13" s="20" t="str">
        <f>TEXT(IF('Real Structures'!A19&lt;&gt;0,'Real Structures'!A19, ""), "d-mmm-yyyy")</f>
        <v>1-Oct-2011</v>
      </c>
      <c r="B13" s="20">
        <f>IF(ISNUMBER('Real Structures'!B19),'Real Structures'!B19, "")</f>
        <v>257.89999999999998</v>
      </c>
      <c r="C13" s="20">
        <f>IF(ISNUMBER('Real Structures'!C19),'Real Structures'!C19, "")</f>
        <v>0</v>
      </c>
    </row>
    <row r="14" spans="1:3">
      <c r="A14" s="20" t="str">
        <f>TEXT(IF('Real Structures'!A20&lt;&gt;0,'Real Structures'!A20, ""), "d-mmm-yyyy")</f>
        <v>1-Jan-2012</v>
      </c>
      <c r="B14" s="20">
        <f>IF(ISNUMBER('Real Structures'!B20),'Real Structures'!B20, "")</f>
        <v>249.2</v>
      </c>
      <c r="C14" s="20">
        <f>IF(ISNUMBER('Real Structures'!C20),'Real Structures'!C20, "")</f>
        <v>0</v>
      </c>
    </row>
    <row r="15" spans="1:3">
      <c r="A15" s="20" t="str">
        <f>TEXT(IF('Real Structures'!A21&lt;&gt;0,'Real Structures'!A21, ""), "d-mmm-yyyy")</f>
        <v>1-Apr-2012</v>
      </c>
      <c r="B15" s="20">
        <f>IF(ISNUMBER('Real Structures'!B21),'Real Structures'!B21, "")</f>
        <v>247.1</v>
      </c>
      <c r="C15" s="20">
        <f>IF(ISNUMBER('Real Structures'!C21),'Real Structures'!C21, "")</f>
        <v>0</v>
      </c>
    </row>
    <row r="16" spans="1:3">
      <c r="A16" s="20" t="str">
        <f>TEXT(IF('Real Structures'!A22&lt;&gt;0,'Real Structures'!A22, ""), "d-mmm-yyyy")</f>
        <v>1-Jul-2012</v>
      </c>
      <c r="B16" s="20">
        <f>IF(ISNUMBER('Real Structures'!B22),'Real Structures'!B22, "")</f>
        <v>240.5</v>
      </c>
      <c r="C16" s="20">
        <f>IF(ISNUMBER('Real Structures'!C22),'Real Structures'!C22, "")</f>
        <v>0</v>
      </c>
    </row>
    <row r="17" spans="1:3">
      <c r="A17" s="20" t="str">
        <f>TEXT(IF('Real Structures'!A23&lt;&gt;0,'Real Structures'!A23, ""), "d-mmm-yyyy")</f>
        <v>1-Oct-2012</v>
      </c>
      <c r="B17" s="20">
        <f>IF(ISNUMBER('Real Structures'!B23),'Real Structures'!B23, "")</f>
        <v>233.4</v>
      </c>
      <c r="C17" s="20">
        <f>IF(ISNUMBER('Real Structures'!C23),'Real Structures'!C23, "")</f>
        <v>0</v>
      </c>
    </row>
    <row r="18" spans="1:3">
      <c r="A18" s="20" t="str">
        <f>TEXT(IF('Real Structures'!A24&lt;&gt;0,'Real Structures'!A24, ""), "d-mmm-yyyy")</f>
        <v>1-Jan-2013</v>
      </c>
      <c r="B18" s="20">
        <f>IF(ISNUMBER('Real Structures'!B24),'Real Structures'!B24, "")</f>
        <v>228.6</v>
      </c>
      <c r="C18" s="20">
        <f>IF(ISNUMBER('Real Structures'!C24),'Real Structures'!C24, "")</f>
        <v>0</v>
      </c>
    </row>
    <row r="19" spans="1:3">
      <c r="A19" s="20" t="str">
        <f>TEXT(IF('Real Structures'!A25&lt;&gt;0,'Real Structures'!A25, ""), "d-mmm-yyyy")</f>
        <v>1-Apr-2013</v>
      </c>
      <c r="B19" s="20">
        <f>IF(ISNUMBER('Real Structures'!B25),'Real Structures'!B25, "")</f>
        <v>233.7</v>
      </c>
      <c r="C19" s="20">
        <f>IF(ISNUMBER('Real Structures'!C25),'Real Structures'!C25, "")</f>
        <v>0</v>
      </c>
    </row>
    <row r="20" spans="1:3">
      <c r="A20" s="20" t="str">
        <f>TEXT(IF('Real Structures'!A26&lt;&gt;0,'Real Structures'!A26, ""), "d-mmm-yyyy")</f>
        <v>1-Jul-2013</v>
      </c>
      <c r="B20" s="20">
        <f>IF(ISNUMBER('Real Structures'!B26),'Real Structures'!B26, "")</f>
        <v>233</v>
      </c>
      <c r="C20" s="20">
        <f>IF(ISNUMBER('Real Structures'!C26),'Real Structures'!C26, "")</f>
        <v>0</v>
      </c>
    </row>
    <row r="21" spans="1:3">
      <c r="A21" s="20" t="str">
        <f>TEXT(IF('Real Structures'!A27&lt;&gt;0,'Real Structures'!A27, ""), "d-mmm-yyyy")</f>
        <v>1-Oct-2013</v>
      </c>
      <c r="B21" s="20">
        <f>IF(ISNUMBER('Real Structures'!B27),'Real Structures'!B27, "")</f>
        <v>231.2</v>
      </c>
      <c r="C21" s="20">
        <f>IF(ISNUMBER('Real Structures'!C27),'Real Structures'!C27, "")</f>
        <v>0</v>
      </c>
    </row>
    <row r="22" spans="1:3">
      <c r="A22" s="20" t="str">
        <f>TEXT(IF('Real Structures'!A28&lt;&gt;0,'Real Structures'!A28, ""), "d-mmm-yyyy")</f>
        <v>1-Jan-2014</v>
      </c>
      <c r="B22" s="20">
        <f>IF(ISNUMBER('Real Structures'!B28),'Real Structures'!B28, "")</f>
        <v>223.6</v>
      </c>
      <c r="C22" s="20">
        <f>IF(ISNUMBER('Real Structures'!C28),'Real Structures'!C28, "")</f>
        <v>0</v>
      </c>
    </row>
    <row r="23" spans="1:3">
      <c r="A23" s="20" t="str">
        <f>TEXT(IF('Real Structures'!A29&lt;&gt;0,'Real Structures'!A29, ""), "d-mmm-yyyy")</f>
        <v>1-Apr-2014</v>
      </c>
      <c r="B23" s="20">
        <f>IF(ISNUMBER('Real Structures'!B29),'Real Structures'!B29, "")</f>
        <v>232.9</v>
      </c>
      <c r="C23" s="20">
        <f>IF(ISNUMBER('Real Structures'!C29),'Real Structures'!C29, "")</f>
        <v>0</v>
      </c>
    </row>
    <row r="24" spans="1:3">
      <c r="A24" s="20" t="str">
        <f>TEXT(IF('Real Structures'!A30&lt;&gt;0,'Real Structures'!A30, ""), "d-mmm-yyyy")</f>
        <v>1-Jul-2014</v>
      </c>
      <c r="B24" s="20">
        <f>IF(ISNUMBER('Real Structures'!B30),'Real Structures'!B30, "")</f>
        <v>232.4</v>
      </c>
      <c r="C24" s="20">
        <f>IF(ISNUMBER('Real Structures'!C30),'Real Structures'!C30, "")</f>
        <v>0</v>
      </c>
    </row>
    <row r="25" spans="1:3">
      <c r="A25" s="20" t="str">
        <f>TEXT(IF('Real Structures'!A31&lt;&gt;0,'Real Structures'!A31, ""), "d-mmm-yyyy")</f>
        <v/>
      </c>
      <c r="B25" s="20" t="str">
        <f>IF(ISNUMBER('Real Structures'!B31),'Real Structures'!B31, "")</f>
        <v/>
      </c>
      <c r="C25" s="20" t="str">
        <f>IF(ISNUMBER('Real Structures'!C31),'Real Structures'!C31, "")</f>
        <v/>
      </c>
    </row>
    <row r="26" spans="1:3">
      <c r="A26" s="20" t="str">
        <f>TEXT(IF('Real Structures'!A32&lt;&gt;0,'Real Structures'!A32, ""), "d-mmm-yyyy")</f>
        <v/>
      </c>
      <c r="B26" s="20" t="str">
        <f>IF(ISNUMBER('Real Structures'!B32),'Real Structures'!B32, "")</f>
        <v/>
      </c>
      <c r="C26" s="20" t="str">
        <f>IF(ISNUMBER('Real Structures'!C32),'Real Structures'!C32, "")</f>
        <v/>
      </c>
    </row>
    <row r="27" spans="1:3">
      <c r="A27" s="20" t="str">
        <f>TEXT(IF('Real Structures'!A33&lt;&gt;0,'Real Structures'!A33, ""), "d-mmm-yyyy")</f>
        <v/>
      </c>
      <c r="B27" s="20" t="str">
        <f>IF(ISNUMBER('Real Structures'!B33),'Real Structures'!B33, "")</f>
        <v/>
      </c>
      <c r="C27" s="20" t="str">
        <f>IF(ISNUMBER('Real Structures'!C33),'Real Structures'!C33, "")</f>
        <v/>
      </c>
    </row>
    <row r="28" spans="1:3">
      <c r="A28" s="20" t="str">
        <f>TEXT(IF('Real Structures'!A34&lt;&gt;0,'Real Structures'!A34, ""), "d-mmm-yyyy")</f>
        <v/>
      </c>
      <c r="B28" s="20" t="str">
        <f>IF(ISNUMBER('Real Structures'!B34),'Real Structures'!B34, "")</f>
        <v/>
      </c>
      <c r="C28" s="20" t="str">
        <f>IF(ISNUMBER('Real Structures'!C34),'Real Structures'!C34, "")</f>
        <v/>
      </c>
    </row>
    <row r="29" spans="1:3">
      <c r="A29" s="20" t="str">
        <f>TEXT(IF('Real Structures'!A35&lt;&gt;0,'Real Structures'!A35, ""), "d-mmm-yyyy")</f>
        <v/>
      </c>
      <c r="B29" s="20" t="str">
        <f>IF(ISNUMBER('Real Structures'!B35),'Real Structures'!B35, "")</f>
        <v/>
      </c>
      <c r="C29" s="20" t="str">
        <f>IF(ISNUMBER('Real Structures'!C35),'Real Structures'!C35, "")</f>
        <v/>
      </c>
    </row>
    <row r="30" spans="1:3">
      <c r="A30" s="20" t="str">
        <f>TEXT(IF('Real Structures'!A36&lt;&gt;0,'Real Structures'!A36, ""), "d-mmm-yyyy")</f>
        <v/>
      </c>
      <c r="B30" s="20" t="str">
        <f>IF(ISNUMBER('Real Structures'!B36),'Real Structures'!B36, "")</f>
        <v/>
      </c>
      <c r="C30" s="20" t="str">
        <f>IF(ISNUMBER('Real Structures'!C36),'Real Structures'!C36, "")</f>
        <v/>
      </c>
    </row>
    <row r="31" spans="1:3">
      <c r="A31" s="20" t="str">
        <f>TEXT(IF('Real Structures'!A37&lt;&gt;0,'Real Structures'!A37, ""), "d-mmm-yyyy")</f>
        <v/>
      </c>
      <c r="B31" s="20" t="str">
        <f>IF(ISNUMBER('Real Structures'!B37),'Real Structures'!B37, "")</f>
        <v/>
      </c>
      <c r="C31" s="20" t="str">
        <f>IF(ISNUMBER('Real Structures'!C37),'Real Structures'!C37, "")</f>
        <v/>
      </c>
    </row>
    <row r="32" spans="1:3">
      <c r="A32" s="20" t="str">
        <f>TEXT(IF('Real Structures'!A38&lt;&gt;0,'Real Structures'!A38, ""), "d-mmm-yyyy")</f>
        <v/>
      </c>
      <c r="B32" s="20" t="str">
        <f>IF(ISNUMBER('Real Structures'!B38),'Real Structures'!B38, "")</f>
        <v/>
      </c>
      <c r="C32" s="20" t="str">
        <f>IF(ISNUMBER('Real Structures'!C38),'Real Structures'!C38, "")</f>
        <v/>
      </c>
    </row>
    <row r="33" spans="1:3">
      <c r="A33" s="20" t="str">
        <f>TEXT(IF('Real Structures'!A39&lt;&gt;0,'Real Structures'!A39, ""), "d-mmm-yyyy")</f>
        <v/>
      </c>
      <c r="B33" s="20" t="str">
        <f>IF(ISNUMBER('Real Structures'!B39),'Real Structures'!B39, "")</f>
        <v/>
      </c>
      <c r="C33" s="20" t="str">
        <f>IF(ISNUMBER('Real Structures'!C39),'Real Structures'!C39, "")</f>
        <v/>
      </c>
    </row>
    <row r="34" spans="1:3">
      <c r="A34" s="20" t="str">
        <f>TEXT(IF('Real Structures'!A40&lt;&gt;0,'Real Structures'!A40, ""), "d-mmm-yyyy")</f>
        <v/>
      </c>
      <c r="B34" s="20" t="str">
        <f>IF(ISNUMBER('Real Structures'!B40),'Real Structures'!B40, "")</f>
        <v/>
      </c>
      <c r="C34" s="20" t="str">
        <f>IF(ISNUMBER('Real Structures'!C40),'Real Structures'!C40, "")</f>
        <v/>
      </c>
    </row>
    <row r="35" spans="1:3">
      <c r="A35" s="20" t="str">
        <f>TEXT(IF('Real Structures'!A41&lt;&gt;0,'Real Structures'!A41, ""), "d-mmm-yyyy")</f>
        <v/>
      </c>
      <c r="B35" s="20" t="str">
        <f>IF(ISNUMBER('Real Structures'!B41),'Real Structures'!B41, "")</f>
        <v/>
      </c>
      <c r="C35" s="20" t="str">
        <f>IF(ISNUMBER('Real Structures'!C41),'Real Structures'!C41, "")</f>
        <v/>
      </c>
    </row>
    <row r="36" spans="1:3">
      <c r="A36" s="20" t="str">
        <f>TEXT(IF('Real Structures'!A42&lt;&gt;0,'Real Structures'!A42, ""), "d-mmm-yyyy")</f>
        <v/>
      </c>
      <c r="B36" s="20" t="str">
        <f>IF(ISNUMBER('Real Structures'!B42),'Real Structures'!B42, "")</f>
        <v/>
      </c>
      <c r="C36" s="20" t="str">
        <f>IF(ISNUMBER('Real Structures'!C42),'Real Structures'!C42, "")</f>
        <v/>
      </c>
    </row>
    <row r="37" spans="1:3">
      <c r="A37" s="20" t="str">
        <f>TEXT(IF('Real Structures'!A43&lt;&gt;0,'Real Structures'!A43, ""), "d-mmm-yyyy")</f>
        <v/>
      </c>
      <c r="B37" s="20" t="str">
        <f>IF(ISNUMBER('Real Structures'!B43),'Real Structures'!B43, "")</f>
        <v/>
      </c>
      <c r="C37" s="20" t="str">
        <f>IF(ISNUMBER('Real Structures'!C43),'Real Structures'!C43, "")</f>
        <v/>
      </c>
    </row>
    <row r="38" spans="1:3">
      <c r="A38" s="20" t="str">
        <f>TEXT(IF('Real Structures'!A44&lt;&gt;0,'Real Structures'!A44, ""), "d-mmm-yyyy")</f>
        <v/>
      </c>
      <c r="B38" s="20" t="str">
        <f>IF(ISNUMBER('Real Structures'!B44),'Real Structures'!B44, "")</f>
        <v/>
      </c>
      <c r="C38" s="20" t="str">
        <f>IF(ISNUMBER('Real Structures'!C44),'Real Structures'!C44, "")</f>
        <v/>
      </c>
    </row>
    <row r="39" spans="1:3">
      <c r="A39" s="20" t="str">
        <f>TEXT(IF('Real Structures'!A45&lt;&gt;0,'Real Structures'!A45, ""), "d-mmm-yyyy")</f>
        <v/>
      </c>
      <c r="B39" s="20" t="str">
        <f>IF(ISNUMBER('Real Structures'!B45),'Real Structures'!B45, "")</f>
        <v/>
      </c>
      <c r="C39" s="20" t="str">
        <f>IF(ISNUMBER('Real Structures'!C45),'Real Structures'!C45, "")</f>
        <v/>
      </c>
    </row>
    <row r="40" spans="1:3">
      <c r="A40" s="20" t="str">
        <f>TEXT(IF('Real Structures'!A46&lt;&gt;0,'Real Structures'!A46, ""), "d-mmm-yyyy")</f>
        <v/>
      </c>
      <c r="B40" s="20" t="str">
        <f>IF(ISNUMBER('Real Structures'!B46),'Real Structures'!B46, "")</f>
        <v/>
      </c>
      <c r="C40" s="20" t="str">
        <f>IF(ISNUMBER('Real Structures'!C46),'Real Structures'!C46, "")</f>
        <v/>
      </c>
    </row>
    <row r="41" spans="1:3">
      <c r="A41" s="20" t="str">
        <f>TEXT(IF('Real Structures'!A47&lt;&gt;0,'Real Structures'!A47, ""), "d-mmm-yyyy")</f>
        <v/>
      </c>
      <c r="B41" s="20" t="str">
        <f>IF(ISNUMBER('Real Structures'!B47),'Real Structures'!B47, "")</f>
        <v/>
      </c>
      <c r="C41" s="20" t="str">
        <f>IF(ISNUMBER('Real Structures'!C47),'Real Structures'!C47, "")</f>
        <v/>
      </c>
    </row>
    <row r="42" spans="1:3">
      <c r="A42" s="20" t="str">
        <f>TEXT(IF('Real Structures'!A48&lt;&gt;0,'Real Structures'!A48, ""), "d-mmm-yyyy")</f>
        <v/>
      </c>
      <c r="B42" s="20" t="str">
        <f>IF(ISNUMBER('Real Structures'!B48),'Real Structures'!B48, "")</f>
        <v/>
      </c>
      <c r="C42" s="20" t="str">
        <f>IF(ISNUMBER('Real Structures'!C48),'Real Structures'!C48, "")</f>
        <v/>
      </c>
    </row>
    <row r="43" spans="1:3">
      <c r="A43" s="20" t="str">
        <f>TEXT(IF('Real Structures'!A49&lt;&gt;0,'Real Structures'!A49, ""), "d-mmm-yyyy")</f>
        <v/>
      </c>
      <c r="B43" s="20" t="str">
        <f>IF(ISNUMBER('Real Structures'!B49),'Real Structures'!B49, "")</f>
        <v/>
      </c>
      <c r="C43" s="20" t="str">
        <f>IF(ISNUMBER('Real Structures'!C49),'Real Structures'!C49, "")</f>
        <v/>
      </c>
    </row>
    <row r="44" spans="1:3">
      <c r="A44" s="20" t="str">
        <f>TEXT(IF('Real Structures'!A50&lt;&gt;0,'Real Structures'!A50, ""), "d-mmm-yyyy")</f>
        <v/>
      </c>
      <c r="B44" s="20" t="str">
        <f>IF(ISNUMBER('Real Structures'!B50),'Real Structures'!B50, "")</f>
        <v/>
      </c>
      <c r="C44" s="20" t="str">
        <f>IF(ISNUMBER('Real Structures'!C50),'Real Structures'!C50, "")</f>
        <v/>
      </c>
    </row>
    <row r="45" spans="1:3">
      <c r="A45" s="20" t="str">
        <f>TEXT(IF('Real Structures'!A51&lt;&gt;0,'Real Structures'!A51, ""), "d-mmm-yyyy")</f>
        <v/>
      </c>
      <c r="B45" s="20" t="str">
        <f>IF(ISNUMBER('Real Structures'!B51),'Real Structures'!B51, "")</f>
        <v/>
      </c>
      <c r="C45" s="20" t="str">
        <f>IF(ISNUMBER('Real Structures'!C51),'Real Structures'!C51, "")</f>
        <v/>
      </c>
    </row>
    <row r="46" spans="1:3">
      <c r="A46" s="20" t="str">
        <f>TEXT(IF('Real Structures'!A52&lt;&gt;0,'Real Structures'!A52, ""), "d-mmm-yyyy")</f>
        <v/>
      </c>
      <c r="B46" s="20" t="str">
        <f>IF(ISNUMBER('Real Structures'!B52),'Real Structures'!B52, "")</f>
        <v/>
      </c>
      <c r="C46" s="20" t="str">
        <f>IF(ISNUMBER('Real Structures'!C52),'Real Structures'!C52, "")</f>
        <v/>
      </c>
    </row>
    <row r="47" spans="1:3">
      <c r="A47" s="20" t="str">
        <f>TEXT(IF('Real Structures'!A53&lt;&gt;0,'Real Structures'!A53, ""), "d-mmm-yyyy")</f>
        <v/>
      </c>
      <c r="B47" s="20" t="str">
        <f>IF(ISNUMBER('Real Structures'!B53),'Real Structures'!B53, "")</f>
        <v/>
      </c>
      <c r="C47" s="20" t="str">
        <f>IF(ISNUMBER('Real Structures'!C53),'Real Structures'!C53, "")</f>
        <v/>
      </c>
    </row>
    <row r="48" spans="1:3">
      <c r="A48" s="20" t="str">
        <f>TEXT(IF('Real Structures'!A54&lt;&gt;0,'Real Structures'!A54, ""), "d-mmm-yyyy")</f>
        <v/>
      </c>
      <c r="B48" s="20" t="str">
        <f>IF(ISNUMBER('Real Structures'!B54),'Real Structures'!B54, "")</f>
        <v/>
      </c>
      <c r="C48" s="20" t="str">
        <f>IF(ISNUMBER('Real Structures'!C54),'Real Structures'!C54, "")</f>
        <v/>
      </c>
    </row>
    <row r="49" spans="1:3">
      <c r="A49" s="20" t="str">
        <f>TEXT(IF('Real Structures'!A55&lt;&gt;0,'Real Structures'!A55, ""), "d-mmm-yyyy")</f>
        <v/>
      </c>
      <c r="B49" s="20" t="str">
        <f>IF(ISNUMBER('Real Structures'!B55),'Real Structures'!B55, "")</f>
        <v/>
      </c>
      <c r="C49" s="20" t="str">
        <f>IF(ISNUMBER('Real Structures'!C55),'Real Structures'!C55, "")</f>
        <v/>
      </c>
    </row>
    <row r="50" spans="1:3">
      <c r="A50" s="20" t="str">
        <f>TEXT(IF('Real Structures'!A56&lt;&gt;0,'Real Structures'!A56, ""), "d-mmm-yyyy")</f>
        <v/>
      </c>
      <c r="B50" s="20" t="str">
        <f>IF(ISNUMBER('Real Structures'!B56),'Real Structures'!B56, "")</f>
        <v/>
      </c>
      <c r="C50" s="20" t="str">
        <f>IF(ISNUMBER('Real Structures'!C56),'Real Structures'!C56, "")</f>
        <v/>
      </c>
    </row>
    <row r="51" spans="1:3">
      <c r="A51" s="20" t="str">
        <f>TEXT(IF('Real Structures'!A57&lt;&gt;0,'Real Structures'!A57, ""), "d-mmm-yyyy")</f>
        <v/>
      </c>
      <c r="B51" s="20" t="str">
        <f>IF(ISNUMBER('Real Structures'!B57),'Real Structures'!B57, "")</f>
        <v/>
      </c>
      <c r="C51" s="20" t="str">
        <f>IF(ISNUMBER('Real Structures'!C57),'Real Structures'!C57, "")</f>
        <v/>
      </c>
    </row>
    <row r="52" spans="1:3">
      <c r="A52" s="20" t="str">
        <f>TEXT(IF('Real Structures'!A58&lt;&gt;0,'Real Structures'!A58, ""), "d-mmm-yyyy")</f>
        <v/>
      </c>
      <c r="B52" s="20" t="str">
        <f>IF(ISNUMBER('Real Structures'!B58),'Real Structures'!B58, "")</f>
        <v/>
      </c>
      <c r="C52" s="20" t="str">
        <f>IF(ISNUMBER('Real Structures'!C58),'Real Structures'!C58, "")</f>
        <v/>
      </c>
    </row>
    <row r="53" spans="1:3">
      <c r="A53" s="20" t="str">
        <f>TEXT(IF('Real Structures'!A59&lt;&gt;0,'Real Structures'!A59, ""), "d-mmm-yyyy")</f>
        <v/>
      </c>
      <c r="B53" s="20" t="str">
        <f>IF(ISNUMBER('Real Structures'!B59),'Real Structures'!B59, "")</f>
        <v/>
      </c>
      <c r="C53" s="20" t="str">
        <f>IF(ISNUMBER('Real Structures'!C59),'Real Structures'!C59, "")</f>
        <v/>
      </c>
    </row>
    <row r="54" spans="1:3">
      <c r="A54" s="20" t="str">
        <f>TEXT(IF('Real Structures'!A60&lt;&gt;0,'Real Structures'!A60, ""), "d-mmm-yyyy")</f>
        <v/>
      </c>
      <c r="B54" s="20" t="str">
        <f>IF(ISNUMBER('Real Structures'!B60),'Real Structures'!B60, "")</f>
        <v/>
      </c>
      <c r="C54" s="20" t="str">
        <f>IF(ISNUMBER('Real Structures'!C60),'Real Structures'!C60, "")</f>
        <v/>
      </c>
    </row>
    <row r="55" spans="1:3">
      <c r="A55" s="20" t="str">
        <f>TEXT(IF('Real Structures'!A61&lt;&gt;0,'Real Structures'!A61, ""), "d-mmm-yyyy")</f>
        <v/>
      </c>
      <c r="B55" s="20" t="str">
        <f>IF(ISNUMBER('Real Structures'!B61),'Real Structures'!B61, "")</f>
        <v/>
      </c>
      <c r="C55" s="20" t="str">
        <f>IF(ISNUMBER('Real Structures'!C61),'Real Structures'!C61, "")</f>
        <v/>
      </c>
    </row>
    <row r="56" spans="1:3">
      <c r="A56" s="20" t="str">
        <f>TEXT(IF('Real Structures'!A62&lt;&gt;0,'Real Structures'!A62, ""), "d-mmm-yyyy")</f>
        <v/>
      </c>
      <c r="B56" s="20" t="str">
        <f>IF(ISNUMBER('Real Structures'!B62),'Real Structures'!B62, "")</f>
        <v/>
      </c>
      <c r="C56" s="20" t="str">
        <f>IF(ISNUMBER('Real Structures'!C62),'Real Structures'!C62, "")</f>
        <v/>
      </c>
    </row>
    <row r="57" spans="1:3">
      <c r="A57" s="20" t="str">
        <f>TEXT(IF('Real Structures'!A63&lt;&gt;0,'Real Structures'!A63, ""), "d-mmm-yyyy")</f>
        <v/>
      </c>
      <c r="B57" s="20" t="str">
        <f>IF(ISNUMBER('Real Structures'!B63),'Real Structures'!B63, "")</f>
        <v/>
      </c>
      <c r="C57" s="20" t="str">
        <f>IF(ISNUMBER('Real Structures'!C63),'Real Structures'!C63, "")</f>
        <v/>
      </c>
    </row>
    <row r="58" spans="1:3">
      <c r="A58" s="20" t="str">
        <f>TEXT(IF('Real Structures'!A64&lt;&gt;0,'Real Structures'!A64, ""), "d-mmm-yyyy")</f>
        <v/>
      </c>
      <c r="B58" s="20" t="str">
        <f>IF(ISNUMBER('Real Structures'!B64),'Real Structures'!B64, "")</f>
        <v/>
      </c>
      <c r="C58" s="20" t="str">
        <f>IF(ISNUMBER('Real Structures'!C64),'Real Structures'!C64, "")</f>
        <v/>
      </c>
    </row>
    <row r="59" spans="1:3">
      <c r="A59" s="20" t="str">
        <f>TEXT(IF('Real Structures'!A65&lt;&gt;0,'Real Structures'!A65, ""), "d-mmm-yyyy")</f>
        <v/>
      </c>
      <c r="B59" s="20" t="str">
        <f>IF(ISNUMBER('Real Structures'!B65),'Real Structures'!B65, "")</f>
        <v/>
      </c>
      <c r="C59" s="20" t="str">
        <f>IF(ISNUMBER('Real Structures'!C65),'Real Structures'!C65, "")</f>
        <v/>
      </c>
    </row>
    <row r="60" spans="1:3">
      <c r="A60" s="20" t="str">
        <f>TEXT(IF('Real Structures'!A66&lt;&gt;0,'Real Structures'!A66, ""), "d-mmm-yyyy")</f>
        <v/>
      </c>
      <c r="B60" s="20" t="str">
        <f>IF(ISNUMBER('Real Structures'!B66),'Real Structures'!B66, "")</f>
        <v/>
      </c>
      <c r="C60" s="20" t="str">
        <f>IF(ISNUMBER('Real Structures'!C66),'Real Structures'!C66, "")</f>
        <v/>
      </c>
    </row>
    <row r="61" spans="1:3">
      <c r="A61" s="20" t="str">
        <f>TEXT(IF('Real Structures'!A67&lt;&gt;0,'Real Structures'!A67, ""), "d-mmm-yyyy")</f>
        <v/>
      </c>
      <c r="B61" s="20" t="str">
        <f>IF(ISNUMBER('Real Structures'!B67),'Real Structures'!B67, "")</f>
        <v/>
      </c>
      <c r="C61" s="20" t="str">
        <f>IF(ISNUMBER('Real Structures'!C67),'Real Structures'!C67, "")</f>
        <v/>
      </c>
    </row>
    <row r="62" spans="1:3">
      <c r="A62" s="20" t="str">
        <f>TEXT(IF('Real Structures'!A68&lt;&gt;0,'Real Structures'!A68, ""), "d-mmm-yyyy")</f>
        <v/>
      </c>
      <c r="B62" s="20" t="str">
        <f>IF(ISNUMBER('Real Structures'!B68),'Real Structures'!B68, "")</f>
        <v/>
      </c>
      <c r="C62" s="20" t="str">
        <f>IF(ISNUMBER('Real Structures'!C68),'Real Structures'!C68, "")</f>
        <v/>
      </c>
    </row>
    <row r="63" spans="1:3">
      <c r="A63" s="20" t="str">
        <f>TEXT(IF('Real Structures'!A69&lt;&gt;0,'Real Structures'!A69, ""), "d-mmm-yyyy")</f>
        <v/>
      </c>
      <c r="B63" s="20" t="str">
        <f>IF(ISNUMBER('Real Structures'!B69),'Real Structures'!B69, "")</f>
        <v/>
      </c>
      <c r="C63" s="20" t="str">
        <f>IF(ISNUMBER('Real Structures'!C69),'Real Structures'!C69, "")</f>
        <v/>
      </c>
    </row>
    <row r="64" spans="1:3">
      <c r="A64" s="20" t="str">
        <f>TEXT(IF('Real Structures'!A70&lt;&gt;0,'Real Structures'!A70, ""), "d-mmm-yyyy")</f>
        <v/>
      </c>
      <c r="B64" s="20" t="str">
        <f>IF(ISNUMBER('Real Structures'!B70),'Real Structures'!B70, "")</f>
        <v/>
      </c>
      <c r="C64" s="20" t="str">
        <f>IF(ISNUMBER('Real Structures'!C70),'Real Structures'!C70, "")</f>
        <v/>
      </c>
    </row>
    <row r="65" spans="1:3">
      <c r="A65" s="20" t="str">
        <f>TEXT(IF('Real Structures'!A71&lt;&gt;0,'Real Structures'!A71, ""), "d-mmm-yyyy")</f>
        <v/>
      </c>
      <c r="B65" s="20" t="str">
        <f>IF(ISNUMBER('Real Structures'!B71),'Real Structures'!B71, "")</f>
        <v/>
      </c>
      <c r="C65" s="20" t="str">
        <f>IF(ISNUMBER('Real Structures'!C71),'Real Structures'!C71, "")</f>
        <v/>
      </c>
    </row>
    <row r="66" spans="1:3">
      <c r="A66" s="20" t="str">
        <f>TEXT(IF('Real Structures'!A72&lt;&gt;0,'Real Structures'!A72, ""), "d-mmm-yyyy")</f>
        <v/>
      </c>
      <c r="B66" s="20" t="str">
        <f>IF(ISNUMBER('Real Structures'!B72),'Real Structures'!B72, "")</f>
        <v/>
      </c>
      <c r="C66" s="20" t="str">
        <f>IF(ISNUMBER('Real Structures'!C72),'Real Structures'!C72, "")</f>
        <v/>
      </c>
    </row>
    <row r="67" spans="1:3">
      <c r="A67" s="20" t="str">
        <f>TEXT(IF('Real Structures'!A73&lt;&gt;0,'Real Structures'!A73, ""), "d-mmm-yyyy")</f>
        <v/>
      </c>
      <c r="B67" s="20" t="str">
        <f>IF(ISNUMBER('Real Structures'!B73),'Real Structures'!B73, "")</f>
        <v/>
      </c>
      <c r="C67" s="20" t="str">
        <f>IF(ISNUMBER('Real Structures'!C73),'Real Structures'!C73, "")</f>
        <v/>
      </c>
    </row>
    <row r="68" spans="1:3">
      <c r="A68" s="20" t="str">
        <f>TEXT(IF('Real Structures'!A74&lt;&gt;0,'Real Structures'!A74, ""), "d-mmm-yyyy")</f>
        <v/>
      </c>
      <c r="B68" s="20" t="str">
        <f>IF(ISNUMBER('Real Structures'!B74),'Real Structures'!B74, "")</f>
        <v/>
      </c>
      <c r="C68" s="20" t="str">
        <f>IF(ISNUMBER('Real Structures'!C74),'Real Structures'!C74, "")</f>
        <v/>
      </c>
    </row>
    <row r="69" spans="1:3">
      <c r="A69" s="20" t="str">
        <f>TEXT(IF('Real Structures'!A75&lt;&gt;0,'Real Structures'!A75, ""), "d-mmm-yyyy")</f>
        <v/>
      </c>
      <c r="B69" s="20" t="str">
        <f>IF(ISNUMBER('Real Structures'!B75),'Real Structures'!B75, "")</f>
        <v/>
      </c>
      <c r="C69" s="20" t="str">
        <f>IF(ISNUMBER('Real Structures'!C75),'Real Structures'!C75, "")</f>
        <v/>
      </c>
    </row>
    <row r="70" spans="1:3">
      <c r="A70" s="20" t="str">
        <f>TEXT(IF('Real Structures'!A76&lt;&gt;0,'Real Structures'!A76, ""), "d-mmm-yyyy")</f>
        <v/>
      </c>
      <c r="B70" s="20" t="str">
        <f>IF(ISNUMBER('Real Structures'!B76),'Real Structures'!B76, "")</f>
        <v/>
      </c>
      <c r="C70" s="20" t="str">
        <f>IF(ISNUMBER('Real Structures'!C76),'Real Structures'!C76, "")</f>
        <v/>
      </c>
    </row>
    <row r="71" spans="1:3">
      <c r="A71" s="20" t="str">
        <f>TEXT(IF('Real Structures'!A77&lt;&gt;0,'Real Structures'!A77, ""), "d-mmm-yyyy")</f>
        <v/>
      </c>
      <c r="B71" s="20" t="str">
        <f>IF(ISNUMBER('Real Structures'!B77),'Real Structures'!B77, "")</f>
        <v/>
      </c>
      <c r="C71" s="20" t="str">
        <f>IF(ISNUMBER('Real Structures'!C77),'Real Structures'!C77, "")</f>
        <v/>
      </c>
    </row>
    <row r="72" spans="1:3">
      <c r="A72" s="20" t="str">
        <f>TEXT(IF('Real Structures'!A78&lt;&gt;0,'Real Structures'!A78, ""), "d-mmm-yyyy")</f>
        <v/>
      </c>
      <c r="B72" s="20" t="str">
        <f>IF(ISNUMBER('Real Structures'!B78),'Real Structures'!B78, "")</f>
        <v/>
      </c>
      <c r="C72" s="20" t="str">
        <f>IF(ISNUMBER('Real Structures'!C78),'Real Structures'!C78, "")</f>
        <v/>
      </c>
    </row>
    <row r="73" spans="1:3">
      <c r="A73" s="20" t="str">
        <f>TEXT(IF('Real Structures'!A79&lt;&gt;0,'Real Structures'!A79, ""), "d-mmm-yyyy")</f>
        <v/>
      </c>
      <c r="B73" s="20" t="str">
        <f>IF(ISNUMBER('Real Structures'!B79),'Real Structures'!B79, "")</f>
        <v/>
      </c>
      <c r="C73" s="20" t="str">
        <f>IF(ISNUMBER('Real Structures'!C79),'Real Structures'!C79, "")</f>
        <v/>
      </c>
    </row>
    <row r="74" spans="1:3">
      <c r="A74" s="20" t="str">
        <f>TEXT(IF('Real Structures'!A80&lt;&gt;0,'Real Structures'!A80, ""), "d-mmm-yyyy")</f>
        <v/>
      </c>
      <c r="B74" s="20" t="str">
        <f>IF(ISNUMBER('Real Structures'!B80),'Real Structures'!B80, "")</f>
        <v/>
      </c>
      <c r="C74" s="20" t="str">
        <f>IF(ISNUMBER('Real Structures'!C80),'Real Structures'!C80, "")</f>
        <v/>
      </c>
    </row>
    <row r="75" spans="1:3">
      <c r="A75" s="20" t="str">
        <f>TEXT(IF('Real Structures'!A81&lt;&gt;0,'Real Structures'!A81, ""), "d-mmm-yyyy")</f>
        <v/>
      </c>
      <c r="B75" s="20" t="str">
        <f>IF(ISNUMBER('Real Structures'!B81),'Real Structures'!B81, "")</f>
        <v/>
      </c>
      <c r="C75" s="20" t="str">
        <f>IF(ISNUMBER('Real Structures'!C81),'Real Structures'!C81, "")</f>
        <v/>
      </c>
    </row>
    <row r="76" spans="1:3">
      <c r="A76" s="20" t="str">
        <f>TEXT(IF('Real Structures'!A82&lt;&gt;0,'Real Structures'!A82, ""), "d-mmm-yyyy")</f>
        <v/>
      </c>
      <c r="B76" s="20" t="str">
        <f>IF(ISNUMBER('Real Structures'!B82),'Real Structures'!B82, "")</f>
        <v/>
      </c>
      <c r="C76" s="20" t="str">
        <f>IF(ISNUMBER('Real Structures'!C82),'Real Structures'!C82, "")</f>
        <v/>
      </c>
    </row>
    <row r="77" spans="1:3">
      <c r="A77" s="20" t="str">
        <f>TEXT(IF('Real Structures'!A83&lt;&gt;0,'Real Structures'!A83, ""), "d-mmm-yyyy")</f>
        <v/>
      </c>
      <c r="B77" s="20" t="str">
        <f>IF(ISNUMBER('Real Structures'!B83),'Real Structures'!B83, "")</f>
        <v/>
      </c>
      <c r="C77" s="20" t="str">
        <f>IF(ISNUMBER('Real Structures'!C83),'Real Structures'!C83, "")</f>
        <v/>
      </c>
    </row>
    <row r="78" spans="1:3">
      <c r="A78" s="20" t="str">
        <f>TEXT(IF('Real Structures'!A84&lt;&gt;0,'Real Structures'!A84, ""), "d-mmm-yyyy")</f>
        <v/>
      </c>
      <c r="B78" s="20" t="str">
        <f>IF(ISNUMBER('Real Structures'!B84),'Real Structures'!B84, "")</f>
        <v/>
      </c>
      <c r="C78" s="20" t="str">
        <f>IF(ISNUMBER('Real Structures'!C84),'Real Structures'!C84, "")</f>
        <v/>
      </c>
    </row>
    <row r="79" spans="1:3">
      <c r="A79" s="20" t="str">
        <f>TEXT(IF('Real Structures'!A85&lt;&gt;0,'Real Structures'!A85, ""), "d-mmm-yyyy")</f>
        <v/>
      </c>
      <c r="B79" s="20" t="str">
        <f>IF(ISNUMBER('Real Structures'!B85),'Real Structures'!B85, "")</f>
        <v/>
      </c>
      <c r="C79" s="20" t="str">
        <f>IF(ISNUMBER('Real Structures'!C85),'Real Structures'!C85, "")</f>
        <v/>
      </c>
    </row>
    <row r="80" spans="1:3">
      <c r="A80" s="20" t="str">
        <f>TEXT(IF('Real Structures'!A86&lt;&gt;0,'Real Structures'!A86, ""), "d-mmm-yyyy")</f>
        <v/>
      </c>
      <c r="B80" s="20" t="str">
        <f>IF(ISNUMBER('Real Structures'!B86),'Real Structures'!B86, "")</f>
        <v/>
      </c>
      <c r="C80" s="20" t="str">
        <f>IF(ISNUMBER('Real Structures'!C86),'Real Structures'!C86, "")</f>
        <v/>
      </c>
    </row>
    <row r="81" spans="1:3">
      <c r="A81" s="20" t="str">
        <f>TEXT(IF('Real Structures'!A87&lt;&gt;0,'Real Structures'!A87, ""), "d-mmm-yyyy")</f>
        <v/>
      </c>
      <c r="B81" s="20" t="str">
        <f>IF(ISNUMBER('Real Structures'!B87),'Real Structures'!B87, "")</f>
        <v/>
      </c>
      <c r="C81" s="20" t="str">
        <f>IF(ISNUMBER('Real Structures'!C87),'Real Structures'!C87, "")</f>
        <v/>
      </c>
    </row>
    <row r="82" spans="1:3">
      <c r="A82" s="20" t="str">
        <f>TEXT(IF('Real Structures'!A88&lt;&gt;0,'Real Structures'!A88, ""), "d-mmm-yyyy")</f>
        <v/>
      </c>
      <c r="B82" s="20" t="str">
        <f>IF(ISNUMBER('Real Structures'!B88),'Real Structures'!B88, "")</f>
        <v/>
      </c>
      <c r="C82" s="20" t="str">
        <f>IF(ISNUMBER('Real Structures'!C88),'Real Structures'!C88, "")</f>
        <v/>
      </c>
    </row>
    <row r="83" spans="1:3">
      <c r="A83" s="20" t="str">
        <f>TEXT(IF('Real Structures'!A89&lt;&gt;0,'Real Structures'!A89, ""), "d-mmm-yyyy")</f>
        <v/>
      </c>
      <c r="B83" s="20" t="str">
        <f>IF(ISNUMBER('Real Structures'!B89),'Real Structures'!B89, "")</f>
        <v/>
      </c>
      <c r="C83" s="20" t="str">
        <f>IF(ISNUMBER('Real Structures'!C89),'Real Structures'!C89, "")</f>
        <v/>
      </c>
    </row>
    <row r="84" spans="1:3">
      <c r="A84" s="20" t="str">
        <f>TEXT(IF('Real Structures'!A90&lt;&gt;0,'Real Structures'!A90, ""), "d-mmm-yyyy")</f>
        <v/>
      </c>
      <c r="B84" s="20" t="str">
        <f>IF(ISNUMBER('Real Structures'!B90),'Real Structures'!B90, "")</f>
        <v/>
      </c>
      <c r="C84" s="20" t="str">
        <f>IF(ISNUMBER('Real Structures'!C90),'Real Structures'!C90, "")</f>
        <v/>
      </c>
    </row>
    <row r="85" spans="1:3">
      <c r="A85" s="20" t="str">
        <f>TEXT(IF('Real Structures'!A91&lt;&gt;0,'Real Structures'!A91, ""), "d-mmm-yyyy")</f>
        <v/>
      </c>
      <c r="B85" s="20" t="str">
        <f>IF(ISNUMBER('Real Structures'!B91),'Real Structures'!B91, "")</f>
        <v/>
      </c>
      <c r="C85" s="20" t="str">
        <f>IF(ISNUMBER('Real Structures'!C91),'Real Structures'!C91, "")</f>
        <v/>
      </c>
    </row>
    <row r="86" spans="1:3">
      <c r="A86" s="20" t="str">
        <f>TEXT(IF('Real Structures'!A92&lt;&gt;0,'Real Structures'!A92, ""), "d-mmm-yyyy")</f>
        <v/>
      </c>
      <c r="B86" s="20" t="str">
        <f>IF(ISNUMBER('Real Structures'!B92),'Real Structures'!B92, "")</f>
        <v/>
      </c>
      <c r="C86" s="20" t="str">
        <f>IF(ISNUMBER('Real Structures'!C92),'Real Structures'!C92, "")</f>
        <v/>
      </c>
    </row>
    <row r="87" spans="1:3">
      <c r="A87" s="20" t="str">
        <f>TEXT(IF('Real Structures'!A93&lt;&gt;0,'Real Structures'!A93, ""), "d-mmm-yyyy")</f>
        <v/>
      </c>
      <c r="B87" s="20" t="str">
        <f>IF(ISNUMBER('Real Structures'!B93),'Real Structures'!B93, "")</f>
        <v/>
      </c>
      <c r="C87" s="20" t="str">
        <f>IF(ISNUMBER('Real Structures'!C93),'Real Structures'!C93, "")</f>
        <v/>
      </c>
    </row>
    <row r="88" spans="1:3">
      <c r="A88" s="20" t="str">
        <f>TEXT(IF('Real Structures'!A94&lt;&gt;0,'Real Structures'!A94, ""), "d-mmm-yyyy")</f>
        <v/>
      </c>
      <c r="B88" s="20" t="str">
        <f>IF(ISNUMBER('Real Structures'!B94),'Real Structures'!B94, "")</f>
        <v/>
      </c>
      <c r="C88" s="20" t="str">
        <f>IF(ISNUMBER('Real Structures'!C94),'Real Structures'!C94, "")</f>
        <v/>
      </c>
    </row>
    <row r="89" spans="1:3">
      <c r="A89" s="20" t="str">
        <f>TEXT(IF('Real Structures'!A95&lt;&gt;0,'Real Structures'!A95, ""), "d-mmm-yyyy")</f>
        <v/>
      </c>
      <c r="B89" s="20" t="str">
        <f>IF(ISNUMBER('Real Structures'!B95),'Real Structures'!B95, "")</f>
        <v/>
      </c>
      <c r="C89" s="20" t="str">
        <f>IF(ISNUMBER('Real Structures'!C95),'Real Structures'!C95, "")</f>
        <v/>
      </c>
    </row>
    <row r="90" spans="1:3">
      <c r="A90" s="20" t="str">
        <f>TEXT(IF('Real Structures'!A96&lt;&gt;0,'Real Structures'!A96, ""), "d-mmm-yyyy")</f>
        <v/>
      </c>
      <c r="B90" s="20" t="str">
        <f>IF(ISNUMBER('Real Structures'!B96),'Real Structures'!B96, "")</f>
        <v/>
      </c>
      <c r="C90" s="20" t="str">
        <f>IF(ISNUMBER('Real Structures'!C96),'Real Structures'!C96, "")</f>
        <v/>
      </c>
    </row>
    <row r="91" spans="1:3">
      <c r="A91" s="20" t="str">
        <f>TEXT(IF('Real Structures'!A97&lt;&gt;0,'Real Structures'!A97, ""), "d-mmm-yyyy")</f>
        <v/>
      </c>
      <c r="B91" s="20" t="str">
        <f>IF(ISNUMBER('Real Structures'!B97),'Real Structures'!B97, "")</f>
        <v/>
      </c>
      <c r="C91" s="20" t="str">
        <f>IF(ISNUMBER('Real Structures'!C97),'Real Structures'!C97, "")</f>
        <v/>
      </c>
    </row>
    <row r="92" spans="1:3">
      <c r="A92" s="20" t="str">
        <f>TEXT(IF('Real Structures'!A98&lt;&gt;0,'Real Structures'!A98, ""), "d-mmm-yyyy")</f>
        <v/>
      </c>
      <c r="B92" s="20" t="str">
        <f>IF(ISNUMBER('Real Structures'!B98),'Real Structures'!B98, "")</f>
        <v/>
      </c>
      <c r="C92" s="20" t="str">
        <f>IF(ISNUMBER('Real Structures'!C98),'Real Structures'!C98, "")</f>
        <v/>
      </c>
    </row>
    <row r="93" spans="1:3">
      <c r="A93" s="20" t="str">
        <f>TEXT(IF('Real Structures'!A99&lt;&gt;0,'Real Structures'!A99, ""), "d-mmm-yyyy")</f>
        <v/>
      </c>
      <c r="B93" s="20" t="str">
        <f>IF(ISNUMBER('Real Structures'!B99),'Real Structures'!B99, "")</f>
        <v/>
      </c>
      <c r="C93" s="20" t="str">
        <f>IF(ISNUMBER('Real Structures'!C99),'Real Structures'!C99, "")</f>
        <v/>
      </c>
    </row>
    <row r="94" spans="1:3">
      <c r="A94" s="20" t="str">
        <f>TEXT(IF('Real Structures'!A100&lt;&gt;0,'Real Structures'!A100, ""), "d-mmm-yyyy")</f>
        <v/>
      </c>
      <c r="B94" s="20" t="str">
        <f>IF(ISNUMBER('Real Structures'!B100),'Real Structures'!B100, "")</f>
        <v/>
      </c>
      <c r="C94" s="20" t="str">
        <f>IF(ISNUMBER('Real Structures'!C100),'Real Structures'!C100, "")</f>
        <v/>
      </c>
    </row>
    <row r="95" spans="1:3">
      <c r="A95" s="20" t="str">
        <f>TEXT(IF('Real Structures'!A101&lt;&gt;0,'Real Structures'!A101, ""), "d-mmm-yyyy")</f>
        <v/>
      </c>
      <c r="B95" s="20" t="str">
        <f>IF(ISNUMBER('Real Structures'!B101),'Real Structures'!B101, "")</f>
        <v/>
      </c>
      <c r="C95" s="20" t="str">
        <f>IF(ISNUMBER('Real Structures'!C101),'Real Structures'!C101, "")</f>
        <v/>
      </c>
    </row>
    <row r="96" spans="1:3">
      <c r="A96" s="20" t="str">
        <f>TEXT(IF('Real Structures'!A102&lt;&gt;0,'Real Structures'!A102, ""), "d-mmm-yyyy")</f>
        <v/>
      </c>
      <c r="B96" s="20" t="str">
        <f>IF(ISNUMBER('Real Structures'!B102),'Real Structures'!B102, "")</f>
        <v/>
      </c>
      <c r="C96" s="20" t="str">
        <f>IF(ISNUMBER('Real Structures'!C102),'Real Structures'!C102, "")</f>
        <v/>
      </c>
    </row>
    <row r="97" spans="1:3">
      <c r="A97" s="20" t="str">
        <f>TEXT(IF('Real Structures'!A103&lt;&gt;0,'Real Structures'!A103, ""), "d-mmm-yyyy")</f>
        <v/>
      </c>
      <c r="B97" s="20" t="str">
        <f>IF(ISNUMBER('Real Structures'!B103),'Real Structures'!B103, "")</f>
        <v/>
      </c>
      <c r="C97" s="20" t="str">
        <f>IF(ISNUMBER('Real Structures'!C103),'Real Structures'!C103, "")</f>
        <v/>
      </c>
    </row>
    <row r="98" spans="1:3">
      <c r="A98" s="20" t="str">
        <f>TEXT(IF('Real Structures'!A104&lt;&gt;0,'Real Structures'!A104, ""), "d-mmm-yyyy")</f>
        <v/>
      </c>
      <c r="B98" s="20" t="str">
        <f>IF(ISNUMBER('Real Structures'!B104),'Real Structures'!B104, "")</f>
        <v/>
      </c>
      <c r="C98" s="20" t="str">
        <f>IF(ISNUMBER('Real Structures'!C104),'Real Structures'!C104, "")</f>
        <v/>
      </c>
    </row>
    <row r="99" spans="1:3">
      <c r="A99" s="20" t="str">
        <f>TEXT(IF('Real Structures'!A105&lt;&gt;0,'Real Structures'!A105, ""), "d-mmm-yyyy")</f>
        <v/>
      </c>
      <c r="B99" s="20" t="str">
        <f>IF(ISNUMBER('Real Structures'!B105),'Real Structures'!B105, "")</f>
        <v/>
      </c>
      <c r="C99" s="20" t="str">
        <f>IF(ISNUMBER('Real Structures'!C105),'Real Structures'!C105, "")</f>
        <v/>
      </c>
    </row>
    <row r="100" spans="1:3">
      <c r="A100" s="20" t="str">
        <f>TEXT(IF('Real Structures'!A106&lt;&gt;0,'Real Structures'!A106, ""), "d-mmm-yyyy")</f>
        <v/>
      </c>
      <c r="B100" s="20" t="str">
        <f>IF(ISNUMBER('Real Structures'!B106),'Real Structures'!B106, "")</f>
        <v/>
      </c>
      <c r="C100" s="20" t="str">
        <f>IF(ISNUMBER('Real Structures'!C106),'Real Structures'!C106, "")</f>
        <v/>
      </c>
    </row>
    <row r="101" spans="1:3">
      <c r="A101" s="20" t="str">
        <f>TEXT(IF('Real Structures'!A107&lt;&gt;0,'Real Structures'!A107, ""), "d-mmm-yyyy")</f>
        <v/>
      </c>
      <c r="B101" s="20" t="str">
        <f>IF(ISNUMBER('Real Structures'!B107),'Real Structures'!B107, "")</f>
        <v/>
      </c>
      <c r="C101" s="20" t="str">
        <f>IF(ISNUMBER('Real Structures'!C107),'Real Structures'!C107, "")</f>
        <v/>
      </c>
    </row>
    <row r="102" spans="1:3">
      <c r="A102" s="20" t="str">
        <f>TEXT(IF('Real Structures'!A108&lt;&gt;0,'Real Structures'!A108, ""), "d-mmm-yyyy")</f>
        <v/>
      </c>
      <c r="B102" s="20" t="str">
        <f>IF(ISNUMBER('Real Structures'!B108),'Real Structures'!B108, "")</f>
        <v/>
      </c>
      <c r="C102" s="20" t="str">
        <f>IF(ISNUMBER('Real Structures'!C108),'Real Structures'!C108, "")</f>
        <v/>
      </c>
    </row>
    <row r="103" spans="1:3">
      <c r="A103" s="20" t="str">
        <f>TEXT(IF('Real Structures'!A109&lt;&gt;0,'Real Structures'!A109, ""), "d-mmm-yyyy")</f>
        <v/>
      </c>
      <c r="B103" s="20" t="str">
        <f>IF(ISNUMBER('Real Structures'!B109),'Real Structures'!B109, "")</f>
        <v/>
      </c>
      <c r="C103" s="20" t="str">
        <f>IF(ISNUMBER('Real Structures'!C109),'Real Structures'!C109, "")</f>
        <v/>
      </c>
    </row>
    <row r="104" spans="1:3">
      <c r="A104" s="20" t="str">
        <f>TEXT(IF('Real Structures'!A110&lt;&gt;0,'Real Structures'!A110, ""), "d-mmm-yyyy")</f>
        <v/>
      </c>
      <c r="B104" s="20" t="str">
        <f>IF(ISNUMBER('Real Structures'!B110),'Real Structures'!B110, "")</f>
        <v/>
      </c>
      <c r="C104" s="20" t="str">
        <f>IF(ISNUMBER('Real Structures'!C110),'Real Structures'!C110, "")</f>
        <v/>
      </c>
    </row>
    <row r="105" spans="1:3">
      <c r="A105" s="20" t="str">
        <f>TEXT(IF('Real Structures'!A111&lt;&gt;0,'Real Structures'!A111, ""), "d-mmm-yyyy")</f>
        <v/>
      </c>
      <c r="B105" s="20" t="str">
        <f>IF(ISNUMBER('Real Structures'!B111),'Real Structures'!B111, "")</f>
        <v/>
      </c>
      <c r="C105" s="20" t="str">
        <f>IF(ISNUMBER('Real Structures'!C111),'Real Structures'!C111, "")</f>
        <v/>
      </c>
    </row>
    <row r="106" spans="1:3">
      <c r="A106" s="20" t="str">
        <f>TEXT(IF('Real Structures'!A112&lt;&gt;0,'Real Structures'!A112, ""), "d-mmm-yyyy")</f>
        <v/>
      </c>
      <c r="B106" s="20" t="str">
        <f>IF(ISNUMBER('Real Structures'!B112),'Real Structures'!B112, "")</f>
        <v/>
      </c>
      <c r="C106" s="20" t="str">
        <f>IF(ISNUMBER('Real Structures'!C112),'Real Structures'!C112, "")</f>
        <v/>
      </c>
    </row>
    <row r="107" spans="1:3">
      <c r="A107" s="20" t="str">
        <f>TEXT(IF('Real Structures'!A113&lt;&gt;0,'Real Structures'!A113, ""), "d-mmm-yyyy")</f>
        <v/>
      </c>
      <c r="B107" s="20" t="str">
        <f>IF(ISNUMBER('Real Structures'!B113),'Real Structures'!B113, "")</f>
        <v/>
      </c>
      <c r="C107" s="20" t="str">
        <f>IF(ISNUMBER('Real Structures'!C113),'Real Structures'!C113, "")</f>
        <v/>
      </c>
    </row>
    <row r="108" spans="1:3">
      <c r="A108" s="20" t="str">
        <f>TEXT(IF('Real Structures'!A114&lt;&gt;0,'Real Structures'!A114, ""), "d-mmm-yyyy")</f>
        <v/>
      </c>
      <c r="B108" s="20" t="str">
        <f>IF(ISNUMBER('Real Structures'!B114),'Real Structures'!B114, "")</f>
        <v/>
      </c>
      <c r="C108" s="20" t="str">
        <f>IF(ISNUMBER('Real Structures'!C114),'Real Structures'!C114, "")</f>
        <v/>
      </c>
    </row>
    <row r="109" spans="1:3">
      <c r="A109" s="20" t="str">
        <f>TEXT(IF('Real Structures'!A115&lt;&gt;0,'Real Structures'!A115, ""), "d-mmm-yyyy")</f>
        <v/>
      </c>
      <c r="B109" s="20" t="str">
        <f>IF(ISNUMBER('Real Structures'!B115),'Real Structures'!B115, "")</f>
        <v/>
      </c>
      <c r="C109" s="20" t="str">
        <f>IF(ISNUMBER('Real Structures'!C115),'Real Structures'!C115, "")</f>
        <v/>
      </c>
    </row>
    <row r="110" spans="1:3">
      <c r="A110" s="20" t="str">
        <f>TEXT(IF('Real Structures'!A116&lt;&gt;0,'Real Structures'!A116, ""), "d-mmm-yyyy")</f>
        <v/>
      </c>
      <c r="B110" s="20" t="str">
        <f>IF(ISNUMBER('Real Structures'!B116),'Real Structures'!B116, "")</f>
        <v/>
      </c>
      <c r="C110" s="20" t="str">
        <f>IF(ISNUMBER('Real Structures'!C116),'Real Structures'!C116, "")</f>
        <v/>
      </c>
    </row>
    <row r="111" spans="1:3">
      <c r="A111" s="20" t="str">
        <f>TEXT(IF('Real Structures'!A117&lt;&gt;0,'Real Structures'!A117, ""), "d-mmm-yyyy")</f>
        <v/>
      </c>
      <c r="B111" s="20" t="str">
        <f>IF(ISNUMBER('Real Structures'!B117),'Real Structures'!B117, "")</f>
        <v/>
      </c>
      <c r="C111" s="20" t="str">
        <f>IF(ISNUMBER('Real Structures'!C117),'Real Structures'!C117, "")</f>
        <v/>
      </c>
    </row>
    <row r="112" spans="1:3">
      <c r="A112" s="20" t="str">
        <f>TEXT(IF('Real Structures'!A118&lt;&gt;0,'Real Structures'!A118, ""), "d-mmm-yyyy")</f>
        <v/>
      </c>
      <c r="B112" s="20" t="str">
        <f>IF(ISNUMBER('Real Structures'!B118),'Real Structures'!B118, "")</f>
        <v/>
      </c>
      <c r="C112" s="20" t="str">
        <f>IF(ISNUMBER('Real Structures'!C118),'Real Structures'!C118, "")</f>
        <v/>
      </c>
    </row>
    <row r="113" spans="1:3">
      <c r="A113" s="20" t="str">
        <f>TEXT(IF('Real Structures'!A119&lt;&gt;0,'Real Structures'!A119, ""), "d-mmm-yyyy")</f>
        <v/>
      </c>
      <c r="B113" s="20" t="str">
        <f>IF(ISNUMBER('Real Structures'!B119),'Real Structures'!B119, "")</f>
        <v/>
      </c>
      <c r="C113" s="20" t="str">
        <f>IF(ISNUMBER('Real Structures'!C119),'Real Structures'!C119, "")</f>
        <v/>
      </c>
    </row>
    <row r="114" spans="1:3">
      <c r="A114" s="20" t="str">
        <f>TEXT(IF('Real Structures'!A120&lt;&gt;0,'Real Structures'!A120, ""), "d-mmm-yyyy")</f>
        <v/>
      </c>
      <c r="B114" s="20" t="str">
        <f>IF(ISNUMBER('Real Structures'!B120),'Real Structures'!B120, "")</f>
        <v/>
      </c>
      <c r="C114" s="20" t="str">
        <f>IF(ISNUMBER('Real Structures'!C120),'Real Structures'!C120, "")</f>
        <v/>
      </c>
    </row>
    <row r="115" spans="1:3">
      <c r="A115" s="20" t="str">
        <f>TEXT(IF('Real Structures'!A121&lt;&gt;0,'Real Structures'!A121, ""), "d-mmm-yyyy")</f>
        <v/>
      </c>
      <c r="B115" s="20" t="str">
        <f>IF(ISNUMBER('Real Structures'!B121),'Real Structures'!B121, "")</f>
        <v/>
      </c>
      <c r="C115" s="20" t="str">
        <f>IF(ISNUMBER('Real Structures'!C121),'Real Structures'!C121, "")</f>
        <v/>
      </c>
    </row>
    <row r="116" spans="1:3">
      <c r="A116" s="20" t="str">
        <f>TEXT(IF('Real Structures'!A122&lt;&gt;0,'Real Structures'!A122, ""), "d-mmm-yyyy")</f>
        <v/>
      </c>
      <c r="B116" s="20" t="str">
        <f>IF(ISNUMBER('Real Structures'!B122),'Real Structures'!B122, "")</f>
        <v/>
      </c>
      <c r="C116" s="20" t="str">
        <f>IF(ISNUMBER('Real Structures'!C122),'Real Structures'!C122, "")</f>
        <v/>
      </c>
    </row>
    <row r="117" spans="1:3">
      <c r="A117" s="20" t="str">
        <f>TEXT(IF('Real Structures'!A123&lt;&gt;0,'Real Structures'!A123, ""), "d-mmm-yyyy")</f>
        <v/>
      </c>
      <c r="B117" s="20" t="str">
        <f>IF(ISNUMBER('Real Structures'!B123),'Real Structures'!B123, "")</f>
        <v/>
      </c>
      <c r="C117" s="20" t="str">
        <f>IF(ISNUMBER('Real Structures'!C123),'Real Structures'!C123, "")</f>
        <v/>
      </c>
    </row>
    <row r="118" spans="1:3">
      <c r="A118" s="20" t="str">
        <f>TEXT(IF('Real Structures'!A124&lt;&gt;0,'Real Structures'!A124, ""), "d-mmm-yyyy")</f>
        <v/>
      </c>
      <c r="B118" s="20" t="str">
        <f>IF(ISNUMBER('Real Structures'!B124),'Real Structures'!B124, "")</f>
        <v/>
      </c>
      <c r="C118" s="20" t="str">
        <f>IF(ISNUMBER('Real Structures'!C124),'Real Structures'!C124, "")</f>
        <v/>
      </c>
    </row>
    <row r="119" spans="1:3">
      <c r="A119" s="20" t="str">
        <f>TEXT(IF('Real Structures'!A125&lt;&gt;0,'Real Structures'!A125, ""), "d-mmm-yyyy")</f>
        <v/>
      </c>
      <c r="B119" s="20" t="str">
        <f>IF(ISNUMBER('Real Structures'!B125),'Real Structures'!B125, "")</f>
        <v/>
      </c>
      <c r="C119" s="20" t="str">
        <f>IF(ISNUMBER('Real Structures'!C125),'Real Structures'!C125, "")</f>
        <v/>
      </c>
    </row>
    <row r="120" spans="1:3">
      <c r="A120" s="20" t="str">
        <f>TEXT(IF('Real Structures'!A126&lt;&gt;0,'Real Structures'!A126, ""), "d-mmm-yyyy")</f>
        <v/>
      </c>
      <c r="B120" s="20" t="str">
        <f>IF(ISNUMBER('Real Structures'!B126),'Real Structures'!B126, "")</f>
        <v/>
      </c>
      <c r="C120" s="20" t="str">
        <f>IF(ISNUMBER('Real Structures'!C126),'Real Structures'!C126, "")</f>
        <v/>
      </c>
    </row>
    <row r="121" spans="1:3">
      <c r="A121" s="20" t="str">
        <f>TEXT(IF('Real Structures'!A127&lt;&gt;0,'Real Structures'!A127, ""), "d-mmm-yyyy")</f>
        <v/>
      </c>
      <c r="B121" s="20" t="str">
        <f>IF(ISNUMBER('Real Structures'!B127),'Real Structures'!B127, "")</f>
        <v/>
      </c>
      <c r="C121" s="20" t="str">
        <f>IF(ISNUMBER('Real Structures'!C127),'Real Structures'!C127, "")</f>
        <v/>
      </c>
    </row>
    <row r="122" spans="1:3">
      <c r="A122" s="20" t="str">
        <f>TEXT(IF('Real Structures'!A128&lt;&gt;0,'Real Structures'!A128, ""), "d-mmm-yyyy")</f>
        <v/>
      </c>
      <c r="B122" s="20" t="str">
        <f>IF(ISNUMBER('Real Structures'!B128),'Real Structures'!B128, "")</f>
        <v/>
      </c>
      <c r="C122" s="20" t="str">
        <f>IF(ISNUMBER('Real Structures'!C128),'Real Structures'!C128, "")</f>
        <v/>
      </c>
    </row>
    <row r="123" spans="1:3">
      <c r="A123" s="20" t="str">
        <f>TEXT(IF('Real Structures'!A129&lt;&gt;0,'Real Structures'!A129, ""), "d-mmm-yyyy")</f>
        <v/>
      </c>
      <c r="B123" s="20" t="str">
        <f>IF(ISNUMBER('Real Structures'!B129),'Real Structures'!B129, "")</f>
        <v/>
      </c>
      <c r="C123" s="20" t="str">
        <f>IF(ISNUMBER('Real Structures'!C129),'Real Structures'!C129, "")</f>
        <v/>
      </c>
    </row>
    <row r="124" spans="1:3">
      <c r="A124" s="20" t="str">
        <f>TEXT(IF('Real Structures'!A130&lt;&gt;0,'Real Structures'!A130, ""), "d-mmm-yyyy")</f>
        <v/>
      </c>
      <c r="B124" s="20" t="str">
        <f>IF(ISNUMBER('Real Structures'!B130),'Real Structures'!B130, "")</f>
        <v/>
      </c>
      <c r="C124" s="20" t="str">
        <f>IF(ISNUMBER('Real Structures'!C130),'Real Structures'!C130, "")</f>
        <v/>
      </c>
    </row>
    <row r="125" spans="1:3">
      <c r="A125" s="20" t="str">
        <f>TEXT(IF('Real Structures'!A131&lt;&gt;0,'Real Structures'!A131, ""), "d-mmm-yyyy")</f>
        <v/>
      </c>
      <c r="B125" s="20" t="str">
        <f>IF(ISNUMBER('Real Structures'!B131),'Real Structures'!B131, "")</f>
        <v/>
      </c>
      <c r="C125" s="20" t="str">
        <f>IF(ISNUMBER('Real Structures'!C131),'Real Structures'!C131, "")</f>
        <v/>
      </c>
    </row>
    <row r="126" spans="1:3">
      <c r="A126" s="20" t="str">
        <f>TEXT(IF('Real Structures'!A132&lt;&gt;0,'Real Structures'!A132, ""), "d-mmm-yyyy")</f>
        <v/>
      </c>
      <c r="B126" s="20" t="str">
        <f>IF(ISNUMBER('Real Structures'!B132),'Real Structures'!B132, "")</f>
        <v/>
      </c>
      <c r="C126" s="20" t="str">
        <f>IF(ISNUMBER('Real Structures'!C132),'Real Structures'!C132, "")</f>
        <v/>
      </c>
    </row>
    <row r="127" spans="1:3">
      <c r="A127" s="20" t="str">
        <f>TEXT(IF('Real Structures'!A133&lt;&gt;0,'Real Structures'!A133, ""), "d-mmm-yyyy")</f>
        <v/>
      </c>
      <c r="B127" s="20" t="str">
        <f>IF(ISNUMBER('Real Structures'!B133),'Real Structures'!B133, "")</f>
        <v/>
      </c>
      <c r="C127" s="20" t="str">
        <f>IF(ISNUMBER('Real Structures'!C133),'Real Structures'!C133, "")</f>
        <v/>
      </c>
    </row>
    <row r="128" spans="1:3">
      <c r="A128" s="20" t="str">
        <f>TEXT(IF('Real Structures'!A134&lt;&gt;0,'Real Structures'!A134, ""), "d-mmm-yyyy")</f>
        <v/>
      </c>
      <c r="B128" s="20" t="str">
        <f>IF(ISNUMBER('Real Structures'!B134),'Real Structures'!B134, "")</f>
        <v/>
      </c>
      <c r="C128" s="20" t="str">
        <f>IF(ISNUMBER('Real Structures'!C134),'Real Structures'!C134, "")</f>
        <v/>
      </c>
    </row>
    <row r="129" spans="1:3">
      <c r="A129" s="20" t="str">
        <f>TEXT(IF('Real Structures'!A135&lt;&gt;0,'Real Structures'!A135, ""), "d-mmm-yyyy")</f>
        <v/>
      </c>
      <c r="B129" s="20" t="str">
        <f>IF(ISNUMBER('Real Structures'!B135),'Real Structures'!B135, "")</f>
        <v/>
      </c>
      <c r="C129" s="20" t="str">
        <f>IF(ISNUMBER('Real Structures'!C135),'Real Structures'!C135, "")</f>
        <v/>
      </c>
    </row>
    <row r="130" spans="1:3">
      <c r="A130" s="20" t="str">
        <f>TEXT(IF('Real Structures'!A136&lt;&gt;0,'Real Structures'!A136, ""), "d-mmm-yyyy")</f>
        <v/>
      </c>
      <c r="B130" s="20" t="str">
        <f>IF(ISNUMBER('Real Structures'!B136),'Real Structures'!B136, "")</f>
        <v/>
      </c>
      <c r="C130" s="20" t="str">
        <f>IF(ISNUMBER('Real Structures'!C136),'Real Structures'!C136, "")</f>
        <v/>
      </c>
    </row>
    <row r="131" spans="1:3">
      <c r="A131" s="20" t="str">
        <f>TEXT(IF('Real Structures'!A137&lt;&gt;0,'Real Structures'!A137, ""), "d-mmm-yyyy")</f>
        <v/>
      </c>
      <c r="B131" s="20" t="str">
        <f>IF(ISNUMBER('Real Structures'!B137),'Real Structures'!B137, "")</f>
        <v/>
      </c>
      <c r="C131" s="20" t="str">
        <f>IF(ISNUMBER('Real Structures'!C137),'Real Structures'!C137, "")</f>
        <v/>
      </c>
    </row>
    <row r="132" spans="1:3">
      <c r="A132" s="20" t="str">
        <f>TEXT(IF('Real Structures'!A138&lt;&gt;0,'Real Structures'!A138, ""), "d-mmm-yyyy")</f>
        <v/>
      </c>
      <c r="B132" s="20" t="str">
        <f>IF(ISNUMBER('Real Structures'!B138),'Real Structures'!B138, "")</f>
        <v/>
      </c>
      <c r="C132" s="20" t="str">
        <f>IF(ISNUMBER('Real Structures'!C138),'Real Structures'!C138, "")</f>
        <v/>
      </c>
    </row>
    <row r="133" spans="1:3">
      <c r="A133" s="20" t="str">
        <f>TEXT(IF('Real Structures'!A139&lt;&gt;0,'Real Structures'!A139, ""), "d-mmm-yyyy")</f>
        <v/>
      </c>
      <c r="B133" s="20" t="str">
        <f>IF(ISNUMBER('Real Structures'!B139),'Real Structures'!B139, "")</f>
        <v/>
      </c>
      <c r="C133" s="20" t="str">
        <f>IF(ISNUMBER('Real Structures'!C139),'Real Structures'!C139, "")</f>
        <v/>
      </c>
    </row>
    <row r="134" spans="1:3">
      <c r="A134" s="20" t="str">
        <f>TEXT(IF('Real Structures'!A140&lt;&gt;0,'Real Structures'!A140, ""), "d-mmm-yyyy")</f>
        <v/>
      </c>
      <c r="B134" s="20" t="str">
        <f>IF(ISNUMBER('Real Structures'!B140),'Real Structures'!B140, "")</f>
        <v/>
      </c>
      <c r="C134" s="20" t="str">
        <f>IF(ISNUMBER('Real Structures'!C140),'Real Structures'!C140, "")</f>
        <v/>
      </c>
    </row>
    <row r="135" spans="1:3">
      <c r="A135" s="20" t="str">
        <f>TEXT(IF('Real Structures'!A141&lt;&gt;0,'Real Structures'!A141, ""), "d-mmm-yyyy")</f>
        <v/>
      </c>
      <c r="B135" s="20" t="str">
        <f>IF(ISNUMBER('Real Structures'!B141),'Real Structures'!B141, "")</f>
        <v/>
      </c>
      <c r="C135" s="20" t="str">
        <f>IF(ISNUMBER('Real Structures'!C141),'Real Structures'!C141, "")</f>
        <v/>
      </c>
    </row>
    <row r="136" spans="1:3">
      <c r="A136" s="20" t="str">
        <f>TEXT(IF('Real Structures'!A142&lt;&gt;0,'Real Structures'!A142, ""), "d-mmm-yyyy")</f>
        <v/>
      </c>
      <c r="B136" s="20" t="str">
        <f>IF(ISNUMBER('Real Structures'!B142),'Real Structures'!B142, "")</f>
        <v/>
      </c>
      <c r="C136" s="20" t="str">
        <f>IF(ISNUMBER('Real Structures'!C142),'Real Structures'!C142, "")</f>
        <v/>
      </c>
    </row>
    <row r="137" spans="1:3">
      <c r="A137" s="20" t="str">
        <f>TEXT(IF('Real Structures'!A143&lt;&gt;0,'Real Structures'!A143, ""), "d-mmm-yyyy")</f>
        <v/>
      </c>
      <c r="B137" s="20" t="str">
        <f>IF(ISNUMBER('Real Structures'!B143),'Real Structures'!B143, "")</f>
        <v/>
      </c>
      <c r="C137" s="20" t="str">
        <f>IF(ISNUMBER('Real Structures'!C143),'Real Structures'!C143, "")</f>
        <v/>
      </c>
    </row>
    <row r="138" spans="1:3">
      <c r="A138" s="20" t="str">
        <f>TEXT(IF('Real Structures'!A144&lt;&gt;0,'Real Structures'!A144, ""), "d-mmm-yyyy")</f>
        <v/>
      </c>
      <c r="B138" s="20" t="str">
        <f>IF(ISNUMBER('Real Structures'!B144),'Real Structures'!B144, "")</f>
        <v/>
      </c>
      <c r="C138" s="20" t="str">
        <f>IF(ISNUMBER('Real Structures'!C144),'Real Structures'!C144, "")</f>
        <v/>
      </c>
    </row>
    <row r="139" spans="1:3">
      <c r="A139" s="20" t="str">
        <f>TEXT(IF('Real Structures'!A145&lt;&gt;0,'Real Structures'!A145, ""), "d-mmm-yyyy")</f>
        <v/>
      </c>
      <c r="B139" s="20" t="str">
        <f>IF(ISNUMBER('Real Structures'!B145),'Real Structures'!B145, "")</f>
        <v/>
      </c>
      <c r="C139" s="20" t="str">
        <f>IF(ISNUMBER('Real Structures'!C145),'Real Structures'!C145, "")</f>
        <v/>
      </c>
    </row>
    <row r="140" spans="1:3">
      <c r="A140" s="20" t="str">
        <f>TEXT(IF('Real Structures'!A146&lt;&gt;0,'Real Structures'!A146, ""), "d-mmm-yyyy")</f>
        <v/>
      </c>
      <c r="B140" s="20" t="str">
        <f>IF(ISNUMBER('Real Structures'!B146),'Real Structures'!B146, "")</f>
        <v/>
      </c>
      <c r="C140" s="20" t="str">
        <f>IF(ISNUMBER('Real Structures'!C146),'Real Structures'!C146, "")</f>
        <v/>
      </c>
    </row>
    <row r="141" spans="1:3">
      <c r="A141" s="20" t="str">
        <f>TEXT(IF('Real Structures'!A147&lt;&gt;0,'Real Structures'!A147, ""), "d-mmm-yyyy")</f>
        <v/>
      </c>
      <c r="B141" s="20" t="str">
        <f>IF(ISNUMBER('Real Structures'!B147),'Real Structures'!B147, "")</f>
        <v/>
      </c>
      <c r="C141" s="20" t="str">
        <f>IF(ISNUMBER('Real Structures'!C147),'Real Structures'!C147, "")</f>
        <v/>
      </c>
    </row>
    <row r="142" spans="1:3">
      <c r="A142" s="20" t="str">
        <f>TEXT(IF('Real Structures'!A148&lt;&gt;0,'Real Structures'!A148, ""), "d-mmm-yyyy")</f>
        <v/>
      </c>
      <c r="B142" s="20" t="str">
        <f>IF(ISNUMBER('Real Structures'!B148),'Real Structures'!B148, "")</f>
        <v/>
      </c>
      <c r="C142" s="20" t="str">
        <f>IF(ISNUMBER('Real Structures'!C148),'Real Structures'!C148, "")</f>
        <v/>
      </c>
    </row>
    <row r="143" spans="1:3">
      <c r="A143" s="20" t="str">
        <f>TEXT(IF('Real Structures'!A149&lt;&gt;0,'Real Structures'!A149, ""), "d-mmm-yyyy")</f>
        <v/>
      </c>
      <c r="B143" s="20" t="str">
        <f>IF(ISNUMBER('Real Structures'!B149),'Real Structures'!B149, "")</f>
        <v/>
      </c>
      <c r="C143" s="20" t="str">
        <f>IF(ISNUMBER('Real Structures'!C149),'Real Structures'!C149, "")</f>
        <v/>
      </c>
    </row>
    <row r="144" spans="1:3">
      <c r="A144" s="20" t="str">
        <f>TEXT(IF('Real Structures'!A150&lt;&gt;0,'Real Structures'!A150, ""), "d-mmm-yyyy")</f>
        <v/>
      </c>
      <c r="B144" s="20" t="str">
        <f>IF(ISNUMBER('Real Structures'!B150),'Real Structures'!B150, "")</f>
        <v/>
      </c>
      <c r="C144" s="20" t="str">
        <f>IF(ISNUMBER('Real Structures'!C150),'Real Structures'!C150, "")</f>
        <v/>
      </c>
    </row>
    <row r="145" spans="1:3">
      <c r="A145" s="20" t="str">
        <f>TEXT(IF('Real Structures'!A151&lt;&gt;0,'Real Structures'!A151, ""), "d-mmm-yyyy")</f>
        <v/>
      </c>
      <c r="B145" s="20" t="str">
        <f>IF(ISNUMBER('Real Structures'!B151),'Real Structures'!B151, "")</f>
        <v/>
      </c>
      <c r="C145" s="20" t="str">
        <f>IF(ISNUMBER('Real Structures'!C151),'Real Structures'!C151, "")</f>
        <v/>
      </c>
    </row>
    <row r="146" spans="1:3">
      <c r="A146" s="20" t="str">
        <f>TEXT(IF('Real Structures'!A152&lt;&gt;0,'Real Structures'!A152, ""), "d-mmm-yyyy")</f>
        <v/>
      </c>
      <c r="B146" s="20" t="str">
        <f>IF(ISNUMBER('Real Structures'!B152),'Real Structures'!B152, "")</f>
        <v/>
      </c>
      <c r="C146" s="20" t="str">
        <f>IF(ISNUMBER('Real Structures'!C152),'Real Structures'!C152, "")</f>
        <v/>
      </c>
    </row>
    <row r="147" spans="1:3">
      <c r="A147" s="20" t="str">
        <f>TEXT(IF('Real Structures'!A153&lt;&gt;0,'Real Structures'!A153, ""), "d-mmm-yyyy")</f>
        <v/>
      </c>
      <c r="B147" s="20" t="str">
        <f>IF(ISNUMBER('Real Structures'!B153),'Real Structures'!B153, "")</f>
        <v/>
      </c>
      <c r="C147" s="20" t="str">
        <f>IF(ISNUMBER('Real Structures'!C153),'Real Structures'!C153, "")</f>
        <v/>
      </c>
    </row>
    <row r="148" spans="1:3">
      <c r="A148" s="20" t="str">
        <f>TEXT(IF('Real Structures'!A154&lt;&gt;0,'Real Structures'!A154, ""), "d-mmm-yyyy")</f>
        <v/>
      </c>
      <c r="B148" s="20" t="str">
        <f>IF(ISNUMBER('Real Structures'!B154),'Real Structures'!B154, "")</f>
        <v/>
      </c>
      <c r="C148" s="20" t="str">
        <f>IF(ISNUMBER('Real Structures'!C154),'Real Structures'!C154, "")</f>
        <v/>
      </c>
    </row>
    <row r="149" spans="1:3">
      <c r="A149" s="20" t="str">
        <f>TEXT(IF('Real Structures'!A155&lt;&gt;0,'Real Structures'!A155, ""), "d-mmm-yyyy")</f>
        <v/>
      </c>
      <c r="B149" s="20" t="str">
        <f>IF(ISNUMBER('Real Structures'!B155),'Real Structures'!B155, "")</f>
        <v/>
      </c>
      <c r="C149" s="20" t="str">
        <f>IF(ISNUMBER('Real Structures'!C155),'Real Structures'!C155, "")</f>
        <v/>
      </c>
    </row>
    <row r="150" spans="1:3">
      <c r="A150" s="20" t="str">
        <f>TEXT(IF('Real Structures'!A156&lt;&gt;0,'Real Structures'!A156, ""), "d-mmm-yyyy")</f>
        <v/>
      </c>
      <c r="B150" s="20" t="str">
        <f>IF(ISNUMBER('Real Structures'!B156),'Real Structures'!B156, "")</f>
        <v/>
      </c>
      <c r="C150" s="20" t="str">
        <f>IF(ISNUMBER('Real Structures'!C156),'Real Structures'!C156, "")</f>
        <v/>
      </c>
    </row>
    <row r="151" spans="1:3">
      <c r="A151" s="20" t="str">
        <f>TEXT(IF('Real Structures'!A157&lt;&gt;0,'Real Structures'!A157, ""), "d-mmm-yyyy")</f>
        <v/>
      </c>
      <c r="B151" s="20" t="str">
        <f>IF(ISNUMBER('Real Structures'!B157),'Real Structures'!B157, "")</f>
        <v/>
      </c>
      <c r="C151" s="20" t="str">
        <f>IF(ISNUMBER('Real Structures'!C157),'Real Structures'!C157, "")</f>
        <v/>
      </c>
    </row>
    <row r="152" spans="1:3">
      <c r="A152" s="20" t="str">
        <f>TEXT(IF('Real Structures'!A158&lt;&gt;0,'Real Structures'!A158, ""), "d-mmm-yyyy")</f>
        <v/>
      </c>
      <c r="B152" s="20" t="str">
        <f>IF(ISNUMBER('Real Structures'!B158),'Real Structures'!B158, "")</f>
        <v/>
      </c>
      <c r="C152" s="20" t="str">
        <f>IF(ISNUMBER('Real Structures'!C158),'Real Structures'!C158, "")</f>
        <v/>
      </c>
    </row>
    <row r="153" spans="1:3">
      <c r="A153" s="20" t="str">
        <f>TEXT(IF('Real Structures'!A159&lt;&gt;0,'Real Structures'!A159, ""), "d-mmm-yyyy")</f>
        <v/>
      </c>
      <c r="B153" s="20" t="str">
        <f>IF(ISNUMBER('Real Structures'!B159),'Real Structures'!B159, "")</f>
        <v/>
      </c>
      <c r="C153" s="20" t="str">
        <f>IF(ISNUMBER('Real Structures'!C159),'Real Structures'!C159, "")</f>
        <v/>
      </c>
    </row>
    <row r="154" spans="1:3">
      <c r="A154" s="20" t="str">
        <f>TEXT(IF('Real Structures'!A160&lt;&gt;0,'Real Structures'!A160, ""), "d-mmm-yyyy")</f>
        <v/>
      </c>
      <c r="B154" s="20" t="str">
        <f>IF(ISNUMBER('Real Structures'!B160),'Real Structures'!B160, "")</f>
        <v/>
      </c>
      <c r="C154" s="20" t="str">
        <f>IF(ISNUMBER('Real Structures'!C160),'Real Structures'!C160, "")</f>
        <v/>
      </c>
    </row>
    <row r="155" spans="1:3">
      <c r="A155" s="20" t="str">
        <f>TEXT(IF('Real Structures'!A161&lt;&gt;0,'Real Structures'!A161, ""), "d-mmm-yyyy")</f>
        <v/>
      </c>
      <c r="B155" s="20" t="str">
        <f>IF(ISNUMBER('Real Structures'!B161),'Real Structures'!B161, "")</f>
        <v/>
      </c>
      <c r="C155" s="20" t="str">
        <f>IF(ISNUMBER('Real Structures'!C161),'Real Structures'!C161, "")</f>
        <v/>
      </c>
    </row>
    <row r="156" spans="1:3">
      <c r="A156" s="20" t="str">
        <f>TEXT(IF('Real Structures'!A162&lt;&gt;0,'Real Structures'!A162, ""), "d-mmm-yyyy")</f>
        <v/>
      </c>
      <c r="B156" s="20" t="str">
        <f>IF(ISNUMBER('Real Structures'!B162),'Real Structures'!B162, "")</f>
        <v/>
      </c>
      <c r="C156" s="20" t="str">
        <f>IF(ISNUMBER('Real Structures'!C162),'Real Structures'!C162, "")</f>
        <v/>
      </c>
    </row>
    <row r="157" spans="1:3">
      <c r="A157" s="20" t="str">
        <f>TEXT(IF('Real Structures'!A163&lt;&gt;0,'Real Structures'!A163, ""), "d-mmm-yyyy")</f>
        <v/>
      </c>
      <c r="B157" s="20" t="str">
        <f>IF(ISNUMBER('Real Structures'!B163),'Real Structures'!B163, "")</f>
        <v/>
      </c>
      <c r="C157" s="20" t="str">
        <f>IF(ISNUMBER('Real Structures'!C163),'Real Structures'!C163, "")</f>
        <v/>
      </c>
    </row>
    <row r="158" spans="1:3">
      <c r="A158" s="20" t="str">
        <f>TEXT(IF('Real Structures'!A164&lt;&gt;0,'Real Structures'!A164, ""), "d-mmm-yyyy")</f>
        <v/>
      </c>
      <c r="B158" s="20" t="str">
        <f>IF(ISNUMBER('Real Structures'!B164),'Real Structures'!B164, "")</f>
        <v/>
      </c>
      <c r="C158" s="20" t="str">
        <f>IF(ISNUMBER('Real Structures'!C164),'Real Structures'!C164, "")</f>
        <v/>
      </c>
    </row>
    <row r="159" spans="1:3">
      <c r="A159" s="20" t="str">
        <f>TEXT(IF('Real Structures'!A165&lt;&gt;0,'Real Structures'!A165, ""), "d-mmm-yyyy")</f>
        <v/>
      </c>
      <c r="B159" s="20" t="str">
        <f>IF(ISNUMBER('Real Structures'!B165),'Real Structures'!B165, "")</f>
        <v/>
      </c>
      <c r="C159" s="20" t="str">
        <f>IF(ISNUMBER('Real Structures'!C165),'Real Structures'!C165, "")</f>
        <v/>
      </c>
    </row>
    <row r="160" spans="1:3">
      <c r="A160" s="20" t="str">
        <f>TEXT(IF('Real Structures'!A166&lt;&gt;0,'Real Structures'!A166, ""), "d-mmm-yyyy")</f>
        <v/>
      </c>
      <c r="B160" s="20" t="str">
        <f>IF(ISNUMBER('Real Structures'!B166),'Real Structures'!B166, "")</f>
        <v/>
      </c>
      <c r="C160" s="20" t="str">
        <f>IF(ISNUMBER('Real Structures'!C166),'Real Structures'!C166, "")</f>
        <v/>
      </c>
    </row>
    <row r="161" spans="1:3">
      <c r="A161" s="20" t="str">
        <f>TEXT(IF('Real Structures'!A167&lt;&gt;0,'Real Structures'!A167, ""), "d-mmm-yyyy")</f>
        <v/>
      </c>
      <c r="B161" s="20" t="str">
        <f>IF(ISNUMBER('Real Structures'!B167),'Real Structures'!B167, "")</f>
        <v/>
      </c>
      <c r="C161" s="20" t="str">
        <f>IF(ISNUMBER('Real Structures'!C167),'Real Structures'!C167, "")</f>
        <v/>
      </c>
    </row>
    <row r="162" spans="1:3">
      <c r="A162" s="20" t="str">
        <f>TEXT(IF('Real Structures'!A168&lt;&gt;0,'Real Structures'!A168, ""), "d-mmm-yyyy")</f>
        <v/>
      </c>
      <c r="B162" s="20" t="str">
        <f>IF(ISNUMBER('Real Structures'!B168),'Real Structures'!B168, "")</f>
        <v/>
      </c>
      <c r="C162" s="20" t="str">
        <f>IF(ISNUMBER('Real Structures'!C168),'Real Structures'!C168, "")</f>
        <v/>
      </c>
    </row>
    <row r="163" spans="1:3">
      <c r="A163" s="20" t="str">
        <f>TEXT(IF('Real Structures'!A169&lt;&gt;0,'Real Structures'!A169, ""), "d-mmm-yyyy")</f>
        <v/>
      </c>
      <c r="B163" s="20" t="str">
        <f>IF(ISNUMBER('Real Structures'!B169),'Real Structures'!B169, "")</f>
        <v/>
      </c>
      <c r="C163" s="20" t="str">
        <f>IF(ISNUMBER('Real Structures'!C169),'Real Structures'!C169, "")</f>
        <v/>
      </c>
    </row>
    <row r="164" spans="1:3">
      <c r="A164" s="20" t="str">
        <f>TEXT(IF('Real Structures'!A170&lt;&gt;0,'Real Structures'!A170, ""), "d-mmm-yyyy")</f>
        <v/>
      </c>
      <c r="B164" s="20" t="str">
        <f>IF(ISNUMBER('Real Structures'!B170),'Real Structures'!B170, "")</f>
        <v/>
      </c>
      <c r="C164" s="20" t="str">
        <f>IF(ISNUMBER('Real Structures'!C170),'Real Structures'!C170, "")</f>
        <v/>
      </c>
    </row>
    <row r="165" spans="1:3">
      <c r="A165" s="20" t="str">
        <f>TEXT(IF('Real Structures'!A171&lt;&gt;0,'Real Structures'!A171, ""), "d-mmm-yyyy")</f>
        <v/>
      </c>
      <c r="B165" s="20" t="str">
        <f>IF(ISNUMBER('Real Structures'!B171),'Real Structures'!B171, "")</f>
        <v/>
      </c>
      <c r="C165" s="20" t="str">
        <f>IF(ISNUMBER('Real Structures'!C171),'Real Structures'!C171, "")</f>
        <v/>
      </c>
    </row>
    <row r="166" spans="1:3">
      <c r="A166" s="20" t="str">
        <f>TEXT(IF('Real Structures'!A172&lt;&gt;0,'Real Structures'!A172, ""), "d-mmm-yyyy")</f>
        <v/>
      </c>
      <c r="B166" s="20" t="str">
        <f>IF(ISNUMBER('Real Structures'!B172),'Real Structures'!B172, "")</f>
        <v/>
      </c>
      <c r="C166" s="20" t="str">
        <f>IF(ISNUMBER('Real Structures'!C172),'Real Structures'!C172, "")</f>
        <v/>
      </c>
    </row>
    <row r="167" spans="1:3">
      <c r="A167" s="20" t="str">
        <f>TEXT(IF('Real Structures'!A173&lt;&gt;0,'Real Structures'!A173, ""), "d-mmm-yyyy")</f>
        <v/>
      </c>
      <c r="B167" s="20" t="str">
        <f>IF(ISNUMBER('Real Structures'!B173),'Real Structures'!B173, "")</f>
        <v/>
      </c>
      <c r="C167" s="20" t="str">
        <f>IF(ISNUMBER('Real Structures'!C173),'Real Structures'!C173, "")</f>
        <v/>
      </c>
    </row>
    <row r="168" spans="1:3">
      <c r="A168" s="20" t="str">
        <f>TEXT(IF('Real Structures'!A174&lt;&gt;0,'Real Structures'!A174, ""), "d-mmm-yyyy")</f>
        <v/>
      </c>
      <c r="B168" s="20" t="str">
        <f>IF(ISNUMBER('Real Structures'!B174),'Real Structures'!B174, "")</f>
        <v/>
      </c>
      <c r="C168" s="20" t="str">
        <f>IF(ISNUMBER('Real Structures'!C174),'Real Structures'!C174, "")</f>
        <v/>
      </c>
    </row>
    <row r="169" spans="1:3">
      <c r="A169" s="20" t="str">
        <f>TEXT(IF('Real Structures'!A175&lt;&gt;0,'Real Structures'!A175, ""), "d-mmm-yyyy")</f>
        <v/>
      </c>
      <c r="B169" s="20" t="str">
        <f>IF(ISNUMBER('Real Structures'!B175),'Real Structures'!B175, "")</f>
        <v/>
      </c>
      <c r="C169" s="20" t="str">
        <f>IF(ISNUMBER('Real Structures'!C175),'Real Structures'!C175, "")</f>
        <v/>
      </c>
    </row>
    <row r="170" spans="1:3">
      <c r="A170" s="20" t="str">
        <f>TEXT(IF('Real Structures'!A176&lt;&gt;0,'Real Structures'!A176, ""), "d-mmm-yyyy")</f>
        <v/>
      </c>
      <c r="B170" s="20" t="str">
        <f>IF(ISNUMBER('Real Structures'!B176),'Real Structures'!B176, "")</f>
        <v/>
      </c>
      <c r="C170" s="20" t="str">
        <f>IF(ISNUMBER('Real Structures'!C176),'Real Structures'!C176, "")</f>
        <v/>
      </c>
    </row>
    <row r="171" spans="1:3">
      <c r="A171" s="20" t="str">
        <f>TEXT(IF('Real Structures'!A177&lt;&gt;0,'Real Structures'!A177, ""), "d-mmm-yyyy")</f>
        <v/>
      </c>
      <c r="B171" s="20" t="str">
        <f>IF(ISNUMBER('Real Structures'!B177),'Real Structures'!B177, "")</f>
        <v/>
      </c>
      <c r="C171" s="20" t="str">
        <f>IF(ISNUMBER('Real Structures'!C177),'Real Structures'!C177, "")</f>
        <v/>
      </c>
    </row>
    <row r="172" spans="1:3">
      <c r="A172" s="20" t="str">
        <f>TEXT(IF('Real Structures'!A178&lt;&gt;0,'Real Structures'!A178, ""), "d-mmm-yyyy")</f>
        <v/>
      </c>
      <c r="B172" s="20" t="str">
        <f>IF(ISNUMBER('Real Structures'!B178),'Real Structures'!B178, "")</f>
        <v/>
      </c>
      <c r="C172" s="20" t="str">
        <f>IF(ISNUMBER('Real Structures'!C178),'Real Structures'!C178, "")</f>
        <v/>
      </c>
    </row>
    <row r="173" spans="1:3">
      <c r="A173" s="20" t="str">
        <f>TEXT(IF('Real Structures'!A179&lt;&gt;0,'Real Structures'!A179, ""), "d-mmm-yyyy")</f>
        <v/>
      </c>
      <c r="B173" s="20" t="str">
        <f>IF(ISNUMBER('Real Structures'!B179),'Real Structures'!B179, "")</f>
        <v/>
      </c>
      <c r="C173" s="20" t="str">
        <f>IF(ISNUMBER('Real Structures'!C179),'Real Structures'!C179, "")</f>
        <v/>
      </c>
    </row>
    <row r="174" spans="1:3">
      <c r="A174" s="20" t="str">
        <f>TEXT(IF('Real Structures'!A180&lt;&gt;0,'Real Structures'!A180, ""), "d-mmm-yyyy")</f>
        <v/>
      </c>
      <c r="B174" s="20" t="str">
        <f>IF(ISNUMBER('Real Structures'!B180),'Real Structures'!B180, "")</f>
        <v/>
      </c>
      <c r="C174" s="20" t="str">
        <f>IF(ISNUMBER('Real Structures'!C180),'Real Structures'!C180, "")</f>
        <v/>
      </c>
    </row>
    <row r="175" spans="1:3">
      <c r="A175" s="20" t="str">
        <f>TEXT(IF('Real Structures'!A181&lt;&gt;0,'Real Structures'!A181, ""), "d-mmm-yyyy")</f>
        <v/>
      </c>
      <c r="B175" s="20" t="str">
        <f>IF(ISNUMBER('Real Structures'!B181),'Real Structures'!B181, "")</f>
        <v/>
      </c>
      <c r="C175" s="20" t="str">
        <f>IF(ISNUMBER('Real Structures'!C181),'Real Structures'!C181, "")</f>
        <v/>
      </c>
    </row>
    <row r="176" spans="1:3">
      <c r="A176" s="20" t="str">
        <f>TEXT(IF('Real Structures'!A182&lt;&gt;0,'Real Structures'!A182, ""), "d-mmm-yyyy")</f>
        <v/>
      </c>
      <c r="B176" s="20" t="str">
        <f>IF(ISNUMBER('Real Structures'!B182),'Real Structures'!B182, "")</f>
        <v/>
      </c>
      <c r="C176" s="20" t="str">
        <f>IF(ISNUMBER('Real Structures'!C182),'Real Structures'!C182, "")</f>
        <v/>
      </c>
    </row>
    <row r="177" spans="1:3">
      <c r="A177" s="20" t="str">
        <f>TEXT(IF('Real Structures'!A183&lt;&gt;0,'Real Structures'!A183, ""), "d-mmm-yyyy")</f>
        <v/>
      </c>
      <c r="B177" s="20" t="str">
        <f>IF(ISNUMBER('Real Structures'!B183),'Real Structures'!B183, "")</f>
        <v/>
      </c>
      <c r="C177" s="20" t="str">
        <f>IF(ISNUMBER('Real Structures'!C183),'Real Structures'!C183, "")</f>
        <v/>
      </c>
    </row>
    <row r="178" spans="1:3">
      <c r="A178" s="20" t="str">
        <f>TEXT(IF('Real Structures'!A184&lt;&gt;0,'Real Structures'!A184, ""), "d-mmm-yyyy")</f>
        <v/>
      </c>
      <c r="B178" s="20" t="str">
        <f>IF(ISNUMBER('Real Structures'!B184),'Real Structures'!B184, "")</f>
        <v/>
      </c>
      <c r="C178" s="20" t="str">
        <f>IF(ISNUMBER('Real Structures'!C184),'Real Structures'!C184, "")</f>
        <v/>
      </c>
    </row>
    <row r="179" spans="1:3">
      <c r="A179" s="20" t="str">
        <f>TEXT(IF('Real Structures'!A185&lt;&gt;0,'Real Structures'!A185, ""), "d-mmm-yyyy")</f>
        <v/>
      </c>
      <c r="B179" s="20" t="str">
        <f>IF(ISNUMBER('Real Structures'!B185),'Real Structures'!B185, "")</f>
        <v/>
      </c>
      <c r="C179" s="20" t="str">
        <f>IF(ISNUMBER('Real Structures'!C185),'Real Structures'!C185, "")</f>
        <v/>
      </c>
    </row>
    <row r="180" spans="1:3">
      <c r="A180" s="20" t="str">
        <f>TEXT(IF('Real Structures'!A186&lt;&gt;0,'Real Structures'!A186, ""), "d-mmm-yyyy")</f>
        <v/>
      </c>
      <c r="B180" s="20" t="str">
        <f>IF(ISNUMBER('Real Structures'!B186),'Real Structures'!B186, "")</f>
        <v/>
      </c>
      <c r="C180" s="20" t="str">
        <f>IF(ISNUMBER('Real Structures'!C186),'Real Structures'!C186, "")</f>
        <v/>
      </c>
    </row>
    <row r="181" spans="1:3">
      <c r="A181" s="20" t="str">
        <f>TEXT(IF('Real Structures'!A187&lt;&gt;0,'Real Structures'!A187, ""), "d-mmm-yyyy")</f>
        <v/>
      </c>
      <c r="B181" s="20" t="str">
        <f>IF(ISNUMBER('Real Structures'!B187),'Real Structures'!B187, "")</f>
        <v/>
      </c>
      <c r="C181" s="20" t="str">
        <f>IF(ISNUMBER('Real Structures'!C187),'Real Structures'!C187, "")</f>
        <v/>
      </c>
    </row>
    <row r="182" spans="1:3">
      <c r="A182" s="20" t="str">
        <f>TEXT(IF('Real Structures'!A188&lt;&gt;0,'Real Structures'!A188, ""), "d-mmm-yyyy")</f>
        <v/>
      </c>
      <c r="B182" s="20" t="str">
        <f>IF(ISNUMBER('Real Structures'!B188),'Real Structures'!B188, "")</f>
        <v/>
      </c>
      <c r="C182" s="20" t="str">
        <f>IF(ISNUMBER('Real Structures'!C188),'Real Structures'!C188, "")</f>
        <v/>
      </c>
    </row>
    <row r="183" spans="1:3">
      <c r="A183" s="20" t="str">
        <f>TEXT(IF('Real Structures'!A189&lt;&gt;0,'Real Structures'!A189, ""), "d-mmm-yyyy")</f>
        <v/>
      </c>
      <c r="B183" s="20" t="str">
        <f>IF(ISNUMBER('Real Structures'!B189),'Real Structures'!B189, "")</f>
        <v/>
      </c>
      <c r="C183" s="20" t="str">
        <f>IF(ISNUMBER('Real Structures'!C189),'Real Structures'!C189, "")</f>
        <v/>
      </c>
    </row>
    <row r="184" spans="1:3">
      <c r="A184" s="20" t="str">
        <f>TEXT(IF('Real Structures'!A190&lt;&gt;0,'Real Structures'!A190, ""), "d-mmm-yyyy")</f>
        <v/>
      </c>
      <c r="B184" s="20" t="str">
        <f>IF(ISNUMBER('Real Structures'!B190),'Real Structures'!B190, "")</f>
        <v/>
      </c>
      <c r="C184" s="20" t="str">
        <f>IF(ISNUMBER('Real Structures'!C190),'Real Structures'!C190, "")</f>
        <v/>
      </c>
    </row>
    <row r="185" spans="1:3">
      <c r="A185" s="20" t="str">
        <f>TEXT(IF('Real Structures'!A191&lt;&gt;0,'Real Structures'!A191, ""), "d-mmm-yyyy")</f>
        <v/>
      </c>
      <c r="B185" s="20" t="str">
        <f>IF(ISNUMBER('Real Structures'!B191),'Real Structures'!B191, "")</f>
        <v/>
      </c>
      <c r="C185" s="20" t="str">
        <f>IF(ISNUMBER('Real Structures'!C191),'Real Structures'!C191, "")</f>
        <v/>
      </c>
    </row>
    <row r="186" spans="1:3">
      <c r="A186" s="20" t="str">
        <f>TEXT(IF('Real Structures'!A192&lt;&gt;0,'Real Structures'!A192, ""), "d-mmm-yyyy")</f>
        <v/>
      </c>
      <c r="B186" s="20" t="str">
        <f>IF(ISNUMBER('Real Structures'!B192),'Real Structures'!B192, "")</f>
        <v/>
      </c>
      <c r="C186" s="20" t="str">
        <f>IF(ISNUMBER('Real Structures'!C192),'Real Structures'!C192, "")</f>
        <v/>
      </c>
    </row>
    <row r="187" spans="1:3">
      <c r="A187" s="20" t="str">
        <f>TEXT(IF('Real Structures'!A193&lt;&gt;0,'Real Structures'!A193, ""), "d-mmm-yyyy")</f>
        <v/>
      </c>
      <c r="B187" s="20" t="str">
        <f>IF(ISNUMBER('Real Structures'!B193),'Real Structures'!B193, "")</f>
        <v/>
      </c>
      <c r="C187" s="20" t="str">
        <f>IF(ISNUMBER('Real Structures'!C193),'Real Structures'!C193, "")</f>
        <v/>
      </c>
    </row>
    <row r="188" spans="1:3">
      <c r="A188" s="20" t="str">
        <f>TEXT(IF('Real Structures'!A194&lt;&gt;0,'Real Structures'!A194, ""), "d-mmm-yyyy")</f>
        <v/>
      </c>
      <c r="B188" s="20" t="str">
        <f>IF(ISNUMBER('Real Structures'!B194),'Real Structures'!B194, "")</f>
        <v/>
      </c>
      <c r="C188" s="20" t="str">
        <f>IF(ISNUMBER('Real Structures'!C194),'Real Structures'!C194, "")</f>
        <v/>
      </c>
    </row>
    <row r="189" spans="1:3">
      <c r="A189" s="20" t="str">
        <f>TEXT(IF('Real Structures'!A195&lt;&gt;0,'Real Structures'!A195, ""), "d-mmm-yyyy")</f>
        <v/>
      </c>
      <c r="B189" s="20" t="str">
        <f>IF(ISNUMBER('Real Structures'!B195),'Real Structures'!B195, "")</f>
        <v/>
      </c>
      <c r="C189" s="20" t="str">
        <f>IF(ISNUMBER('Real Structures'!C195),'Real Structures'!C195, "")</f>
        <v/>
      </c>
    </row>
    <row r="190" spans="1:3">
      <c r="A190" s="20" t="str">
        <f>TEXT(IF('Real Structures'!A196&lt;&gt;0,'Real Structures'!A196, ""), "d-mmm-yyyy")</f>
        <v/>
      </c>
      <c r="B190" s="20" t="str">
        <f>IF(ISNUMBER('Real Structures'!B196),'Real Structures'!B196, "")</f>
        <v/>
      </c>
      <c r="C190" s="20" t="str">
        <f>IF(ISNUMBER('Real Structures'!C196),'Real Structures'!C196, "")</f>
        <v/>
      </c>
    </row>
    <row r="191" spans="1:3">
      <c r="A191" s="20" t="str">
        <f>TEXT(IF('Real Structures'!A197&lt;&gt;0,'Real Structures'!A197, ""), "d-mmm-yyyy")</f>
        <v/>
      </c>
      <c r="B191" s="20" t="str">
        <f>IF(ISNUMBER('Real Structures'!B197),'Real Structures'!B197, "")</f>
        <v/>
      </c>
      <c r="C191" s="20" t="str">
        <f>IF(ISNUMBER('Real Structures'!C197),'Real Structures'!C197, "")</f>
        <v/>
      </c>
    </row>
    <row r="192" spans="1:3">
      <c r="A192" s="20" t="str">
        <f>TEXT(IF('Real Structures'!A198&lt;&gt;0,'Real Structures'!A198, ""), "d-mmm-yyyy")</f>
        <v/>
      </c>
      <c r="B192" s="20" t="str">
        <f>IF(ISNUMBER('Real Structures'!B198),'Real Structures'!B198, "")</f>
        <v/>
      </c>
      <c r="C192" s="20" t="str">
        <f>IF(ISNUMBER('Real Structures'!C198),'Real Structures'!C198, "")</f>
        <v/>
      </c>
    </row>
    <row r="193" spans="1:3">
      <c r="A193" s="20" t="str">
        <f>TEXT(IF('Real Structures'!A199&lt;&gt;0,'Real Structures'!A199, ""), "d-mmm-yyyy")</f>
        <v/>
      </c>
      <c r="B193" s="20" t="str">
        <f>IF(ISNUMBER('Real Structures'!B199),'Real Structures'!B199, "")</f>
        <v/>
      </c>
      <c r="C193" s="20" t="str">
        <f>IF(ISNUMBER('Real Structures'!C199),'Real Structures'!C199, "")</f>
        <v/>
      </c>
    </row>
    <row r="194" spans="1:3">
      <c r="A194" s="20" t="str">
        <f>TEXT(IF('Real Structures'!A200&lt;&gt;0,'Real Structures'!A200, ""), "d-mmm-yyyy")</f>
        <v/>
      </c>
      <c r="B194" s="20" t="str">
        <f>IF(ISNUMBER('Real Structures'!B200),'Real Structures'!B200, "")</f>
        <v/>
      </c>
      <c r="C194" s="20" t="str">
        <f>IF(ISNUMBER('Real Structures'!C200),'Real Structures'!C200, "")</f>
        <v/>
      </c>
    </row>
    <row r="195" spans="1:3">
      <c r="A195" s="20" t="str">
        <f>TEXT(IF('Real Structures'!A201&lt;&gt;0,'Real Structures'!A201, ""), "d-mmm-yyyy")</f>
        <v/>
      </c>
      <c r="B195" s="20" t="str">
        <f>IF(ISNUMBER('Real Structures'!B201),'Real Structures'!B201, "")</f>
        <v/>
      </c>
      <c r="C195" s="20" t="str">
        <f>IF(ISNUMBER('Real Structures'!C201),'Real Structures'!C201, "")</f>
        <v/>
      </c>
    </row>
    <row r="196" spans="1:3">
      <c r="A196" s="20" t="str">
        <f>TEXT(IF('Real Structures'!A202&lt;&gt;0,'Real Structures'!A202, ""), "d-mmm-yyyy")</f>
        <v/>
      </c>
      <c r="B196" s="20" t="str">
        <f>IF(ISNUMBER('Real Structures'!B202),'Real Structures'!B202, "")</f>
        <v/>
      </c>
      <c r="C196" s="20" t="str">
        <f>IF(ISNUMBER('Real Structures'!C202),'Real Structures'!C202, "")</f>
        <v/>
      </c>
    </row>
    <row r="197" spans="1:3">
      <c r="A197" s="20" t="str">
        <f>TEXT(IF('Real Structures'!A203&lt;&gt;0,'Real Structures'!A203, ""), "d-mmm-yyyy")</f>
        <v/>
      </c>
      <c r="B197" s="20" t="str">
        <f>IF(ISNUMBER('Real Structures'!B203),'Real Structures'!B203, "")</f>
        <v/>
      </c>
      <c r="C197" s="20" t="str">
        <f>IF(ISNUMBER('Real Structures'!C203),'Real Structures'!C203, "")</f>
        <v/>
      </c>
    </row>
    <row r="198" spans="1:3">
      <c r="A198" s="20" t="str">
        <f>TEXT(IF('Real Structures'!A204&lt;&gt;0,'Real Structures'!A204, ""), "d-mmm-yyyy")</f>
        <v/>
      </c>
      <c r="B198" s="20" t="str">
        <f>IF(ISNUMBER('Real Structures'!B204),'Real Structures'!B204, "")</f>
        <v/>
      </c>
      <c r="C198" s="20" t="str">
        <f>IF(ISNUMBER('Real Structures'!C204),'Real Structures'!C204, "")</f>
        <v/>
      </c>
    </row>
    <row r="199" spans="1:3">
      <c r="A199" s="20" t="str">
        <f>TEXT(IF('Real Structures'!A205&lt;&gt;0,'Real Structures'!A205, ""), "d-mmm-yyyy")</f>
        <v/>
      </c>
      <c r="B199" s="20" t="str">
        <f>IF(ISNUMBER('Real Structures'!B205),'Real Structures'!B205, "")</f>
        <v/>
      </c>
      <c r="C199" s="20" t="str">
        <f>IF(ISNUMBER('Real Structures'!C205),'Real Structures'!C205, "")</f>
        <v/>
      </c>
    </row>
    <row r="200" spans="1:3">
      <c r="A200" s="20" t="str">
        <f>TEXT(IF('Real Structures'!A206&lt;&gt;0,'Real Structures'!A206, ""), "d-mmm-yyyy")</f>
        <v/>
      </c>
      <c r="B200" s="20" t="str">
        <f>IF(ISNUMBER('Real Structures'!B206),'Real Structures'!B206, "")</f>
        <v/>
      </c>
      <c r="C200" s="20" t="str">
        <f>IF(ISNUMBER('Real Structures'!C206),'Real Structures'!C206, "")</f>
        <v/>
      </c>
    </row>
    <row r="201" spans="1:3">
      <c r="A201" s="20" t="str">
        <f>TEXT(IF('Real Structures'!A207&lt;&gt;0,'Real Structures'!A207, ""), "d-mmm-yyyy")</f>
        <v/>
      </c>
      <c r="B201" s="20" t="str">
        <f>IF(ISNUMBER('Real Structures'!B207),'Real Structures'!B207, "")</f>
        <v/>
      </c>
      <c r="C201" s="20" t="str">
        <f>IF(ISNUMBER('Real Structures'!C207),'Real Structures'!C207, "")</f>
        <v/>
      </c>
    </row>
    <row r="202" spans="1:3">
      <c r="A202" s="20" t="str">
        <f>TEXT(IF('Real Structures'!A208&lt;&gt;0,'Real Structures'!A208, ""), "d-mmm-yyyy")</f>
        <v/>
      </c>
      <c r="B202" s="20" t="str">
        <f>IF(ISNUMBER('Real Structures'!B208),'Real Structures'!B208, "")</f>
        <v/>
      </c>
      <c r="C202" s="20" t="str">
        <f>IF(ISNUMBER('Real Structures'!C208),'Real Structures'!C208, "")</f>
        <v/>
      </c>
    </row>
    <row r="203" spans="1:3">
      <c r="A203" s="20" t="str">
        <f>TEXT(IF('Real Structures'!A209&lt;&gt;0,'Real Structures'!A209, ""), "d-mmm-yyyy")</f>
        <v/>
      </c>
      <c r="B203" s="20" t="str">
        <f>IF(ISNUMBER('Real Structures'!B209),'Real Structures'!B209, "")</f>
        <v/>
      </c>
      <c r="C203" s="20" t="str">
        <f>IF(ISNUMBER('Real Structures'!C209),'Real Structures'!C209, "")</f>
        <v/>
      </c>
    </row>
    <row r="204" spans="1:3">
      <c r="A204" s="20" t="str">
        <f>TEXT(IF('Real Structures'!A210&lt;&gt;0,'Real Structures'!A210, ""), "d-mmm-yyyy")</f>
        <v/>
      </c>
      <c r="B204" s="20" t="str">
        <f>IF(ISNUMBER('Real Structures'!B210),'Real Structures'!B210, "")</f>
        <v/>
      </c>
      <c r="C204" s="20" t="str">
        <f>IF(ISNUMBER('Real Structures'!C210),'Real Structures'!C210, "")</f>
        <v/>
      </c>
    </row>
    <row r="205" spans="1:3">
      <c r="A205" s="20" t="str">
        <f>TEXT(IF('Real Structures'!A211&lt;&gt;0,'Real Structures'!A211, ""), "d-mmm-yyyy")</f>
        <v/>
      </c>
      <c r="B205" s="20" t="str">
        <f>IF(ISNUMBER('Real Structures'!B211),'Real Structures'!B211, "")</f>
        <v/>
      </c>
      <c r="C205" s="20" t="str">
        <f>IF(ISNUMBER('Real Structures'!C211),'Real Structures'!C211, "")</f>
        <v/>
      </c>
    </row>
    <row r="206" spans="1:3">
      <c r="A206" s="20" t="str">
        <f>TEXT(IF('Real Structures'!A212&lt;&gt;0,'Real Structures'!A212, ""), "d-mmm-yyyy")</f>
        <v/>
      </c>
      <c r="B206" s="20" t="str">
        <f>IF(ISNUMBER('Real Structures'!B212),'Real Structures'!B212, "")</f>
        <v/>
      </c>
      <c r="C206" s="20" t="str">
        <f>IF(ISNUMBER('Real Structures'!C212),'Real Structures'!C212, "")</f>
        <v/>
      </c>
    </row>
    <row r="207" spans="1:3">
      <c r="A207" s="20" t="str">
        <f>TEXT(IF('Real Structures'!A213&lt;&gt;0,'Real Structures'!A213, ""), "d-mmm-yyyy")</f>
        <v/>
      </c>
      <c r="B207" s="20" t="str">
        <f>IF(ISNUMBER('Real Structures'!B213),'Real Structures'!B213, "")</f>
        <v/>
      </c>
      <c r="C207" s="20" t="str">
        <f>IF(ISNUMBER('Real Structures'!C213),'Real Structures'!C213, "")</f>
        <v/>
      </c>
    </row>
    <row r="208" spans="1:3">
      <c r="A208" s="20" t="str">
        <f>TEXT(IF('Real Structures'!A214&lt;&gt;0,'Real Structures'!A214, ""), "d-mmm-yyyy")</f>
        <v/>
      </c>
      <c r="B208" s="20" t="str">
        <f>IF(ISNUMBER('Real Structures'!B214),'Real Structures'!B214, "")</f>
        <v/>
      </c>
      <c r="C208" s="20" t="str">
        <f>IF(ISNUMBER('Real Structures'!C214),'Real Structures'!C214, "")</f>
        <v/>
      </c>
    </row>
    <row r="209" spans="1:3">
      <c r="A209" s="20" t="str">
        <f>TEXT(IF('Real Structures'!A215&lt;&gt;0,'Real Structures'!A215, ""), "d-mmm-yyyy")</f>
        <v/>
      </c>
      <c r="B209" s="20" t="str">
        <f>IF(ISNUMBER('Real Structures'!B215),'Real Structures'!B215, "")</f>
        <v/>
      </c>
      <c r="C209" s="20" t="str">
        <f>IF(ISNUMBER('Real Structures'!C215),'Real Structures'!C215, "")</f>
        <v/>
      </c>
    </row>
    <row r="210" spans="1:3">
      <c r="A210" s="20" t="str">
        <f>TEXT(IF('Real Structures'!A216&lt;&gt;0,'Real Structures'!A216, ""), "d-mmm-yyyy")</f>
        <v/>
      </c>
      <c r="B210" s="20" t="str">
        <f>IF(ISNUMBER('Real Structures'!B216),'Real Structures'!B216, "")</f>
        <v/>
      </c>
      <c r="C210" s="20" t="str">
        <f>IF(ISNUMBER('Real Structures'!C216),'Real Structures'!C216, "")</f>
        <v/>
      </c>
    </row>
    <row r="211" spans="1:3">
      <c r="A211" s="20" t="str">
        <f>TEXT(IF('Real Structures'!A217&lt;&gt;0,'Real Structures'!A217, ""), "d-mmm-yyyy")</f>
        <v/>
      </c>
      <c r="B211" s="20" t="str">
        <f>IF(ISNUMBER('Real Structures'!B217),'Real Structures'!B217, "")</f>
        <v/>
      </c>
      <c r="C211" s="20" t="str">
        <f>IF(ISNUMBER('Real Structures'!C217),'Real Structures'!C217, "")</f>
        <v/>
      </c>
    </row>
    <row r="212" spans="1:3">
      <c r="A212" s="20" t="str">
        <f>TEXT(IF('Real Structures'!A218&lt;&gt;0,'Real Structures'!A218, ""), "d-mmm-yyyy")</f>
        <v/>
      </c>
      <c r="B212" s="20" t="str">
        <f>IF(ISNUMBER('Real Structures'!B218),'Real Structures'!B218, "")</f>
        <v/>
      </c>
      <c r="C212" s="20" t="str">
        <f>IF(ISNUMBER('Real Structures'!C218),'Real Structures'!C218, "")</f>
        <v/>
      </c>
    </row>
    <row r="213" spans="1:3">
      <c r="A213" s="20" t="str">
        <f>TEXT(IF('Real Structures'!A219&lt;&gt;0,'Real Structures'!A219, ""), "d-mmm-yyyy")</f>
        <v/>
      </c>
      <c r="B213" s="20" t="str">
        <f>IF(ISNUMBER('Real Structures'!B219),'Real Structures'!B219, "")</f>
        <v/>
      </c>
      <c r="C213" s="20" t="str">
        <f>IF(ISNUMBER('Real Structures'!C219),'Real Structures'!C219, "")</f>
        <v/>
      </c>
    </row>
    <row r="214" spans="1:3">
      <c r="A214" s="20" t="str">
        <f>TEXT(IF('Real Structures'!A220&lt;&gt;0,'Real Structures'!A220, ""), "d-mmm-yyyy")</f>
        <v/>
      </c>
      <c r="B214" s="20" t="str">
        <f>IF(ISNUMBER('Real Structures'!B220),'Real Structures'!B220, "")</f>
        <v/>
      </c>
      <c r="C214" s="20" t="str">
        <f>IF(ISNUMBER('Real Structures'!C220),'Real Structures'!C220, "")</f>
        <v/>
      </c>
    </row>
    <row r="215" spans="1:3">
      <c r="A215" s="20" t="str">
        <f>TEXT(IF('Real Structures'!A221&lt;&gt;0,'Real Structures'!A221, ""), "d-mmm-yyyy")</f>
        <v/>
      </c>
      <c r="B215" s="20" t="str">
        <f>IF(ISNUMBER('Real Structures'!B221),'Real Structures'!B221, "")</f>
        <v/>
      </c>
      <c r="C215" s="20" t="str">
        <f>IF(ISNUMBER('Real Structures'!C221),'Real Structures'!C221, "")</f>
        <v/>
      </c>
    </row>
    <row r="216" spans="1:3">
      <c r="A216" s="20" t="str">
        <f>TEXT(IF('Real Structures'!A222&lt;&gt;0,'Real Structures'!A222, ""), "d-mmm-yyyy")</f>
        <v/>
      </c>
      <c r="B216" s="20" t="str">
        <f>IF(ISNUMBER('Real Structures'!B222),'Real Structures'!B222, "")</f>
        <v/>
      </c>
      <c r="C216" s="20" t="str">
        <f>IF(ISNUMBER('Real Structures'!C222),'Real Structures'!C222, "")</f>
        <v/>
      </c>
    </row>
    <row r="217" spans="1:3">
      <c r="A217" s="20" t="str">
        <f>TEXT(IF('Real Structures'!A223&lt;&gt;0,'Real Structures'!A223, ""), "d-mmm-yyyy")</f>
        <v/>
      </c>
      <c r="B217" s="20" t="str">
        <f>IF(ISNUMBER('Real Structures'!B223),'Real Structures'!B223, "")</f>
        <v/>
      </c>
      <c r="C217" s="20" t="str">
        <f>IF(ISNUMBER('Real Structures'!C223),'Real Structures'!C223, "")</f>
        <v/>
      </c>
    </row>
    <row r="218" spans="1:3">
      <c r="A218" s="20" t="str">
        <f>TEXT(IF('Real Structures'!A224&lt;&gt;0,'Real Structures'!A224, ""), "d-mmm-yyyy")</f>
        <v/>
      </c>
      <c r="B218" s="20" t="str">
        <f>IF(ISNUMBER('Real Structures'!B224),'Real Structures'!B224, "")</f>
        <v/>
      </c>
      <c r="C218" s="20" t="str">
        <f>IF(ISNUMBER('Real Structures'!C224),'Real Structures'!C224, "")</f>
        <v/>
      </c>
    </row>
    <row r="219" spans="1:3">
      <c r="A219" s="20" t="str">
        <f>TEXT(IF('Real Structures'!A225&lt;&gt;0,'Real Structures'!A225, ""), "d-mmm-yyyy")</f>
        <v/>
      </c>
      <c r="B219" s="20" t="str">
        <f>IF(ISNUMBER('Real Structures'!B225),'Real Structures'!B225, "")</f>
        <v/>
      </c>
      <c r="C219" s="20" t="str">
        <f>IF(ISNUMBER('Real Structures'!C225),'Real Structures'!C225, "")</f>
        <v/>
      </c>
    </row>
    <row r="220" spans="1:3">
      <c r="A220" s="20" t="str">
        <f>TEXT(IF('Real Structures'!A226&lt;&gt;0,'Real Structures'!A226, ""), "d-mmm-yyyy")</f>
        <v/>
      </c>
      <c r="B220" s="20" t="str">
        <f>IF(ISNUMBER('Real Structures'!B226),'Real Structures'!B226, "")</f>
        <v/>
      </c>
      <c r="C220" s="20" t="str">
        <f>IF(ISNUMBER('Real Structures'!C226),'Real Structures'!C226, "")</f>
        <v/>
      </c>
    </row>
    <row r="221" spans="1:3">
      <c r="A221" s="20" t="str">
        <f>TEXT(IF('Real Structures'!A227&lt;&gt;0,'Real Structures'!A227, ""), "d-mmm-yyyy")</f>
        <v/>
      </c>
      <c r="B221" s="20" t="str">
        <f>IF(ISNUMBER('Real Structures'!B227),'Real Structures'!B227, "")</f>
        <v/>
      </c>
      <c r="C221" s="20" t="str">
        <f>IF(ISNUMBER('Real Structures'!C227),'Real Structures'!C227, "")</f>
        <v/>
      </c>
    </row>
    <row r="222" spans="1:3">
      <c r="A222" s="20" t="str">
        <f>TEXT(IF('Real Structures'!A228&lt;&gt;0,'Real Structures'!A228, ""), "d-mmm-yyyy")</f>
        <v/>
      </c>
      <c r="B222" s="20" t="str">
        <f>IF(ISNUMBER('Real Structures'!B228),'Real Structures'!B228, "")</f>
        <v/>
      </c>
      <c r="C222" s="20" t="str">
        <f>IF(ISNUMBER('Real Structures'!C228),'Real Structures'!C228, "")</f>
        <v/>
      </c>
    </row>
    <row r="223" spans="1:3">
      <c r="A223" s="20" t="str">
        <f>TEXT(IF('Real Structures'!A229&lt;&gt;0,'Real Structures'!A229, ""), "d-mmm-yyyy")</f>
        <v/>
      </c>
      <c r="B223" s="20" t="str">
        <f>IF(ISNUMBER('Real Structures'!B229),'Real Structures'!B229, "")</f>
        <v/>
      </c>
      <c r="C223" s="20" t="str">
        <f>IF(ISNUMBER('Real Structures'!C229),'Real Structures'!C229, "")</f>
        <v/>
      </c>
    </row>
    <row r="224" spans="1:3">
      <c r="A224" s="20" t="str">
        <f>TEXT(IF('Real Structures'!A230&lt;&gt;0,'Real Structures'!A230, ""), "d-mmm-yyyy")</f>
        <v/>
      </c>
      <c r="B224" s="20" t="str">
        <f>IF(ISNUMBER('Real Structures'!B230),'Real Structures'!B230, "")</f>
        <v/>
      </c>
      <c r="C224" s="20" t="str">
        <f>IF(ISNUMBER('Real Structures'!C230),'Real Structures'!C230, "")</f>
        <v/>
      </c>
    </row>
    <row r="225" spans="1:3">
      <c r="A225" s="20" t="str">
        <f>TEXT(IF('Real Structures'!A231&lt;&gt;0,'Real Structures'!A231, ""), "d-mmm-yyyy")</f>
        <v/>
      </c>
      <c r="B225" s="20" t="str">
        <f>IF(ISNUMBER('Real Structures'!B231),'Real Structures'!B231, "")</f>
        <v/>
      </c>
      <c r="C225" s="20" t="str">
        <f>IF(ISNUMBER('Real Structures'!C231),'Real Structures'!C231, "")</f>
        <v/>
      </c>
    </row>
    <row r="226" spans="1:3">
      <c r="A226" s="20" t="str">
        <f>TEXT(IF('Real Structures'!A232&lt;&gt;0,'Real Structures'!A232, ""), "d-mmm-yyyy")</f>
        <v/>
      </c>
      <c r="B226" s="20" t="str">
        <f>IF(ISNUMBER('Real Structures'!B232),'Real Structures'!B232, "")</f>
        <v/>
      </c>
      <c r="C226" s="20" t="str">
        <f>IF(ISNUMBER('Real Structures'!C232),'Real Structures'!C232, "")</f>
        <v/>
      </c>
    </row>
    <row r="227" spans="1:3">
      <c r="A227" s="20" t="str">
        <f>TEXT(IF('Real Structures'!A233&lt;&gt;0,'Real Structures'!A233, ""), "d-mmm-yyyy")</f>
        <v/>
      </c>
      <c r="B227" s="20" t="str">
        <f>IF(ISNUMBER('Real Structures'!B233),'Real Structures'!B233, "")</f>
        <v/>
      </c>
      <c r="C227" s="20" t="str">
        <f>IF(ISNUMBER('Real Structures'!C233),'Real Structures'!C233, "")</f>
        <v/>
      </c>
    </row>
    <row r="228" spans="1:3">
      <c r="A228" s="20" t="str">
        <f>TEXT(IF('Real Structures'!A234&lt;&gt;0,'Real Structures'!A234, ""), "d-mmm-yyyy")</f>
        <v/>
      </c>
      <c r="B228" s="20" t="str">
        <f>IF(ISNUMBER('Real Structures'!B234),'Real Structures'!B234, "")</f>
        <v/>
      </c>
      <c r="C228" s="20" t="str">
        <f>IF(ISNUMBER('Real Structures'!C234),'Real Structures'!C234, "")</f>
        <v/>
      </c>
    </row>
    <row r="229" spans="1:3">
      <c r="A229" s="20" t="str">
        <f>TEXT(IF('Real Structures'!A235&lt;&gt;0,'Real Structures'!A235, ""), "d-mmm-yyyy")</f>
        <v/>
      </c>
      <c r="B229" s="20" t="str">
        <f>IF(ISNUMBER('Real Structures'!B235),'Real Structures'!B235, "")</f>
        <v/>
      </c>
      <c r="C229" s="20" t="str">
        <f>IF(ISNUMBER('Real Structures'!C235),'Real Structures'!C235, "")</f>
        <v/>
      </c>
    </row>
    <row r="230" spans="1:3">
      <c r="A230" s="20" t="str">
        <f>TEXT(IF('Real Structures'!A236&lt;&gt;0,'Real Structures'!A236, ""), "d-mmm-yyyy")</f>
        <v/>
      </c>
      <c r="B230" s="20" t="str">
        <f>IF(ISNUMBER('Real Structures'!B236),'Real Structures'!B236, "")</f>
        <v/>
      </c>
      <c r="C230" s="20" t="str">
        <f>IF(ISNUMBER('Real Structures'!C236),'Real Structures'!C236, "")</f>
        <v/>
      </c>
    </row>
    <row r="231" spans="1:3">
      <c r="A231" s="20" t="str">
        <f>TEXT(IF('Real Structures'!A237&lt;&gt;0,'Real Structures'!A237, ""), "d-mmm-yyyy")</f>
        <v/>
      </c>
      <c r="B231" s="20" t="str">
        <f>IF(ISNUMBER('Real Structures'!B237),'Real Structures'!B237, "")</f>
        <v/>
      </c>
      <c r="C231" s="20" t="str">
        <f>IF(ISNUMBER('Real Structures'!C237),'Real Structures'!C237, "")</f>
        <v/>
      </c>
    </row>
    <row r="232" spans="1:3">
      <c r="A232" s="20" t="str">
        <f>TEXT(IF('Real Structures'!A238&lt;&gt;0,'Real Structures'!A238, ""), "d-mmm-yyyy")</f>
        <v/>
      </c>
      <c r="B232" s="20" t="str">
        <f>IF(ISNUMBER('Real Structures'!B238),'Real Structures'!B238, "")</f>
        <v/>
      </c>
      <c r="C232" s="20" t="str">
        <f>IF(ISNUMBER('Real Structures'!C238),'Real Structures'!C238, "")</f>
        <v/>
      </c>
    </row>
    <row r="233" spans="1:3">
      <c r="A233" s="20" t="str">
        <f>TEXT(IF('Real Structures'!A239&lt;&gt;0,'Real Structures'!A239, ""), "d-mmm-yyyy")</f>
        <v/>
      </c>
      <c r="B233" s="20" t="str">
        <f>IF(ISNUMBER('Real Structures'!B239),'Real Structures'!B239, "")</f>
        <v/>
      </c>
      <c r="C233" s="20" t="str">
        <f>IF(ISNUMBER('Real Structures'!C239),'Real Structures'!C239, "")</f>
        <v/>
      </c>
    </row>
    <row r="234" spans="1:3">
      <c r="A234" s="20" t="str">
        <f>TEXT(IF('Real Structures'!A240&lt;&gt;0,'Real Structures'!A240, ""), "d-mmm-yyyy")</f>
        <v/>
      </c>
      <c r="B234" s="20" t="str">
        <f>IF(ISNUMBER('Real Structures'!B240),'Real Structures'!B240, "")</f>
        <v/>
      </c>
      <c r="C234" s="20" t="str">
        <f>IF(ISNUMBER('Real Structures'!C240),'Real Structures'!C240, "")</f>
        <v/>
      </c>
    </row>
    <row r="235" spans="1:3">
      <c r="A235" s="20" t="str">
        <f>TEXT(IF('Real Structures'!A241&lt;&gt;0,'Real Structures'!A241, ""), "d-mmm-yyyy")</f>
        <v/>
      </c>
      <c r="B235" s="20" t="str">
        <f>IF(ISNUMBER('Real Structures'!B241),'Real Structures'!B241, "")</f>
        <v/>
      </c>
      <c r="C235" s="20" t="str">
        <f>IF(ISNUMBER('Real Structures'!C241),'Real Structures'!C241, "")</f>
        <v/>
      </c>
    </row>
    <row r="236" spans="1:3">
      <c r="A236" s="20" t="str">
        <f>TEXT(IF('Real Structures'!A242&lt;&gt;0,'Real Structures'!A242, ""), "d-mmm-yyyy")</f>
        <v/>
      </c>
      <c r="B236" s="20" t="str">
        <f>IF(ISNUMBER('Real Structures'!B242),'Real Structures'!B242, "")</f>
        <v/>
      </c>
      <c r="C236" s="20" t="str">
        <f>IF(ISNUMBER('Real Structures'!C242),'Real Structures'!C242, "")</f>
        <v/>
      </c>
    </row>
    <row r="237" spans="1:3">
      <c r="A237" s="20" t="str">
        <f>TEXT(IF('Real Structures'!A243&lt;&gt;0,'Real Structures'!A243, ""), "d-mmm-yyyy")</f>
        <v/>
      </c>
      <c r="B237" s="20" t="str">
        <f>IF(ISNUMBER('Real Structures'!B243),'Real Structures'!B243, "")</f>
        <v/>
      </c>
      <c r="C237" s="20" t="str">
        <f>IF(ISNUMBER('Real Structures'!C243),'Real Structures'!C243, "")</f>
        <v/>
      </c>
    </row>
    <row r="238" spans="1:3">
      <c r="A238" s="20" t="str">
        <f>TEXT(IF('Real Structures'!A244&lt;&gt;0,'Real Structures'!A244, ""), "d-mmm-yyyy")</f>
        <v/>
      </c>
      <c r="B238" s="20" t="str">
        <f>IF(ISNUMBER('Real Structures'!B244),'Real Structures'!B244, "")</f>
        <v/>
      </c>
      <c r="C238" s="20" t="str">
        <f>IF(ISNUMBER('Real Structures'!C244),'Real Structures'!C244, "")</f>
        <v/>
      </c>
    </row>
    <row r="239" spans="1:3">
      <c r="A239" s="20" t="str">
        <f>TEXT(IF('Real Structures'!A245&lt;&gt;0,'Real Structures'!A245, ""), "d-mmm-yyyy")</f>
        <v/>
      </c>
      <c r="B239" s="20" t="str">
        <f>IF(ISNUMBER('Real Structures'!B245),'Real Structures'!B245, "")</f>
        <v/>
      </c>
      <c r="C239" s="20" t="str">
        <f>IF(ISNUMBER('Real Structures'!C245),'Real Structures'!C245, "")</f>
        <v/>
      </c>
    </row>
    <row r="240" spans="1:3">
      <c r="A240" s="20" t="str">
        <f>TEXT(IF('Real Structures'!A246&lt;&gt;0,'Real Structures'!A246, ""), "d-mmm-yyyy")</f>
        <v/>
      </c>
      <c r="B240" s="20" t="str">
        <f>IF(ISNUMBER('Real Structures'!B246),'Real Structures'!B246, "")</f>
        <v/>
      </c>
      <c r="C240" s="20" t="str">
        <f>IF(ISNUMBER('Real Structures'!C246),'Real Structures'!C246, "")</f>
        <v/>
      </c>
    </row>
    <row r="241" spans="1:3">
      <c r="A241" s="20" t="str">
        <f>TEXT(IF('Real Structures'!A247&lt;&gt;0,'Real Structures'!A247, ""), "d-mmm-yyyy")</f>
        <v/>
      </c>
      <c r="B241" s="20" t="str">
        <f>IF(ISNUMBER('Real Structures'!B247),'Real Structures'!B247, "")</f>
        <v/>
      </c>
      <c r="C241" s="20" t="str">
        <f>IF(ISNUMBER('Real Structures'!C247),'Real Structures'!C247, "")</f>
        <v/>
      </c>
    </row>
    <row r="242" spans="1:3">
      <c r="A242" s="20" t="str">
        <f>TEXT(IF('Real Structures'!A248&lt;&gt;0,'Real Structures'!A248, ""), "d-mmm-yyyy")</f>
        <v/>
      </c>
      <c r="B242" s="20" t="str">
        <f>IF(ISNUMBER('Real Structures'!B248),'Real Structures'!B248, "")</f>
        <v/>
      </c>
      <c r="C242" s="20" t="str">
        <f>IF(ISNUMBER('Real Structures'!C248),'Real Structures'!C248, "")</f>
        <v/>
      </c>
    </row>
    <row r="243" spans="1:3">
      <c r="A243" s="20" t="str">
        <f>TEXT(IF('Real Structures'!A249&lt;&gt;0,'Real Structures'!A249, ""), "d-mmm-yyyy")</f>
        <v/>
      </c>
      <c r="B243" s="20" t="str">
        <f>IF(ISNUMBER('Real Structures'!B249),'Real Structures'!B249, "")</f>
        <v/>
      </c>
      <c r="C243" s="20" t="str">
        <f>IF(ISNUMBER('Real Structures'!C249),'Real Structures'!C249, "")</f>
        <v/>
      </c>
    </row>
    <row r="244" spans="1:3">
      <c r="A244" s="20" t="str">
        <f>TEXT(IF('Real Structures'!A250&lt;&gt;0,'Real Structures'!A250, ""), "d-mmm-yyyy")</f>
        <v/>
      </c>
      <c r="B244" s="20" t="str">
        <f>IF(ISNUMBER('Real Structures'!B250),'Real Structures'!B250, "")</f>
        <v/>
      </c>
      <c r="C244" s="20" t="str">
        <f>IF(ISNUMBER('Real Structures'!C250),'Real Structures'!C250, "")</f>
        <v/>
      </c>
    </row>
    <row r="245" spans="1:3">
      <c r="A245" s="20" t="str">
        <f>TEXT(IF('Real Structures'!A251&lt;&gt;0,'Real Structures'!A251, ""), "d-mmm-yyyy")</f>
        <v/>
      </c>
      <c r="B245" s="20" t="str">
        <f>IF(ISNUMBER('Real Structures'!B251),'Real Structures'!B251, "")</f>
        <v/>
      </c>
      <c r="C245" s="20" t="str">
        <f>IF(ISNUMBER('Real Structures'!C251),'Real Structures'!C251, "")</f>
        <v/>
      </c>
    </row>
    <row r="246" spans="1:3">
      <c r="A246" s="20" t="str">
        <f>TEXT(IF('Real Structures'!A252&lt;&gt;0,'Real Structures'!A252, ""), "d-mmm-yyyy")</f>
        <v/>
      </c>
      <c r="B246" s="20" t="str">
        <f>IF(ISNUMBER('Real Structures'!B252),'Real Structures'!B252, "")</f>
        <v/>
      </c>
      <c r="C246" s="20" t="str">
        <f>IF(ISNUMBER('Real Structures'!C252),'Real Structures'!C252, "")</f>
        <v/>
      </c>
    </row>
    <row r="247" spans="1:3">
      <c r="A247" s="20" t="str">
        <f>TEXT(IF('Real Structures'!A253&lt;&gt;0,'Real Structures'!A253, ""), "d-mmm-yyyy")</f>
        <v/>
      </c>
      <c r="B247" s="20" t="str">
        <f>IF(ISNUMBER('Real Structures'!B253),'Real Structures'!B253, "")</f>
        <v/>
      </c>
      <c r="C247" s="20" t="str">
        <f>IF(ISNUMBER('Real Structures'!C253),'Real Structures'!C253, "")</f>
        <v/>
      </c>
    </row>
    <row r="248" spans="1:3">
      <c r="A248" s="20" t="str">
        <f>TEXT(IF('Real Structures'!A254&lt;&gt;0,'Real Structures'!A254, ""), "d-mmm-yyyy")</f>
        <v/>
      </c>
      <c r="B248" s="20" t="str">
        <f>IF(ISNUMBER('Real Structures'!B254),'Real Structures'!B254, "")</f>
        <v/>
      </c>
      <c r="C248" s="20" t="str">
        <f>IF(ISNUMBER('Real Structures'!C254),'Real Structures'!C254, "")</f>
        <v/>
      </c>
    </row>
    <row r="249" spans="1:3">
      <c r="A249" s="20" t="str">
        <f>TEXT(IF('Real Structures'!A255&lt;&gt;0,'Real Structures'!A255, ""), "d-mmm-yyyy")</f>
        <v/>
      </c>
      <c r="B249" s="20" t="str">
        <f>IF(ISNUMBER('Real Structures'!B255),'Real Structures'!B255, "")</f>
        <v/>
      </c>
      <c r="C249" s="20" t="str">
        <f>IF(ISNUMBER('Real Structures'!C255),'Real Structures'!C255, "")</f>
        <v/>
      </c>
    </row>
    <row r="250" spans="1:3">
      <c r="A250" s="20" t="str">
        <f>TEXT(IF('Real Structures'!A256&lt;&gt;0,'Real Structures'!A256, ""), "d-mmm-yyyy")</f>
        <v/>
      </c>
      <c r="B250" s="20" t="str">
        <f>IF(ISNUMBER('Real Structures'!B256),'Real Structures'!B256, "")</f>
        <v/>
      </c>
      <c r="C250" s="20" t="str">
        <f>IF(ISNUMBER('Real Structures'!C256),'Real Structures'!C256, "")</f>
        <v/>
      </c>
    </row>
    <row r="251" spans="1:3">
      <c r="A251" s="20" t="str">
        <f>TEXT(IF('Real Structures'!A257&lt;&gt;0,'Real Structures'!A257, ""), "d-mmm-yyyy")</f>
        <v/>
      </c>
      <c r="B251" s="20" t="str">
        <f>IF(ISNUMBER('Real Structures'!B257),'Real Structures'!B257, "")</f>
        <v/>
      </c>
      <c r="C251" s="20" t="str">
        <f>IF(ISNUMBER('Real Structures'!C257),'Real Structures'!C257, "")</f>
        <v/>
      </c>
    </row>
    <row r="252" spans="1:3">
      <c r="A252" s="20" t="str">
        <f>TEXT(IF('Real Structures'!A258&lt;&gt;0,'Real Structures'!A258, ""), "d-mmm-yyyy")</f>
        <v/>
      </c>
      <c r="B252" s="20" t="str">
        <f>IF(ISNUMBER('Real Structures'!B258),'Real Structures'!B258, "")</f>
        <v/>
      </c>
      <c r="C252" s="20" t="str">
        <f>IF(ISNUMBER('Real Structures'!C258),'Real Structures'!C258, "")</f>
        <v/>
      </c>
    </row>
    <row r="253" spans="1:3">
      <c r="A253" s="20" t="str">
        <f>TEXT(IF('Real Structures'!A259&lt;&gt;0,'Real Structures'!A259, ""), "d-mmm-yyyy")</f>
        <v/>
      </c>
      <c r="B253" s="20" t="str">
        <f>IF(ISNUMBER('Real Structures'!B259),'Real Structures'!B259, "")</f>
        <v/>
      </c>
      <c r="C253" s="20" t="str">
        <f>IF(ISNUMBER('Real Structures'!C259),'Real Structures'!C259, "")</f>
        <v/>
      </c>
    </row>
    <row r="254" spans="1:3">
      <c r="A254" s="20" t="str">
        <f>TEXT(IF('Real Structures'!A260&lt;&gt;0,'Real Structures'!A260, ""), "d-mmm-yyyy")</f>
        <v/>
      </c>
      <c r="B254" s="20" t="str">
        <f>IF(ISNUMBER('Real Structures'!B260),'Real Structures'!B260, "")</f>
        <v/>
      </c>
      <c r="C254" s="20" t="str">
        <f>IF(ISNUMBER('Real Structures'!C260),'Real Structures'!C260, "")</f>
        <v/>
      </c>
    </row>
    <row r="255" spans="1:3">
      <c r="A255" s="20" t="str">
        <f>TEXT(IF('Real Structures'!A261&lt;&gt;0,'Real Structures'!A261, ""), "d-mmm-yyyy")</f>
        <v/>
      </c>
      <c r="B255" s="20" t="str">
        <f>IF(ISNUMBER('Real Structures'!B261),'Real Structures'!B261, "")</f>
        <v/>
      </c>
      <c r="C255" s="20" t="str">
        <f>IF(ISNUMBER('Real Structures'!C261),'Real Structures'!C261, "")</f>
        <v/>
      </c>
    </row>
    <row r="256" spans="1:3">
      <c r="A256" s="20" t="str">
        <f>TEXT(IF('Real Structures'!A262&lt;&gt;0,'Real Structures'!A262, ""), "d-mmm-yyyy")</f>
        <v/>
      </c>
      <c r="B256" s="20" t="str">
        <f>IF(ISNUMBER('Real Structures'!B262),'Real Structures'!B262, "")</f>
        <v/>
      </c>
      <c r="C256" s="20" t="str">
        <f>IF(ISNUMBER('Real Structures'!C262),'Real Structures'!C262, "")</f>
        <v/>
      </c>
    </row>
    <row r="257" spans="1:3">
      <c r="A257" s="20" t="str">
        <f>TEXT(IF('Real Structures'!A263&lt;&gt;0,'Real Structures'!A263, ""), "d-mmm-yyyy")</f>
        <v/>
      </c>
      <c r="B257" s="20" t="str">
        <f>IF(ISNUMBER('Real Structures'!B263),'Real Structures'!B263, "")</f>
        <v/>
      </c>
      <c r="C257" s="20" t="str">
        <f>IF(ISNUMBER('Real Structures'!C263),'Real Structures'!C263, "")</f>
        <v/>
      </c>
    </row>
    <row r="258" spans="1:3">
      <c r="A258" s="20" t="str">
        <f>TEXT(IF('Real Structures'!A264&lt;&gt;0,'Real Structures'!A264, ""), "d-mmm-yyyy")</f>
        <v/>
      </c>
      <c r="B258" s="20" t="str">
        <f>IF(ISNUMBER('Real Structures'!B264),'Real Structures'!B264, "")</f>
        <v/>
      </c>
      <c r="C258" s="20" t="str">
        <f>IF(ISNUMBER('Real Structures'!C264),'Real Structures'!C264, "")</f>
        <v/>
      </c>
    </row>
    <row r="259" spans="1:3">
      <c r="A259" s="20" t="str">
        <f>TEXT(IF('Real Structures'!A265&lt;&gt;0,'Real Structures'!A265, ""), "d-mmm-yyyy")</f>
        <v/>
      </c>
      <c r="B259" s="20" t="str">
        <f>IF(ISNUMBER('Real Structures'!B265),'Real Structures'!B265, "")</f>
        <v/>
      </c>
      <c r="C259" s="20" t="str">
        <f>IF(ISNUMBER('Real Structures'!C265),'Real Structures'!C265, "")</f>
        <v/>
      </c>
    </row>
    <row r="260" spans="1:3">
      <c r="A260" s="20" t="str">
        <f>TEXT(IF('Real Structures'!A266&lt;&gt;0,'Real Structures'!A266, ""), "d-mmm-yyyy")</f>
        <v/>
      </c>
      <c r="B260" s="20" t="str">
        <f>IF(ISNUMBER('Real Structures'!B266),'Real Structures'!B266, "")</f>
        <v/>
      </c>
      <c r="C260" s="20" t="str">
        <f>IF(ISNUMBER('Real Structures'!C266),'Real Structures'!C266, "")</f>
        <v/>
      </c>
    </row>
    <row r="261" spans="1:3">
      <c r="A261" s="20" t="str">
        <f>TEXT(IF('Real Structures'!A267&lt;&gt;0,'Real Structures'!A267, ""), "d-mmm-yyyy")</f>
        <v/>
      </c>
      <c r="B261" s="20" t="str">
        <f>IF(ISNUMBER('Real Structures'!B267),'Real Structures'!B267, "")</f>
        <v/>
      </c>
      <c r="C261" s="20" t="str">
        <f>IF(ISNUMBER('Real Structures'!C267),'Real Structures'!C267, "")</f>
        <v/>
      </c>
    </row>
    <row r="262" spans="1:3">
      <c r="A262" s="20" t="str">
        <f>TEXT(IF('Real Structures'!A268&lt;&gt;0,'Real Structures'!A268, ""), "d-mmm-yyyy")</f>
        <v/>
      </c>
      <c r="B262" s="20" t="str">
        <f>IF(ISNUMBER('Real Structures'!B268),'Real Structures'!B268, "")</f>
        <v/>
      </c>
      <c r="C262" s="20" t="str">
        <f>IF(ISNUMBER('Real Structures'!C268),'Real Structures'!C268, "")</f>
        <v/>
      </c>
    </row>
    <row r="263" spans="1:3">
      <c r="A263" s="20" t="str">
        <f>TEXT(IF('Real Structures'!A269&lt;&gt;0,'Real Structures'!A269, ""), "d-mmm-yyyy")</f>
        <v/>
      </c>
      <c r="B263" s="20" t="str">
        <f>IF(ISNUMBER('Real Structures'!B269),'Real Structures'!B269, "")</f>
        <v/>
      </c>
      <c r="C263" s="20" t="str">
        <f>IF(ISNUMBER('Real Structures'!C269),'Real Structures'!C269, "")</f>
        <v/>
      </c>
    </row>
    <row r="264" spans="1:3">
      <c r="A264" s="20" t="str">
        <f>TEXT(IF('Real Structures'!A270&lt;&gt;0,'Real Structures'!A270, ""), "d-mmm-yyyy")</f>
        <v/>
      </c>
      <c r="B264" s="20" t="str">
        <f>IF(ISNUMBER('Real Structures'!B270),'Real Structures'!B270, "")</f>
        <v/>
      </c>
      <c r="C264" s="20" t="str">
        <f>IF(ISNUMBER('Real Structures'!C270),'Real Structures'!C270, "")</f>
        <v/>
      </c>
    </row>
    <row r="265" spans="1:3">
      <c r="A265" s="20" t="str">
        <f>TEXT(IF('Real Structures'!A271&lt;&gt;0,'Real Structures'!A271, ""), "d-mmm-yyyy")</f>
        <v/>
      </c>
      <c r="B265" s="20" t="str">
        <f>IF(ISNUMBER('Real Structures'!B271),'Real Structures'!B271, "")</f>
        <v/>
      </c>
      <c r="C265" s="20" t="str">
        <f>IF(ISNUMBER('Real Structures'!C271),'Real Structures'!C271, "")</f>
        <v/>
      </c>
    </row>
    <row r="266" spans="1:3">
      <c r="A266" s="20" t="str">
        <f>TEXT(IF('Real Structures'!A272&lt;&gt;0,'Real Structures'!A272, ""), "d-mmm-yyyy")</f>
        <v/>
      </c>
      <c r="B266" s="20" t="str">
        <f>IF(ISNUMBER('Real Structures'!B272),'Real Structures'!B272, "")</f>
        <v/>
      </c>
      <c r="C266" s="20" t="str">
        <f>IF(ISNUMBER('Real Structures'!C272),'Real Structures'!C272, "")</f>
        <v/>
      </c>
    </row>
    <row r="267" spans="1:3">
      <c r="A267" s="20" t="str">
        <f>TEXT(IF('Real Structures'!A273&lt;&gt;0,'Real Structures'!A273, ""), "d-mmm-yyyy")</f>
        <v/>
      </c>
      <c r="B267" s="20" t="str">
        <f>IF(ISNUMBER('Real Structures'!B273),'Real Structures'!B273, "")</f>
        <v/>
      </c>
      <c r="C267" s="20" t="str">
        <f>IF(ISNUMBER('Real Structures'!C273),'Real Structures'!C273, "")</f>
        <v/>
      </c>
    </row>
    <row r="268" spans="1:3">
      <c r="A268" s="20" t="str">
        <f>TEXT(IF('Real Structures'!A274&lt;&gt;0,'Real Structures'!A274, ""), "d-mmm-yyyy")</f>
        <v/>
      </c>
      <c r="B268" s="20" t="str">
        <f>IF(ISNUMBER('Real Structures'!B274),'Real Structures'!B274, "")</f>
        <v/>
      </c>
      <c r="C268" s="20" t="str">
        <f>IF(ISNUMBER('Real Structures'!C274),'Real Structures'!C274, "")</f>
        <v/>
      </c>
    </row>
    <row r="269" spans="1:3">
      <c r="A269" s="20" t="str">
        <f>TEXT(IF('Real Structures'!A275&lt;&gt;0,'Real Structures'!A275, ""), "d-mmm-yyyy")</f>
        <v/>
      </c>
      <c r="B269" s="20" t="str">
        <f>IF(ISNUMBER('Real Structures'!B275),'Real Structures'!B275, "")</f>
        <v/>
      </c>
      <c r="C269" s="20" t="str">
        <f>IF(ISNUMBER('Real Structures'!C275),'Real Structures'!C275, "")</f>
        <v/>
      </c>
    </row>
    <row r="270" spans="1:3">
      <c r="A270" s="20" t="str">
        <f>TEXT(IF('Real Structures'!A276&lt;&gt;0,'Real Structures'!A276, ""), "d-mmm-yyyy")</f>
        <v/>
      </c>
      <c r="B270" s="20" t="str">
        <f>IF(ISNUMBER('Real Structures'!B276),'Real Structures'!B276, "")</f>
        <v/>
      </c>
      <c r="C270" s="20" t="str">
        <f>IF(ISNUMBER('Real Structures'!C276),'Real Structures'!C276, "")</f>
        <v/>
      </c>
    </row>
    <row r="271" spans="1:3">
      <c r="A271" s="20" t="str">
        <f>TEXT(IF('Real Structures'!A277&lt;&gt;0,'Real Structures'!A277, ""), "d-mmm-yyyy")</f>
        <v/>
      </c>
      <c r="B271" s="20" t="str">
        <f>IF(ISNUMBER('Real Structures'!B277),'Real Structures'!B277, "")</f>
        <v/>
      </c>
      <c r="C271" s="20" t="str">
        <f>IF(ISNUMBER('Real Structures'!C277),'Real Structures'!C277, "")</f>
        <v/>
      </c>
    </row>
    <row r="272" spans="1:3">
      <c r="A272" s="20" t="str">
        <f>TEXT(IF('Real Structures'!A278&lt;&gt;0,'Real Structures'!A278, ""), "d-mmm-yyyy")</f>
        <v/>
      </c>
      <c r="B272" s="20" t="str">
        <f>IF(ISNUMBER('Real Structures'!B278),'Real Structures'!B278, "")</f>
        <v/>
      </c>
      <c r="C272" s="20" t="str">
        <f>IF(ISNUMBER('Real Structures'!C278),'Real Structures'!C278, "")</f>
        <v/>
      </c>
    </row>
    <row r="273" spans="1:3">
      <c r="A273" s="20" t="str">
        <f>TEXT(IF('Real Structures'!A279&lt;&gt;0,'Real Structures'!A279, ""), "d-mmm-yyyy")</f>
        <v/>
      </c>
      <c r="B273" s="20" t="str">
        <f>IF(ISNUMBER('Real Structures'!B279),'Real Structures'!B279, "")</f>
        <v/>
      </c>
      <c r="C273" s="20" t="str">
        <f>IF(ISNUMBER('Real Structures'!C279),'Real Structures'!C279, "")</f>
        <v/>
      </c>
    </row>
    <row r="274" spans="1:3">
      <c r="A274" s="20" t="str">
        <f>TEXT(IF('Real Structures'!A280&lt;&gt;0,'Real Structures'!A280, ""), "d-mmm-yyyy")</f>
        <v/>
      </c>
      <c r="B274" s="20" t="str">
        <f>IF(ISNUMBER('Real Structures'!B280),'Real Structures'!B280, "")</f>
        <v/>
      </c>
      <c r="C274" s="20" t="str">
        <f>IF(ISNUMBER('Real Structures'!C280),'Real Structures'!C280, "")</f>
        <v/>
      </c>
    </row>
    <row r="275" spans="1:3">
      <c r="A275" s="20" t="str">
        <f>TEXT(IF('Real Structures'!A281&lt;&gt;0,'Real Structures'!A281, ""), "d-mmm-yyyy")</f>
        <v/>
      </c>
      <c r="B275" s="20" t="str">
        <f>IF(ISNUMBER('Real Structures'!B281),'Real Structures'!B281, "")</f>
        <v/>
      </c>
      <c r="C275" s="20" t="str">
        <f>IF(ISNUMBER('Real Structures'!C281),'Real Structures'!C281, "")</f>
        <v/>
      </c>
    </row>
    <row r="276" spans="1:3">
      <c r="A276" s="20" t="str">
        <f>TEXT(IF('Real Structures'!A282&lt;&gt;0,'Real Structures'!A282, ""), "d-mmm-yyyy")</f>
        <v/>
      </c>
      <c r="B276" s="20" t="str">
        <f>IF(ISNUMBER('Real Structures'!B282),'Real Structures'!B282, "")</f>
        <v/>
      </c>
      <c r="C276" s="20" t="str">
        <f>IF(ISNUMBER('Real Structures'!C282),'Real Structures'!C282, "")</f>
        <v/>
      </c>
    </row>
    <row r="277" spans="1:3">
      <c r="A277" s="20" t="str">
        <f>TEXT(IF('Real Structures'!A283&lt;&gt;0,'Real Structures'!A283, ""), "d-mmm-yyyy")</f>
        <v/>
      </c>
      <c r="B277" s="20" t="str">
        <f>IF(ISNUMBER('Real Structures'!B283),'Real Structures'!B283, "")</f>
        <v/>
      </c>
      <c r="C277" s="20" t="str">
        <f>IF(ISNUMBER('Real Structures'!C283),'Real Structures'!C283, "")</f>
        <v/>
      </c>
    </row>
    <row r="278" spans="1:3">
      <c r="A278" s="20" t="str">
        <f>TEXT(IF('Real Structures'!A284&lt;&gt;0,'Real Structures'!A284, ""), "d-mmm-yyyy")</f>
        <v/>
      </c>
      <c r="B278" s="20" t="str">
        <f>IF(ISNUMBER('Real Structures'!B284),'Real Structures'!B284, "")</f>
        <v/>
      </c>
      <c r="C278" s="20" t="str">
        <f>IF(ISNUMBER('Real Structures'!C284),'Real Structures'!C284, "")</f>
        <v/>
      </c>
    </row>
    <row r="279" spans="1:3">
      <c r="A279" s="20" t="str">
        <f>TEXT(IF('Real Structures'!A285&lt;&gt;0,'Real Structures'!A285, ""), "d-mmm-yyyy")</f>
        <v/>
      </c>
      <c r="B279" s="20" t="str">
        <f>IF(ISNUMBER('Real Structures'!B285),'Real Structures'!B285, "")</f>
        <v/>
      </c>
      <c r="C279" s="20" t="str">
        <f>IF(ISNUMBER('Real Structures'!C285),'Real Structures'!C285, "")</f>
        <v/>
      </c>
    </row>
    <row r="280" spans="1:3">
      <c r="A280" s="20" t="str">
        <f>TEXT(IF('Real Structures'!A286&lt;&gt;0,'Real Structures'!A286, ""), "d-mmm-yyyy")</f>
        <v/>
      </c>
      <c r="B280" s="20" t="str">
        <f>IF(ISNUMBER('Real Structures'!B286),'Real Structures'!B286, "")</f>
        <v/>
      </c>
      <c r="C280" s="20" t="str">
        <f>IF(ISNUMBER('Real Structures'!C286),'Real Structures'!C286, "")</f>
        <v/>
      </c>
    </row>
    <row r="281" spans="1:3">
      <c r="A281" s="20" t="str">
        <f>TEXT(IF('Real Structures'!A287&lt;&gt;0,'Real Structures'!A287, ""), "d-mmm-yyyy")</f>
        <v/>
      </c>
      <c r="B281" s="20" t="str">
        <f>IF(ISNUMBER('Real Structures'!B287),'Real Structures'!B287, "")</f>
        <v/>
      </c>
      <c r="C281" s="20" t="str">
        <f>IF(ISNUMBER('Real Structures'!C287),'Real Structures'!C287, "")</f>
        <v/>
      </c>
    </row>
    <row r="282" spans="1:3">
      <c r="A282" s="20" t="str">
        <f>TEXT(IF('Real Structures'!A288&lt;&gt;0,'Real Structures'!A288, ""), "d-mmm-yyyy")</f>
        <v/>
      </c>
      <c r="B282" s="20" t="str">
        <f>IF(ISNUMBER('Real Structures'!B288),'Real Structures'!B288, "")</f>
        <v/>
      </c>
      <c r="C282" s="20" t="str">
        <f>IF(ISNUMBER('Real Structures'!C288),'Real Structures'!C288, "")</f>
        <v/>
      </c>
    </row>
    <row r="283" spans="1:3">
      <c r="A283" s="20" t="str">
        <f>TEXT(IF('Real Structures'!A289&lt;&gt;0,'Real Structures'!A289, ""), "d-mmm-yyyy")</f>
        <v/>
      </c>
      <c r="B283" s="20" t="str">
        <f>IF(ISNUMBER('Real Structures'!B289),'Real Structures'!B289, "")</f>
        <v/>
      </c>
      <c r="C283" s="20" t="str">
        <f>IF(ISNUMBER('Real Structures'!C289),'Real Structures'!C289, "")</f>
        <v/>
      </c>
    </row>
    <row r="284" spans="1:3">
      <c r="A284" s="20" t="str">
        <f>TEXT(IF('Real Structures'!A290&lt;&gt;0,'Real Structures'!A290, ""), "d-mmm-yyyy")</f>
        <v/>
      </c>
      <c r="B284" s="20" t="str">
        <f>IF(ISNUMBER('Real Structures'!B290),'Real Structures'!B290, "")</f>
        <v/>
      </c>
      <c r="C284" s="20" t="str">
        <f>IF(ISNUMBER('Real Structures'!C290),'Real Structures'!C290, "")</f>
        <v/>
      </c>
    </row>
    <row r="285" spans="1:3">
      <c r="A285" s="20" t="str">
        <f>TEXT(IF('Real Structures'!A291&lt;&gt;0,'Real Structures'!A291, ""), "d-mmm-yyyy")</f>
        <v/>
      </c>
      <c r="B285" s="20" t="str">
        <f>IF(ISNUMBER('Real Structures'!B291),'Real Structures'!B291, "")</f>
        <v/>
      </c>
      <c r="C285" s="20" t="str">
        <f>IF(ISNUMBER('Real Structures'!C291),'Real Structures'!C291, "")</f>
        <v/>
      </c>
    </row>
    <row r="286" spans="1:3">
      <c r="A286" s="20" t="str">
        <f>TEXT(IF('Real Structures'!A292&lt;&gt;0,'Real Structures'!A292, ""), "d-mmm-yyyy")</f>
        <v/>
      </c>
      <c r="B286" s="20" t="str">
        <f>IF(ISNUMBER('Real Structures'!B292),'Real Structures'!B292, "")</f>
        <v/>
      </c>
      <c r="C286" s="20" t="str">
        <f>IF(ISNUMBER('Real Structures'!C292),'Real Structures'!C292, "")</f>
        <v/>
      </c>
    </row>
    <row r="287" spans="1:3">
      <c r="A287" s="20" t="str">
        <f>TEXT(IF('Real Structures'!A293&lt;&gt;0,'Real Structures'!A293, ""), "d-mmm-yyyy")</f>
        <v/>
      </c>
      <c r="B287" s="20" t="str">
        <f>IF(ISNUMBER('Real Structures'!B293),'Real Structures'!B293, "")</f>
        <v/>
      </c>
      <c r="C287" s="20" t="str">
        <f>IF(ISNUMBER('Real Structures'!C293),'Real Structures'!C293, "")</f>
        <v/>
      </c>
    </row>
    <row r="288" spans="1:3">
      <c r="A288" s="20" t="str">
        <f>TEXT(IF('Real Structures'!A294&lt;&gt;0,'Real Structures'!A294, ""), "d-mmm-yyyy")</f>
        <v/>
      </c>
      <c r="B288" s="20" t="str">
        <f>IF(ISNUMBER('Real Structures'!B294),'Real Structures'!B294, "")</f>
        <v/>
      </c>
      <c r="C288" s="20" t="str">
        <f>IF(ISNUMBER('Real Structures'!C294),'Real Structures'!C294, "")</f>
        <v/>
      </c>
    </row>
    <row r="289" spans="1:3">
      <c r="A289" s="20" t="str">
        <f>TEXT(IF('Real Structures'!A295&lt;&gt;0,'Real Structures'!A295, ""), "d-mmm-yyyy")</f>
        <v/>
      </c>
      <c r="B289" s="20" t="str">
        <f>IF(ISNUMBER('Real Structures'!B295),'Real Structures'!B295, "")</f>
        <v/>
      </c>
      <c r="C289" s="20" t="str">
        <f>IF(ISNUMBER('Real Structures'!C295),'Real Structures'!C295, "")</f>
        <v/>
      </c>
    </row>
    <row r="290" spans="1:3">
      <c r="A290" s="20" t="str">
        <f>TEXT(IF('Real Structures'!A296&lt;&gt;0,'Real Structures'!A296, ""), "d-mmm-yyyy")</f>
        <v/>
      </c>
      <c r="B290" s="20" t="str">
        <f>IF(ISNUMBER('Real Structures'!B296),'Real Structures'!B296, "")</f>
        <v/>
      </c>
      <c r="C290" s="20" t="str">
        <f>IF(ISNUMBER('Real Structures'!C296),'Real Structures'!C296, "")</f>
        <v/>
      </c>
    </row>
    <row r="291" spans="1:3">
      <c r="A291" s="20" t="str">
        <f>TEXT(IF('Real Structures'!A297&lt;&gt;0,'Real Structures'!A297, ""), "d-mmm-yyyy")</f>
        <v/>
      </c>
      <c r="B291" s="20" t="str">
        <f>IF(ISNUMBER('Real Structures'!B297),'Real Structures'!B297, "")</f>
        <v/>
      </c>
      <c r="C291" s="20" t="str">
        <f>IF(ISNUMBER('Real Structures'!C297),'Real Structures'!C297, "")</f>
        <v/>
      </c>
    </row>
    <row r="292" spans="1:3">
      <c r="A292" s="20" t="str">
        <f>TEXT(IF('Real Structures'!A298&lt;&gt;0,'Real Structures'!A298, ""), "d-mmm-yyyy")</f>
        <v/>
      </c>
      <c r="B292" s="20" t="str">
        <f>IF(ISNUMBER('Real Structures'!B298),'Real Structures'!B298, "")</f>
        <v/>
      </c>
      <c r="C292" s="20" t="str">
        <f>IF(ISNUMBER('Real Structures'!C298),'Real Structures'!C298, "")</f>
        <v/>
      </c>
    </row>
    <row r="293" spans="1:3">
      <c r="A293" s="20" t="str">
        <f>TEXT(IF('Real Structures'!A299&lt;&gt;0,'Real Structures'!A299, ""), "d-mmm-yyyy")</f>
        <v/>
      </c>
      <c r="B293" s="20" t="str">
        <f>IF(ISNUMBER('Real Structures'!B299),'Real Structures'!B299, "")</f>
        <v/>
      </c>
      <c r="C293" s="20" t="str">
        <f>IF(ISNUMBER('Real Structures'!C299),'Real Structures'!C299, "")</f>
        <v/>
      </c>
    </row>
    <row r="294" spans="1:3">
      <c r="A294" s="20" t="str">
        <f>TEXT(IF('Real Structures'!A300&lt;&gt;0,'Real Structures'!A300, ""), "d-mmm-yyyy")</f>
        <v/>
      </c>
      <c r="B294" s="20" t="str">
        <f>IF(ISNUMBER('Real Structures'!B300),'Real Structures'!B300, "")</f>
        <v/>
      </c>
      <c r="C294" s="20" t="str">
        <f>IF(ISNUMBER('Real Structures'!C300),'Real Structures'!C300, "")</f>
        <v/>
      </c>
    </row>
    <row r="295" spans="1:3">
      <c r="A295" s="20" t="str">
        <f>TEXT(IF('Real Structures'!A301&lt;&gt;0,'Real Structures'!A301, ""), "d-mmm-yyyy")</f>
        <v/>
      </c>
      <c r="B295" s="20" t="str">
        <f>IF(ISNUMBER('Real Structures'!B301),'Real Structures'!B301, "")</f>
        <v/>
      </c>
      <c r="C295" s="20" t="str">
        <f>IF(ISNUMBER('Real Structures'!C301),'Real Structures'!C301, "")</f>
        <v/>
      </c>
    </row>
    <row r="296" spans="1:3">
      <c r="A296" s="20" t="str">
        <f>TEXT(IF('Real Structures'!A302&lt;&gt;0,'Real Structures'!A302, ""), "d-mmm-yyyy")</f>
        <v/>
      </c>
      <c r="B296" s="20" t="str">
        <f>IF(ISNUMBER('Real Structures'!B302),'Real Structures'!B302, "")</f>
        <v/>
      </c>
      <c r="C296" s="20" t="str">
        <f>IF(ISNUMBER('Real Structures'!C302),'Real Structures'!C302, "")</f>
        <v/>
      </c>
    </row>
    <row r="297" spans="1:3">
      <c r="A297" s="20" t="str">
        <f>TEXT(IF('Real Structures'!A303&lt;&gt;0,'Real Structures'!A303, ""), "d-mmm-yyyy")</f>
        <v/>
      </c>
      <c r="B297" s="20" t="str">
        <f>IF(ISNUMBER('Real Structures'!B303),'Real Structures'!B303, "")</f>
        <v/>
      </c>
      <c r="C297" s="20" t="str">
        <f>IF(ISNUMBER('Real Structures'!C303),'Real Structures'!C303, "")</f>
        <v/>
      </c>
    </row>
    <row r="298" spans="1:3">
      <c r="A298" s="20" t="str">
        <f>TEXT(IF('Real Structures'!A304&lt;&gt;0,'Real Structures'!A304, ""), "d-mmm-yyyy")</f>
        <v/>
      </c>
      <c r="B298" s="20" t="str">
        <f>IF(ISNUMBER('Real Structures'!B304),'Real Structures'!B304, "")</f>
        <v/>
      </c>
      <c r="C298" s="20" t="str">
        <f>IF(ISNUMBER('Real Structures'!C304),'Real Structures'!C304, "")</f>
        <v/>
      </c>
    </row>
    <row r="299" spans="1:3">
      <c r="A299" s="20" t="str">
        <f>TEXT(IF('Real Structures'!A305&lt;&gt;0,'Real Structures'!A305, ""), "d-mmm-yyyy")</f>
        <v/>
      </c>
      <c r="B299" s="20" t="str">
        <f>IF(ISNUMBER('Real Structures'!B305),'Real Structures'!B305, "")</f>
        <v/>
      </c>
      <c r="C299" s="20" t="str">
        <f>IF(ISNUMBER('Real Structures'!C305),'Real Structures'!C305, "")</f>
        <v/>
      </c>
    </row>
    <row r="300" spans="1:3">
      <c r="A300" s="20" t="str">
        <f>TEXT(IF('Real Structures'!A306&lt;&gt;0,'Real Structures'!A306, ""), "d-mmm-yyyy")</f>
        <v/>
      </c>
      <c r="B300" s="20" t="str">
        <f>IF(ISNUMBER('Real Structures'!B306),'Real Structures'!B306, "")</f>
        <v/>
      </c>
      <c r="C300" s="20" t="str">
        <f>IF(ISNUMBER('Real Structures'!C306),'Real Structures'!C306, "")</f>
        <v/>
      </c>
    </row>
    <row r="301" spans="1:3">
      <c r="A301" s="20" t="str">
        <f>TEXT(IF('Real Structures'!A307&lt;&gt;0,'Real Structures'!A307, ""), "d-mmm-yyyy")</f>
        <v/>
      </c>
      <c r="B301" s="20" t="str">
        <f>IF(ISNUMBER('Real Structures'!B307),'Real Structures'!B307, "")</f>
        <v/>
      </c>
      <c r="C301" s="20" t="str">
        <f>IF(ISNUMBER('Real Structures'!C307),'Real Structures'!C307, "")</f>
        <v/>
      </c>
    </row>
    <row r="302" spans="1:3">
      <c r="A302" s="20" t="str">
        <f>TEXT(IF('Real Structures'!A308&lt;&gt;0,'Real Structures'!A308, ""), "d-mmm-yyyy")</f>
        <v/>
      </c>
      <c r="B302" s="20" t="str">
        <f>IF(ISNUMBER('Real Structures'!B308),'Real Structures'!B308, "")</f>
        <v/>
      </c>
      <c r="C302" s="20" t="str">
        <f>IF(ISNUMBER('Real Structures'!C308),'Real Structures'!C308, "")</f>
        <v/>
      </c>
    </row>
    <row r="303" spans="1:3">
      <c r="A303" s="20" t="str">
        <f>TEXT(IF('Real Structures'!A309&lt;&gt;0,'Real Structures'!A309, ""), "d-mmm-yyyy")</f>
        <v/>
      </c>
      <c r="B303" s="20" t="str">
        <f>IF(ISNUMBER('Real Structures'!B309),'Real Structures'!B309, "")</f>
        <v/>
      </c>
      <c r="C303" s="20" t="str">
        <f>IF(ISNUMBER('Real Structures'!C309),'Real Structures'!C309, "")</f>
        <v/>
      </c>
    </row>
    <row r="304" spans="1:3">
      <c r="A304" s="20" t="str">
        <f>TEXT(IF('Real Structures'!A310&lt;&gt;0,'Real Structures'!A310, ""), "d-mmm-yyyy")</f>
        <v/>
      </c>
      <c r="B304" s="20" t="str">
        <f>IF(ISNUMBER('Real Structures'!B310),'Real Structures'!B310, "")</f>
        <v/>
      </c>
      <c r="C304" s="20" t="str">
        <f>IF(ISNUMBER('Real Structures'!C310),'Real Structures'!C310, "")</f>
        <v/>
      </c>
    </row>
    <row r="305" spans="1:3">
      <c r="A305" s="20" t="str">
        <f>TEXT(IF('Real Structures'!A311&lt;&gt;0,'Real Structures'!A311, ""), "d-mmm-yyyy")</f>
        <v/>
      </c>
      <c r="B305" s="20" t="str">
        <f>IF(ISNUMBER('Real Structures'!B311),'Real Structures'!B311, "")</f>
        <v/>
      </c>
      <c r="C305" s="20" t="str">
        <f>IF(ISNUMBER('Real Structures'!C311),'Real Structures'!C311, "")</f>
        <v/>
      </c>
    </row>
    <row r="306" spans="1:3">
      <c r="A306" s="20" t="str">
        <f>TEXT(IF('Real Structures'!A312&lt;&gt;0,'Real Structures'!A312, ""), "d-mmm-yyyy")</f>
        <v/>
      </c>
      <c r="B306" s="20" t="str">
        <f>IF(ISNUMBER('Real Structures'!B312),'Real Structures'!B312, "")</f>
        <v/>
      </c>
      <c r="C306" s="20" t="str">
        <f>IF(ISNUMBER('Real Structures'!C312),'Real Structures'!C312, "")</f>
        <v/>
      </c>
    </row>
    <row r="307" spans="1:3">
      <c r="A307" s="20" t="str">
        <f>TEXT(IF('Real Structures'!A313&lt;&gt;0,'Real Structures'!A313, ""), "d-mmm-yyyy")</f>
        <v/>
      </c>
      <c r="B307" s="20" t="str">
        <f>IF(ISNUMBER('Real Structures'!B313),'Real Structures'!B313, "")</f>
        <v/>
      </c>
      <c r="C307" s="20" t="str">
        <f>IF(ISNUMBER('Real Structures'!C313),'Real Structures'!C313, "")</f>
        <v/>
      </c>
    </row>
    <row r="308" spans="1:3">
      <c r="A308" s="20" t="str">
        <f>TEXT(IF('Real Structures'!A314&lt;&gt;0,'Real Structures'!A314, ""), "d-mmm-yyyy")</f>
        <v/>
      </c>
      <c r="B308" s="20" t="str">
        <f>IF(ISNUMBER('Real Structures'!B314),'Real Structures'!B314, "")</f>
        <v/>
      </c>
      <c r="C308" s="20" t="str">
        <f>IF(ISNUMBER('Real Structures'!C314),'Real Structures'!C314, "")</f>
        <v/>
      </c>
    </row>
    <row r="309" spans="1:3">
      <c r="A309" s="20" t="str">
        <f>TEXT(IF('Real Structures'!A315&lt;&gt;0,'Real Structures'!A315, ""), "d-mmm-yyyy")</f>
        <v/>
      </c>
      <c r="B309" s="20" t="str">
        <f>IF(ISNUMBER('Real Structures'!B315),'Real Structures'!B315, "")</f>
        <v/>
      </c>
      <c r="C309" s="20" t="str">
        <f>IF(ISNUMBER('Real Structures'!C315),'Real Structures'!C315, "")</f>
        <v/>
      </c>
    </row>
    <row r="310" spans="1:3">
      <c r="A310" s="20" t="str">
        <f>TEXT(IF('Real Structures'!A316&lt;&gt;0,'Real Structures'!A316, ""), "d-mmm-yyyy")</f>
        <v/>
      </c>
      <c r="B310" s="20" t="str">
        <f>IF(ISNUMBER('Real Structures'!B316),'Real Structures'!B316, "")</f>
        <v/>
      </c>
      <c r="C310" s="20" t="str">
        <f>IF(ISNUMBER('Real Structures'!C316),'Real Structures'!C316, "")</f>
        <v/>
      </c>
    </row>
    <row r="311" spans="1:3">
      <c r="A311" s="20" t="str">
        <f>TEXT(IF('Real Structures'!A317&lt;&gt;0,'Real Structures'!A317, ""), "d-mmm-yyyy")</f>
        <v/>
      </c>
      <c r="B311" s="20" t="str">
        <f>IF(ISNUMBER('Real Structures'!B317),'Real Structures'!B317, "")</f>
        <v/>
      </c>
      <c r="C311" s="20" t="str">
        <f>IF(ISNUMBER('Real Structures'!C317),'Real Structures'!C317, "")</f>
        <v/>
      </c>
    </row>
    <row r="312" spans="1:3">
      <c r="A312" s="20" t="str">
        <f>TEXT(IF('Real Structures'!A318&lt;&gt;0,'Real Structures'!A318, ""), "d-mmm-yyyy")</f>
        <v/>
      </c>
      <c r="B312" s="20" t="str">
        <f>IF(ISNUMBER('Real Structures'!B318),'Real Structures'!B318, "")</f>
        <v/>
      </c>
      <c r="C312" s="20" t="str">
        <f>IF(ISNUMBER('Real Structures'!C318),'Real Structures'!C318, "")</f>
        <v/>
      </c>
    </row>
    <row r="313" spans="1:3">
      <c r="A313" s="20" t="str">
        <f>TEXT(IF('Real Structures'!A319&lt;&gt;0,'Real Structures'!A319, ""), "d-mmm-yyyy")</f>
        <v/>
      </c>
      <c r="B313" s="20" t="str">
        <f>IF(ISNUMBER('Real Structures'!B319),'Real Structures'!B319, "")</f>
        <v/>
      </c>
      <c r="C313" s="20" t="str">
        <f>IF(ISNUMBER('Real Structures'!C319),'Real Structures'!C319, "")</f>
        <v/>
      </c>
    </row>
    <row r="314" spans="1:3">
      <c r="A314" s="20" t="str">
        <f>TEXT(IF('Real Structures'!A320&lt;&gt;0,'Real Structures'!A320, ""), "d-mmm-yyyy")</f>
        <v/>
      </c>
      <c r="B314" s="20" t="str">
        <f>IF(ISNUMBER('Real Structures'!B320),'Real Structures'!B320, "")</f>
        <v/>
      </c>
      <c r="C314" s="20" t="str">
        <f>IF(ISNUMBER('Real Structures'!C320),'Real Structures'!C320, "")</f>
        <v/>
      </c>
    </row>
    <row r="315" spans="1:3">
      <c r="A315" s="20" t="str">
        <f>TEXT(IF('Real Structures'!A321&lt;&gt;0,'Real Structures'!A321, ""), "d-mmm-yyyy")</f>
        <v/>
      </c>
      <c r="B315" s="20" t="str">
        <f>IF(ISNUMBER('Real Structures'!B321),'Real Structures'!B321, "")</f>
        <v/>
      </c>
      <c r="C315" s="20" t="str">
        <f>IF(ISNUMBER('Real Structures'!C321),'Real Structures'!C321, "")</f>
        <v/>
      </c>
    </row>
    <row r="316" spans="1:3">
      <c r="A316" s="20" t="str">
        <f>TEXT(IF('Real Structures'!A322&lt;&gt;0,'Real Structures'!A322, ""), "d-mmm-yyyy")</f>
        <v/>
      </c>
      <c r="B316" s="20" t="str">
        <f>IF(ISNUMBER('Real Structures'!B322),'Real Structures'!B322, "")</f>
        <v/>
      </c>
      <c r="C316" s="20" t="str">
        <f>IF(ISNUMBER('Real Structures'!C322),'Real Structures'!C322, "")</f>
        <v/>
      </c>
    </row>
    <row r="317" spans="1:3">
      <c r="A317" s="20" t="str">
        <f>TEXT(IF('Real Structures'!A323&lt;&gt;0,'Real Structures'!A323, ""), "d-mmm-yyyy")</f>
        <v/>
      </c>
      <c r="B317" s="20" t="str">
        <f>IF(ISNUMBER('Real Structures'!B323),'Real Structures'!B323, "")</f>
        <v/>
      </c>
      <c r="C317" s="20" t="str">
        <f>IF(ISNUMBER('Real Structures'!C323),'Real Structures'!C323, "")</f>
        <v/>
      </c>
    </row>
    <row r="318" spans="1:3">
      <c r="A318" s="20" t="str">
        <f>TEXT(IF('Real Structures'!A324&lt;&gt;0,'Real Structures'!A324, ""), "d-mmm-yyyy")</f>
        <v/>
      </c>
      <c r="B318" s="20" t="str">
        <f>IF(ISNUMBER('Real Structures'!B324),'Real Structures'!B324, "")</f>
        <v/>
      </c>
      <c r="C318" s="20" t="str">
        <f>IF(ISNUMBER('Real Structures'!C324),'Real Structures'!C324, "")</f>
        <v/>
      </c>
    </row>
    <row r="319" spans="1:3">
      <c r="A319" s="20" t="str">
        <f>TEXT(IF('Real Structures'!A325&lt;&gt;0,'Real Structures'!A325, ""), "d-mmm-yyyy")</f>
        <v/>
      </c>
      <c r="B319" s="20" t="str">
        <f>IF(ISNUMBER('Real Structures'!B325),'Real Structures'!B325, "")</f>
        <v/>
      </c>
      <c r="C319" s="20" t="str">
        <f>IF(ISNUMBER('Real Structures'!C325),'Real Structures'!C325, "")</f>
        <v/>
      </c>
    </row>
    <row r="320" spans="1:3">
      <c r="A320" s="20" t="str">
        <f>TEXT(IF('Real Structures'!A326&lt;&gt;0,'Real Structures'!A326, ""), "d-mmm-yyyy")</f>
        <v/>
      </c>
      <c r="B320" s="20" t="str">
        <f>IF(ISNUMBER('Real Structures'!B326),'Real Structures'!B326, "")</f>
        <v/>
      </c>
      <c r="C320" s="20" t="str">
        <f>IF(ISNUMBER('Real Structures'!C326),'Real Structures'!C326, "")</f>
        <v/>
      </c>
    </row>
    <row r="321" spans="1:3">
      <c r="A321" s="20" t="str">
        <f>TEXT(IF('Real Structures'!A327&lt;&gt;0,'Real Structures'!A327, ""), "d-mmm-yyyy")</f>
        <v/>
      </c>
      <c r="B321" s="20" t="str">
        <f>IF(ISNUMBER('Real Structures'!B327),'Real Structures'!B327, "")</f>
        <v/>
      </c>
      <c r="C321" s="20" t="str">
        <f>IF(ISNUMBER('Real Structures'!C327),'Real Structures'!C327, "")</f>
        <v/>
      </c>
    </row>
    <row r="322" spans="1:3">
      <c r="A322" s="20" t="str">
        <f>TEXT(IF('Real Structures'!A328&lt;&gt;0,'Real Structures'!A328, ""), "d-mmm-yyyy")</f>
        <v/>
      </c>
      <c r="B322" s="20" t="str">
        <f>IF(ISNUMBER('Real Structures'!B328),'Real Structures'!B328, "")</f>
        <v/>
      </c>
      <c r="C322" s="20" t="str">
        <f>IF(ISNUMBER('Real Structures'!C328),'Real Structures'!C328, "")</f>
        <v/>
      </c>
    </row>
    <row r="323" spans="1:3">
      <c r="A323" s="20" t="str">
        <f>TEXT(IF('Real Structures'!A329&lt;&gt;0,'Real Structures'!A329, ""), "d-mmm-yyyy")</f>
        <v/>
      </c>
      <c r="B323" s="20" t="str">
        <f>IF(ISNUMBER('Real Structures'!B329),'Real Structures'!B329, "")</f>
        <v/>
      </c>
      <c r="C323" s="20" t="str">
        <f>IF(ISNUMBER('Real Structures'!C329),'Real Structures'!C329, "")</f>
        <v/>
      </c>
    </row>
    <row r="324" spans="1:3">
      <c r="A324" s="20" t="str">
        <f>TEXT(IF('Real Structures'!A330&lt;&gt;0,'Real Structures'!A330, ""), "d-mmm-yyyy")</f>
        <v/>
      </c>
      <c r="B324" s="20" t="str">
        <f>IF(ISNUMBER('Real Structures'!B330),'Real Structures'!B330, "")</f>
        <v/>
      </c>
      <c r="C324" s="20" t="str">
        <f>IF(ISNUMBER('Real Structures'!C330),'Real Structures'!C330, "")</f>
        <v/>
      </c>
    </row>
    <row r="325" spans="1:3">
      <c r="A325" s="20" t="str">
        <f>TEXT(IF('Real Structures'!A331&lt;&gt;0,'Real Structures'!A331, ""), "d-mmm-yyyy")</f>
        <v/>
      </c>
      <c r="B325" s="20" t="str">
        <f>IF(ISNUMBER('Real Structures'!B331),'Real Structures'!B331, "")</f>
        <v/>
      </c>
      <c r="C325" s="20" t="str">
        <f>IF(ISNUMBER('Real Structures'!C331),'Real Structures'!C331, "")</f>
        <v/>
      </c>
    </row>
    <row r="326" spans="1:3">
      <c r="A326" s="20" t="str">
        <f>TEXT(IF('Real Structures'!A332&lt;&gt;0,'Real Structures'!A332, ""), "d-mmm-yyyy")</f>
        <v/>
      </c>
      <c r="B326" s="20" t="str">
        <f>IF(ISNUMBER('Real Structures'!B332),'Real Structures'!B332, "")</f>
        <v/>
      </c>
      <c r="C326" s="20" t="str">
        <f>IF(ISNUMBER('Real Structures'!C332),'Real Structures'!C332, "")</f>
        <v/>
      </c>
    </row>
    <row r="327" spans="1:3">
      <c r="A327" s="20" t="str">
        <f>TEXT(IF('Real Structures'!A333&lt;&gt;0,'Real Structures'!A333, ""), "d-mmm-yyyy")</f>
        <v/>
      </c>
      <c r="B327" s="20" t="str">
        <f>IF(ISNUMBER('Real Structures'!B333),'Real Structures'!B333, "")</f>
        <v/>
      </c>
      <c r="C327" s="20" t="str">
        <f>IF(ISNUMBER('Real Structures'!C333),'Real Structures'!C333, "")</f>
        <v/>
      </c>
    </row>
    <row r="328" spans="1:3">
      <c r="A328" s="20" t="str">
        <f>TEXT(IF('Real Structures'!A334&lt;&gt;0,'Real Structures'!A334, ""), "d-mmm-yyyy")</f>
        <v/>
      </c>
      <c r="B328" s="20" t="str">
        <f>IF(ISNUMBER('Real Structures'!B334),'Real Structures'!B334, "")</f>
        <v/>
      </c>
      <c r="C328" s="20" t="str">
        <f>IF(ISNUMBER('Real Structures'!C334),'Real Structures'!C334, "")</f>
        <v/>
      </c>
    </row>
    <row r="329" spans="1:3">
      <c r="A329" s="20" t="str">
        <f>TEXT(IF('Real Structures'!A335&lt;&gt;0,'Real Structures'!A335, ""), "d-mmm-yyyy")</f>
        <v/>
      </c>
      <c r="B329" s="20" t="str">
        <f>IF(ISNUMBER('Real Structures'!B335),'Real Structures'!B335, "")</f>
        <v/>
      </c>
      <c r="C329" s="20" t="str">
        <f>IF(ISNUMBER('Real Structures'!C335),'Real Structures'!C335, "")</f>
        <v/>
      </c>
    </row>
    <row r="330" spans="1:3">
      <c r="A330" s="20" t="str">
        <f>TEXT(IF('Real Structures'!A336&lt;&gt;0,'Real Structures'!A336, ""), "d-mmm-yyyy")</f>
        <v/>
      </c>
      <c r="B330" s="20" t="str">
        <f>IF(ISNUMBER('Real Structures'!B336),'Real Structures'!B336, "")</f>
        <v/>
      </c>
      <c r="C330" s="20" t="str">
        <f>IF(ISNUMBER('Real Structures'!C336),'Real Structures'!C336, "")</f>
        <v/>
      </c>
    </row>
    <row r="331" spans="1:3">
      <c r="A331" s="20" t="str">
        <f>TEXT(IF('Real Structures'!A337&lt;&gt;0,'Real Structures'!A337, ""), "d-mmm-yyyy")</f>
        <v/>
      </c>
      <c r="B331" s="20" t="str">
        <f>IF(ISNUMBER('Real Structures'!B337),'Real Structures'!B337, "")</f>
        <v/>
      </c>
      <c r="C331" s="20" t="str">
        <f>IF(ISNUMBER('Real Structures'!C337),'Real Structures'!C337, "")</f>
        <v/>
      </c>
    </row>
    <row r="332" spans="1:3">
      <c r="A332" s="20" t="str">
        <f>TEXT(IF('Real Structures'!A338&lt;&gt;0,'Real Structures'!A338, ""), "d-mmm-yyyy")</f>
        <v/>
      </c>
      <c r="B332" s="20" t="str">
        <f>IF(ISNUMBER('Real Structures'!B338),'Real Structures'!B338, "")</f>
        <v/>
      </c>
      <c r="C332" s="20" t="str">
        <f>IF(ISNUMBER('Real Structures'!C338),'Real Structures'!C338, "")</f>
        <v/>
      </c>
    </row>
    <row r="333" spans="1:3">
      <c r="A333" s="20" t="str">
        <f>TEXT(IF('Real Structures'!A339&lt;&gt;0,'Real Structures'!A339, ""), "d-mmm-yyyy")</f>
        <v/>
      </c>
      <c r="B333" s="20" t="str">
        <f>IF(ISNUMBER('Real Structures'!B339),'Real Structures'!B339, "")</f>
        <v/>
      </c>
      <c r="C333" s="20" t="str">
        <f>IF(ISNUMBER('Real Structures'!C339),'Real Structures'!C339, "")</f>
        <v/>
      </c>
    </row>
    <row r="334" spans="1:3">
      <c r="A334" s="20" t="str">
        <f>TEXT(IF('Real Structures'!A340&lt;&gt;0,'Real Structures'!A340, ""), "d-mmm-yyyy")</f>
        <v/>
      </c>
      <c r="B334" s="20" t="str">
        <f>IF(ISNUMBER('Real Structures'!B340),'Real Structures'!B340, "")</f>
        <v/>
      </c>
      <c r="C334" s="20" t="str">
        <f>IF(ISNUMBER('Real Structures'!C340),'Real Structures'!C340, "")</f>
        <v/>
      </c>
    </row>
    <row r="335" spans="1:3">
      <c r="A335" s="20" t="str">
        <f>TEXT(IF('Real Structures'!A341&lt;&gt;0,'Real Structures'!A341, ""), "d-mmm-yyyy")</f>
        <v/>
      </c>
      <c r="B335" s="20" t="str">
        <f>IF(ISNUMBER('Real Structures'!B341),'Real Structures'!B341, "")</f>
        <v/>
      </c>
      <c r="C335" s="20" t="str">
        <f>IF(ISNUMBER('Real Structures'!C341),'Real Structures'!C341, "")</f>
        <v/>
      </c>
    </row>
    <row r="336" spans="1:3">
      <c r="A336" s="20" t="str">
        <f>TEXT(IF('Real Structures'!A342&lt;&gt;0,'Real Structures'!A342, ""), "d-mmm-yyyy")</f>
        <v/>
      </c>
      <c r="B336" s="20" t="str">
        <f>IF(ISNUMBER('Real Structures'!B342),'Real Structures'!B342, "")</f>
        <v/>
      </c>
      <c r="C336" s="20" t="str">
        <f>IF(ISNUMBER('Real Structures'!C342),'Real Structures'!C342, "")</f>
        <v/>
      </c>
    </row>
    <row r="337" spans="1:3">
      <c r="A337" s="20" t="str">
        <f>TEXT(IF('Real Structures'!A343&lt;&gt;0,'Real Structures'!A343, ""), "d-mmm-yyyy")</f>
        <v/>
      </c>
      <c r="B337" s="20" t="str">
        <f>IF(ISNUMBER('Real Structures'!B343),'Real Structures'!B343, "")</f>
        <v/>
      </c>
      <c r="C337" s="20" t="str">
        <f>IF(ISNUMBER('Real Structures'!C343),'Real Structures'!C343, "")</f>
        <v/>
      </c>
    </row>
    <row r="338" spans="1:3">
      <c r="A338" s="20" t="str">
        <f>TEXT(IF('Real Structures'!A344&lt;&gt;0,'Real Structures'!A344, ""), "d-mmm-yyyy")</f>
        <v/>
      </c>
      <c r="B338" s="20" t="str">
        <f>IF(ISNUMBER('Real Structures'!B344),'Real Structures'!B344, "")</f>
        <v/>
      </c>
      <c r="C338" s="20" t="str">
        <f>IF(ISNUMBER('Real Structures'!C344),'Real Structures'!C344, "")</f>
        <v/>
      </c>
    </row>
    <row r="339" spans="1:3">
      <c r="A339" s="20" t="str">
        <f>TEXT(IF('Real Structures'!A345&lt;&gt;0,'Real Structures'!A345, ""), "d-mmm-yyyy")</f>
        <v/>
      </c>
      <c r="B339" s="20" t="str">
        <f>IF(ISNUMBER('Real Structures'!B345),'Real Structures'!B345, "")</f>
        <v/>
      </c>
      <c r="C339" s="20" t="str">
        <f>IF(ISNUMBER('Real Structures'!C345),'Real Structures'!C345, "")</f>
        <v/>
      </c>
    </row>
    <row r="340" spans="1:3">
      <c r="A340" s="20" t="str">
        <f>TEXT(IF('Real Structures'!A346&lt;&gt;0,'Real Structures'!A346, ""), "d-mmm-yyyy")</f>
        <v/>
      </c>
      <c r="B340" s="20" t="str">
        <f>IF(ISNUMBER('Real Structures'!B346),'Real Structures'!B346, "")</f>
        <v/>
      </c>
      <c r="C340" s="20" t="str">
        <f>IF(ISNUMBER('Real Structures'!C346),'Real Structures'!C346, "")</f>
        <v/>
      </c>
    </row>
    <row r="341" spans="1:3">
      <c r="A341" s="20" t="str">
        <f>TEXT(IF('Real Structures'!A347&lt;&gt;0,'Real Structures'!A347, ""), "d-mmm-yyyy")</f>
        <v/>
      </c>
      <c r="B341" s="20" t="str">
        <f>IF(ISNUMBER('Real Structures'!B347),'Real Structures'!B347, "")</f>
        <v/>
      </c>
      <c r="C341" s="20" t="str">
        <f>IF(ISNUMBER('Real Structures'!C347),'Real Structures'!C347, "")</f>
        <v/>
      </c>
    </row>
    <row r="342" spans="1:3">
      <c r="A342" s="20" t="str">
        <f>TEXT(IF('Real Structures'!A348&lt;&gt;0,'Real Structures'!A348, ""), "d-mmm-yyyy")</f>
        <v/>
      </c>
      <c r="B342" s="20" t="str">
        <f>IF(ISNUMBER('Real Structures'!B348),'Real Structures'!B348, "")</f>
        <v/>
      </c>
      <c r="C342" s="20" t="str">
        <f>IF(ISNUMBER('Real Structures'!C348),'Real Structures'!C348, "")</f>
        <v/>
      </c>
    </row>
    <row r="343" spans="1:3">
      <c r="A343" s="20" t="str">
        <f>TEXT(IF('Real Structures'!A349&lt;&gt;0,'Real Structures'!A349, ""), "d-mmm-yyyy")</f>
        <v/>
      </c>
      <c r="B343" s="20" t="str">
        <f>IF(ISNUMBER('Real Structures'!B349),'Real Structures'!B349, "")</f>
        <v/>
      </c>
      <c r="C343" s="20" t="str">
        <f>IF(ISNUMBER('Real Structures'!C349),'Real Structures'!C349, "")</f>
        <v/>
      </c>
    </row>
    <row r="344" spans="1:3">
      <c r="A344" s="20" t="str">
        <f>TEXT(IF('Real Structures'!A350&lt;&gt;0,'Real Structures'!A350, ""), "d-mmm-yyyy")</f>
        <v/>
      </c>
      <c r="B344" s="20" t="str">
        <f>IF(ISNUMBER('Real Structures'!B350),'Real Structures'!B350, "")</f>
        <v/>
      </c>
      <c r="C344" s="20" t="str">
        <f>IF(ISNUMBER('Real Structures'!C350),'Real Structures'!C350, "")</f>
        <v/>
      </c>
    </row>
    <row r="345" spans="1:3">
      <c r="A345" s="20" t="str">
        <f>TEXT(IF('Real Structures'!A351&lt;&gt;0,'Real Structures'!A351, ""), "d-mmm-yyyy")</f>
        <v/>
      </c>
      <c r="B345" s="20" t="str">
        <f>IF(ISNUMBER('Real Structures'!B351),'Real Structures'!B351, "")</f>
        <v/>
      </c>
      <c r="C345" s="20" t="str">
        <f>IF(ISNUMBER('Real Structures'!C351),'Real Structures'!C351, "")</f>
        <v/>
      </c>
    </row>
    <row r="346" spans="1:3">
      <c r="A346" s="20" t="str">
        <f>TEXT(IF('Real Structures'!A352&lt;&gt;0,'Real Structures'!A352, ""), "d-mmm-yyyy")</f>
        <v/>
      </c>
      <c r="B346" s="20" t="str">
        <f>IF(ISNUMBER('Real Structures'!B352),'Real Structures'!B352, "")</f>
        <v/>
      </c>
      <c r="C346" s="20" t="str">
        <f>IF(ISNUMBER('Real Structures'!C352),'Real Structures'!C352, "")</f>
        <v/>
      </c>
    </row>
    <row r="347" spans="1:3">
      <c r="A347" s="20" t="str">
        <f>TEXT(IF('Real Structures'!A353&lt;&gt;0,'Real Structures'!A353, ""), "d-mmm-yyyy")</f>
        <v/>
      </c>
      <c r="B347" s="20" t="str">
        <f>IF(ISNUMBER('Real Structures'!B353),'Real Structures'!B353, "")</f>
        <v/>
      </c>
      <c r="C347" s="20" t="str">
        <f>IF(ISNUMBER('Real Structures'!C353),'Real Structures'!C353, "")</f>
        <v/>
      </c>
    </row>
    <row r="348" spans="1:3">
      <c r="A348" s="20" t="str">
        <f>TEXT(IF('Real Structures'!A354&lt;&gt;0,'Real Structures'!A354, ""), "d-mmm-yyyy")</f>
        <v/>
      </c>
      <c r="B348" s="20" t="str">
        <f>IF(ISNUMBER('Real Structures'!B354),'Real Structures'!B354, "")</f>
        <v/>
      </c>
      <c r="C348" s="20" t="str">
        <f>IF(ISNUMBER('Real Structures'!C354),'Real Structures'!C354, "")</f>
        <v/>
      </c>
    </row>
    <row r="349" spans="1:3">
      <c r="A349" s="20" t="str">
        <f>TEXT(IF('Real Structures'!A355&lt;&gt;0,'Real Structures'!A355, ""), "d-mmm-yyyy")</f>
        <v/>
      </c>
      <c r="B349" s="20" t="str">
        <f>IF(ISNUMBER('Real Structures'!B355),'Real Structures'!B355, "")</f>
        <v/>
      </c>
      <c r="C349" s="20" t="str">
        <f>IF(ISNUMBER('Real Structures'!C355),'Real Structures'!C355, "")</f>
        <v/>
      </c>
    </row>
    <row r="350" spans="1:3">
      <c r="A350" s="20" t="str">
        <f>TEXT(IF('Real Structures'!A356&lt;&gt;0,'Real Structures'!A356, ""), "d-mmm-yyyy")</f>
        <v/>
      </c>
      <c r="B350" s="20" t="str">
        <f>IF(ISNUMBER('Real Structures'!B356),'Real Structures'!B356, "")</f>
        <v/>
      </c>
      <c r="C350" s="20" t="str">
        <f>IF(ISNUMBER('Real Structures'!C356),'Real Structures'!C356, "")</f>
        <v/>
      </c>
    </row>
    <row r="351" spans="1:3">
      <c r="A351" s="20" t="str">
        <f>TEXT(IF('Real Structures'!A357&lt;&gt;0,'Real Structures'!A357, ""), "d-mmm-yyyy")</f>
        <v/>
      </c>
      <c r="B351" s="20" t="str">
        <f>IF(ISNUMBER('Real Structures'!B357),'Real Structures'!B357, "")</f>
        <v/>
      </c>
      <c r="C351" s="20" t="str">
        <f>IF(ISNUMBER('Real Structures'!C357),'Real Structures'!C357, "")</f>
        <v/>
      </c>
    </row>
    <row r="352" spans="1:3">
      <c r="A352" s="20" t="str">
        <f>TEXT(IF('Real Structures'!A358&lt;&gt;0,'Real Structures'!A358, ""), "d-mmm-yyyy")</f>
        <v/>
      </c>
      <c r="B352" s="20" t="str">
        <f>IF(ISNUMBER('Real Structures'!B358),'Real Structures'!B358, "")</f>
        <v/>
      </c>
      <c r="C352" s="20" t="str">
        <f>IF(ISNUMBER('Real Structures'!C358),'Real Structures'!C358, "")</f>
        <v/>
      </c>
    </row>
    <row r="353" spans="1:3">
      <c r="A353" s="20" t="str">
        <f>TEXT(IF('Real Structures'!A359&lt;&gt;0,'Real Structures'!A359, ""), "d-mmm-yyyy")</f>
        <v/>
      </c>
      <c r="B353" s="20" t="str">
        <f>IF(ISNUMBER('Real Structures'!B359),'Real Structures'!B359, "")</f>
        <v/>
      </c>
      <c r="C353" s="20" t="str">
        <f>IF(ISNUMBER('Real Structures'!C359),'Real Structures'!C359, "")</f>
        <v/>
      </c>
    </row>
    <row r="354" spans="1:3">
      <c r="A354" s="20" t="str">
        <f>TEXT(IF('Real Structures'!A360&lt;&gt;0,'Real Structures'!A360, ""), "d-mmm-yyyy")</f>
        <v/>
      </c>
      <c r="B354" s="20" t="str">
        <f>IF(ISNUMBER('Real Structures'!B360),'Real Structures'!B360, "")</f>
        <v/>
      </c>
      <c r="C354" s="20" t="str">
        <f>IF(ISNUMBER('Real Structures'!C360),'Real Structures'!C360, "")</f>
        <v/>
      </c>
    </row>
    <row r="355" spans="1:3">
      <c r="A355" s="20" t="str">
        <f>TEXT(IF('Real Structures'!A361&lt;&gt;0,'Real Structures'!A361, ""), "d-mmm-yyyy")</f>
        <v/>
      </c>
      <c r="B355" s="20" t="str">
        <f>IF(ISNUMBER('Real Structures'!B361),'Real Structures'!B361, "")</f>
        <v/>
      </c>
      <c r="C355" s="20" t="str">
        <f>IF(ISNUMBER('Real Structures'!C361),'Real Structures'!C361, "")</f>
        <v/>
      </c>
    </row>
    <row r="356" spans="1:3">
      <c r="A356" s="20" t="str">
        <f>TEXT(IF('Real Structures'!A362&lt;&gt;0,'Real Structures'!A362, ""), "d-mmm-yyyy")</f>
        <v/>
      </c>
      <c r="B356" s="20" t="str">
        <f>IF(ISNUMBER('Real Structures'!B362),'Real Structures'!B362, "")</f>
        <v/>
      </c>
      <c r="C356" s="20" t="str">
        <f>IF(ISNUMBER('Real Structures'!C362),'Real Structures'!C362, "")</f>
        <v/>
      </c>
    </row>
    <row r="357" spans="1:3">
      <c r="A357" s="20" t="str">
        <f>TEXT(IF('Real Structures'!A363&lt;&gt;0,'Real Structures'!A363, ""), "d-mmm-yyyy")</f>
        <v/>
      </c>
      <c r="B357" s="20" t="str">
        <f>IF(ISNUMBER('Real Structures'!B363),'Real Structures'!B363, "")</f>
        <v/>
      </c>
      <c r="C357" s="20" t="str">
        <f>IF(ISNUMBER('Real Structures'!C363),'Real Structures'!C363, "")</f>
        <v/>
      </c>
    </row>
    <row r="358" spans="1:3">
      <c r="A358" s="20" t="str">
        <f>TEXT(IF('Real Structures'!A364&lt;&gt;0,'Real Structures'!A364, ""), "d-mmm-yyyy")</f>
        <v/>
      </c>
      <c r="B358" s="20" t="str">
        <f>IF(ISNUMBER('Real Structures'!B364),'Real Structures'!B364, "")</f>
        <v/>
      </c>
      <c r="C358" s="20" t="str">
        <f>IF(ISNUMBER('Real Structures'!C364),'Real Structures'!C364, "")</f>
        <v/>
      </c>
    </row>
    <row r="359" spans="1:3">
      <c r="A359" s="20" t="str">
        <f>TEXT(IF('Real Structures'!A365&lt;&gt;0,'Real Structures'!A365, ""), "d-mmm-yyyy")</f>
        <v/>
      </c>
      <c r="B359" s="20" t="str">
        <f>IF(ISNUMBER('Real Structures'!B365),'Real Structures'!B365, "")</f>
        <v/>
      </c>
      <c r="C359" s="20" t="str">
        <f>IF(ISNUMBER('Real Structures'!C365),'Real Structures'!C365, "")</f>
        <v/>
      </c>
    </row>
    <row r="360" spans="1:3">
      <c r="A360" s="20" t="str">
        <f>TEXT(IF('Real Structures'!A366&lt;&gt;0,'Real Structures'!A366, ""), "d-mmm-yyyy")</f>
        <v/>
      </c>
      <c r="B360" s="20" t="str">
        <f>IF(ISNUMBER('Real Structures'!B366),'Real Structures'!B366, "")</f>
        <v/>
      </c>
      <c r="C360" s="20" t="str">
        <f>IF(ISNUMBER('Real Structures'!C366),'Real Structures'!C366, "")</f>
        <v/>
      </c>
    </row>
    <row r="361" spans="1:3">
      <c r="A361" s="20" t="str">
        <f>TEXT(IF('Real Structures'!A367&lt;&gt;0,'Real Structures'!A367, ""), "d-mmm-yyyy")</f>
        <v/>
      </c>
      <c r="B361" s="20" t="str">
        <f>IF(ISNUMBER('Real Structures'!B367),'Real Structures'!B367, "")</f>
        <v/>
      </c>
      <c r="C361" s="20" t="str">
        <f>IF(ISNUMBER('Real Structures'!C367),'Real Structures'!C367, "")</f>
        <v/>
      </c>
    </row>
    <row r="362" spans="1:3">
      <c r="A362" s="20" t="str">
        <f>TEXT(IF('Real Structures'!A368&lt;&gt;0,'Real Structures'!A368, ""), "d-mmm-yyyy")</f>
        <v/>
      </c>
      <c r="B362" s="20" t="str">
        <f>IF(ISNUMBER('Real Structures'!B368),'Real Structures'!B368, "")</f>
        <v/>
      </c>
      <c r="C362" s="20" t="str">
        <f>IF(ISNUMBER('Real Structures'!C368),'Real Structures'!C368, "")</f>
        <v/>
      </c>
    </row>
    <row r="363" spans="1:3">
      <c r="A363" s="20" t="str">
        <f>TEXT(IF('Real Structures'!A369&lt;&gt;0,'Real Structures'!A369, ""), "d-mmm-yyyy")</f>
        <v/>
      </c>
      <c r="B363" s="20" t="str">
        <f>IF(ISNUMBER('Real Structures'!B369),'Real Structures'!B369, "")</f>
        <v/>
      </c>
      <c r="C363" s="20" t="str">
        <f>IF(ISNUMBER('Real Structures'!C369),'Real Structures'!C369, "")</f>
        <v/>
      </c>
    </row>
    <row r="364" spans="1:3">
      <c r="A364" s="20" t="str">
        <f>TEXT(IF('Real Structures'!A370&lt;&gt;0,'Real Structures'!A370, ""), "d-mmm-yyyy")</f>
        <v/>
      </c>
      <c r="B364" s="20" t="str">
        <f>IF(ISNUMBER('Real Structures'!B370),'Real Structures'!B370, "")</f>
        <v/>
      </c>
      <c r="C364" s="20" t="str">
        <f>IF(ISNUMBER('Real Structures'!C370),'Real Structures'!C370, "")</f>
        <v/>
      </c>
    </row>
    <row r="365" spans="1:3">
      <c r="A365" s="20" t="str">
        <f>TEXT(IF('Real Structures'!A371&lt;&gt;0,'Real Structures'!A371, ""), "d-mmm-yyyy")</f>
        <v/>
      </c>
      <c r="B365" s="20" t="str">
        <f>IF(ISNUMBER('Real Structures'!B371),'Real Structures'!B371, "")</f>
        <v/>
      </c>
      <c r="C365" s="20" t="str">
        <f>IF(ISNUMBER('Real Structures'!C371),'Real Structures'!C371, "")</f>
        <v/>
      </c>
    </row>
    <row r="366" spans="1:3">
      <c r="A366" s="20" t="str">
        <f>TEXT(IF('Real Structures'!A372&lt;&gt;0,'Real Structures'!A372, ""), "d-mmm-yyyy")</f>
        <v/>
      </c>
      <c r="B366" s="20" t="str">
        <f>IF(ISNUMBER('Real Structures'!B372),'Real Structures'!B372, "")</f>
        <v/>
      </c>
      <c r="C366" s="20" t="str">
        <f>IF(ISNUMBER('Real Structures'!C372),'Real Structures'!C372, "")</f>
        <v/>
      </c>
    </row>
    <row r="367" spans="1:3">
      <c r="A367" s="20" t="str">
        <f>TEXT(IF('Real Structures'!A373&lt;&gt;0,'Real Structures'!A373, ""), "d-mmm-yyyy")</f>
        <v/>
      </c>
      <c r="B367" s="20" t="str">
        <f>IF(ISNUMBER('Real Structures'!B373),'Real Structures'!B373, "")</f>
        <v/>
      </c>
      <c r="C367" s="20" t="str">
        <f>IF(ISNUMBER('Real Structures'!C373),'Real Structures'!C373, "")</f>
        <v/>
      </c>
    </row>
    <row r="368" spans="1:3">
      <c r="A368" s="20" t="str">
        <f>TEXT(IF('Real Structures'!A374&lt;&gt;0,'Real Structures'!A374, ""), "d-mmm-yyyy")</f>
        <v/>
      </c>
      <c r="B368" s="20" t="str">
        <f>IF(ISNUMBER('Real Structures'!B374),'Real Structures'!B374, "")</f>
        <v/>
      </c>
      <c r="C368" s="20" t="str">
        <f>IF(ISNUMBER('Real Structures'!C374),'Real Structures'!C374, "")</f>
        <v/>
      </c>
    </row>
    <row r="369" spans="1:3">
      <c r="A369" s="20" t="str">
        <f>TEXT(IF('Real Structures'!A375&lt;&gt;0,'Real Structures'!A375, ""), "d-mmm-yyyy")</f>
        <v/>
      </c>
      <c r="B369" s="20" t="str">
        <f>IF(ISNUMBER('Real Structures'!B375),'Real Structures'!B375, "")</f>
        <v/>
      </c>
      <c r="C369" s="20" t="str">
        <f>IF(ISNUMBER('Real Structures'!C375),'Real Structures'!C375, "")</f>
        <v/>
      </c>
    </row>
    <row r="370" spans="1:3">
      <c r="A370" s="20" t="str">
        <f>TEXT(IF('Real Structures'!A376&lt;&gt;0,'Real Structures'!A376, ""), "d-mmm-yyyy")</f>
        <v/>
      </c>
      <c r="B370" s="20" t="str">
        <f>IF(ISNUMBER('Real Structures'!B376),'Real Structures'!B376, "")</f>
        <v/>
      </c>
      <c r="C370" s="20" t="str">
        <f>IF(ISNUMBER('Real Structures'!C376),'Real Structures'!C376, "")</f>
        <v/>
      </c>
    </row>
    <row r="371" spans="1:3">
      <c r="A371" s="20" t="str">
        <f>TEXT(IF('Real Structures'!A377&lt;&gt;0,'Real Structures'!A377, ""), "d-mmm-yyyy")</f>
        <v/>
      </c>
      <c r="B371" s="20" t="str">
        <f>IF(ISNUMBER('Real Structures'!B377),'Real Structures'!B377, "")</f>
        <v/>
      </c>
      <c r="C371" s="20" t="str">
        <f>IF(ISNUMBER('Real Structures'!C377),'Real Structures'!C377, "")</f>
        <v/>
      </c>
    </row>
    <row r="372" spans="1:3">
      <c r="A372" s="20" t="str">
        <f>TEXT(IF('Real Structures'!A378&lt;&gt;0,'Real Structures'!A378, ""), "d-mmm-yyyy")</f>
        <v/>
      </c>
      <c r="B372" s="20" t="str">
        <f>IF(ISNUMBER('Real Structures'!B378),'Real Structures'!B378, "")</f>
        <v/>
      </c>
      <c r="C372" s="20" t="str">
        <f>IF(ISNUMBER('Real Structures'!C378),'Real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/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138</v>
      </c>
      <c r="B1" t="s">
        <v>166</v>
      </c>
      <c r="C1" t="s">
        <v>410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0.033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0.038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0.037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0.045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0.055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0.052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0.043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0.027</v>
      </c>
      <c r="C43" s="20">
        <f>IF(ISNUMBER('State and Local Taxes'!J56),'State and Local Taxes'!J56, "")</f>
        <v>0</v>
      </c>
    </row>
    <row r="44" spans="1:3">
      <c r="A44" s="20"/>
      <c r="B44" s="20"/>
      <c r="C44" s="20"/>
    </row>
    <row r="45" spans="1:3">
      <c r="A45" s="20" t="str">
        <f>TEXT(IF('State and Local Taxes'!B58&lt;&gt;0,DATE(YEAR('State and Local Taxes'!B58), MONTH('State and Local Taxes'!B58)-2, 1), ""), "mm/dd/yyyy")</f>
        <v/>
      </c>
      <c r="B45" s="20" t="str">
        <f>IF(ISNUMBER('State and Local Taxes'!I58),TEXT('State and Local Taxes'!I58, "0.000"), "")</f>
        <v/>
      </c>
      <c r="C45" s="20" t="str">
        <f>IF(ISNUMBER('State and Local Taxes'!J58),'State and Local Taxes'!J58, "")</f>
        <v/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138</v>
      </c>
      <c r="B1" t="s">
        <v>167</v>
      </c>
      <c r="C1" s="20" t="s">
        <v>168</v>
      </c>
      <c r="D1" t="s">
        <v>169</v>
      </c>
      <c r="E1" t="s">
        <v>170</v>
      </c>
      <c r="F1" s="20" t="s">
        <v>410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19.21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19.95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17.62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18.84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17.03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18.48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18.96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20.21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24.41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14.62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23.37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14.97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23.42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15.22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21.98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16.69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20.77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/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/>
      </c>
      <c r="E41" s="20" t="str">
        <f>IFERROR(IF(ISNUMBER('Revenues &amp; Outlays in GDP'!D47),TEXT('Revenues &amp; Outlays in GDP'!D47, "0.00"),""), "")</f>
        <v>20.40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18.30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20.90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18.10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21.00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18.10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20.80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18.00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18.00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18.10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21.30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21.50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21.90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workbookViewId="0"/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138</v>
      </c>
      <c r="B1" s="20" t="s">
        <v>171</v>
      </c>
      <c r="C1" s="20" t="s">
        <v>172</v>
      </c>
      <c r="D1" s="20" t="s">
        <v>410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-6.75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-4.09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/>
      </c>
      <c r="C41" s="14" t="str">
        <f>IFERROR(IF(ISNUMBER('Deficit to GDP'!F46),TEXT('Deficit to GDP'!F46,"0.00"), ""), "")</f>
        <v>-2.90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-2.90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-2.70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-2.70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-3.80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-3.70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19"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138</v>
      </c>
      <c r="B1" s="20" t="s">
        <v>173</v>
      </c>
      <c r="C1" s="20" t="s">
        <v>351</v>
      </c>
      <c r="D1" t="s">
        <v>410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32.50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35.10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61.00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65.80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70.10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72.00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74.40</v>
      </c>
      <c r="C41" s="20" t="str">
        <f>IFERROR(IF(ISNUMBER('Debt to GDP Ratio'!E45),TEXT('Debt to GDP Ratio'!E45,"0.00"), ""), "")</f>
        <v>74.40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74.00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73.60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73.00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72.80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73.10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73.60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74.30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75.40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76.40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77.20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19" workbookViewId="0">
      <selection activeCell="F41" sqref="F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138</v>
      </c>
      <c r="B1" s="20" t="s">
        <v>175</v>
      </c>
      <c r="C1" s="20" t="s">
        <v>179</v>
      </c>
      <c r="D1" s="20" t="s">
        <v>183</v>
      </c>
      <c r="E1" s="20" t="s">
        <v>177</v>
      </c>
      <c r="F1" s="20" t="s">
        <v>184</v>
      </c>
      <c r="G1" s="20" t="s">
        <v>178</v>
      </c>
      <c r="H1" s="20" t="s">
        <v>185</v>
      </c>
      <c r="I1" s="20" t="s">
        <v>176</v>
      </c>
      <c r="J1" t="s">
        <v>410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Category'!L8,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Category'!L9,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Category'!L10,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Category'!L11,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Category'!L12,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Category'!L13,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Category'!L14,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Category'!L15,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Category'!L16,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Category'!L17,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Category'!L18,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Category'!L19,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Category'!L20,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Category'!L21,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Category'!L22,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Category'!L23,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Category'!L24,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Category'!L25,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Category'!L26,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Category'!L27,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Category'!L28,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Category'!L29,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Category'!L30,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Category'!L31,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Category'!L32,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Category'!L33,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Category'!L34,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Category'!L35,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Category'!L36,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Category'!L37,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4.02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Category'!L38,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3.97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Category'!L39,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Category'!L40,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Category'!L41,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Category'!L42,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Category'!L43,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Category'!L44,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4.77</v>
      </c>
      <c r="H39" s="20" t="str">
        <f>IFERROR(IF(ISNUMBER('Spending by Category'!I45),TEXT('Spending by Category'!I45,"0.00"), ""), "")</f>
        <v>1.37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Category'!L45,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4.86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Category'!L46,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/>
      </c>
      <c r="H41" s="20" t="str">
        <f>IFERROR(IF(ISNUMBER('Spending by Category'!I47),TEXT('Spending by Category'!I47,"0.00"), ""), "")</f>
        <v/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Category'!L47,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Category'!L48,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Category'!L49,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Category'!L50,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Category'!L51,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Category'!L52,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Category'!L53,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Category'!L54,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Category'!L55,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Category'!L56,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Category'!L57,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Category'!L58,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Category'!L59,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Category'!L60,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Category'!L61,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Category'!L62,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Category'!L63,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Category'!L64,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Category'!L65,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Category'!L66,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Category'!L67,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Category'!L68,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Category'!L69,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Category'!L70,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Category'!L71,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Category'!L72,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Category'!L73,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Category'!L74,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Category'!L75,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Category'!L76,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Category'!L77,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Category'!L78,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Category'!L79,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Category'!L80,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Category'!L81,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Category'!L82,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Category'!L83,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Category'!L84,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Category'!L85,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Category'!L86,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Category'!L87,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Category'!L88,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Category'!L89,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Category'!L90,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Category'!L91,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Category'!L92,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Category'!L93,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Category'!L94,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Category'!L95,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Category'!L96,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Category'!L97,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Category'!L98,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Category'!L99,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Category'!L100,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Category'!L101,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Category'!L102,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Category'!L103,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Category'!L104,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Category'!L105,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Category'!L106,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Category'!L107,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Category'!L108,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Category'!L109,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Category'!L110,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Category'!L111,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Category'!L112,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Category'!L113,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Category'!L114,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Category'!L115,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Category'!L116,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Category'!L117,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Category'!L118,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Category'!L119,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Category'!L120,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Category'!L121,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Category'!L122,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Category'!L123,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Category'!L124,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Category'!L125,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Category'!L126,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Category'!L127,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Category'!L128,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Category'!L129,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Category'!L130,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Category'!L131,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Category'!L132,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Category'!L133,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Category'!L134,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Category'!L135,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Category'!L136,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Category'!L137,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Category'!L138,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Category'!L139,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Category'!L140,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Category'!L141,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Category'!L142,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Category'!L143,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Category'!L144,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Category'!L145,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Category'!L146,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Category'!L147,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Category'!L148,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Category'!L149,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Category'!L150,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Category'!L151,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Category'!L152,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Category'!L153,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Category'!L154,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Category'!L155,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Category'!L156,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Category'!L157,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Category'!L158,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Category'!L159,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Category'!L160,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Category'!L161,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Category'!L162,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Category'!L163,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Category'!L164,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Category'!L165,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Category'!L166,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Category'!L167,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Category'!L168,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Category'!L169,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Category'!L170,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Category'!L171,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Category'!L172,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Category'!L173,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Category'!L174,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Category'!L175,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Category'!L176,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Category'!L177,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Category'!L178,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Category'!L179,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Category'!L180,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Category'!L181,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Category'!L182,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Category'!L183,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Category'!L184,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Category'!L185,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Category'!L186,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Category'!L187,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Category'!L188,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Category'!L189,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Category'!L190,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Category'!L191,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Category'!L192,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Category'!L193,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Category'!L194,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Category'!L195,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Category'!L196,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Category'!L197,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Category'!L198,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Category'!L199,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Category'!L200,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Category'!L201,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Category'!L202,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Category'!L203,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29A9C42-DC08-4282-A7A1-F04E8114F3C3}"/>
</file>

<file path=customXml/itemProps2.xml><?xml version="1.0" encoding="utf-8"?>
<ds:datastoreItem xmlns:ds="http://schemas.openxmlformats.org/officeDocument/2006/customXml" ds:itemID="{5E718DC2-7FE3-4543-A5BD-B7F037015561}"/>
</file>

<file path=customXml/itemProps3.xml><?xml version="1.0" encoding="utf-8"?>
<ds:datastoreItem xmlns:ds="http://schemas.openxmlformats.org/officeDocument/2006/customXml" ds:itemID="{10BD041B-3779-480C-8445-EF508754E05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2014-11-25T14:33:05Z</cp:lastPrinted>
  <dcterms:created xsi:type="dcterms:W3CDTF">2014-07-22T13:55:17Z</dcterms:created>
  <dcterms:modified xsi:type="dcterms:W3CDTF">2014-12-23T14:48:13Z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