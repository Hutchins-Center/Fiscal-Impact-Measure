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activeTab="2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G12" i="4" l="1"/>
  <c r="G8" i="4"/>
  <c r="H12" i="4"/>
  <c r="G13" i="4"/>
  <c r="G9" i="4"/>
  <c r="H13" i="4"/>
  <c r="G14" i="4"/>
  <c r="G10" i="4"/>
  <c r="H14" i="4"/>
  <c r="G15" i="4"/>
  <c r="G11" i="4"/>
  <c r="H15" i="4"/>
  <c r="I15" i="4"/>
  <c r="B2" i="2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H53" i="4"/>
  <c r="G54" i="4"/>
  <c r="G50" i="4"/>
  <c r="H54" i="4"/>
  <c r="G55" i="4"/>
  <c r="G51" i="4"/>
  <c r="H55" i="4"/>
  <c r="G56" i="4"/>
  <c r="G52" i="4"/>
  <c r="H56" i="4"/>
  <c r="I56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3" i="17"/>
  <c r="A2" i="17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/>
  <c r="L79" i="3"/>
  <c r="M80" i="3"/>
  <c r="C73" i="18"/>
  <c r="L78" i="3"/>
  <c r="M79" i="3"/>
  <c r="C72" i="18"/>
  <c r="L77" i="3"/>
  <c r="L76" i="3"/>
  <c r="M78" i="3"/>
  <c r="C71" i="18"/>
  <c r="L75" i="3"/>
  <c r="M77" i="3"/>
  <c r="C70" i="18"/>
  <c r="L74" i="3"/>
  <c r="M76" i="3"/>
  <c r="C69" i="18"/>
  <c r="L73" i="3"/>
  <c r="M75" i="3"/>
  <c r="C68" i="18"/>
  <c r="L72" i="3"/>
  <c r="M74" i="3"/>
  <c r="C67" i="18"/>
  <c r="L71" i="3"/>
  <c r="M73" i="3"/>
  <c r="C66" i="18"/>
  <c r="L70" i="3"/>
  <c r="M72" i="3"/>
  <c r="C65" i="18"/>
  <c r="L69" i="3"/>
  <c r="M71" i="3"/>
  <c r="C64" i="18"/>
  <c r="L68" i="3"/>
  <c r="M70" i="3"/>
  <c r="C63" i="18"/>
  <c r="L67" i="3"/>
  <c r="M69" i="3"/>
  <c r="C62" i="18"/>
  <c r="L66" i="3"/>
  <c r="M68" i="3"/>
  <c r="C61" i="18"/>
  <c r="L65" i="3"/>
  <c r="M67" i="3"/>
  <c r="C60" i="18"/>
  <c r="L64" i="3"/>
  <c r="M66" i="3"/>
  <c r="C59" i="18"/>
  <c r="L63" i="3"/>
  <c r="M65" i="3"/>
  <c r="C58" i="18"/>
  <c r="L62" i="3"/>
  <c r="M64" i="3"/>
  <c r="C57" i="18"/>
  <c r="L61" i="3"/>
  <c r="M63" i="3"/>
  <c r="C56" i="18"/>
  <c r="L60" i="3"/>
  <c r="M62" i="3"/>
  <c r="C55" i="18"/>
  <c r="L59" i="3"/>
  <c r="M61" i="3"/>
  <c r="C54" i="18"/>
  <c r="L58" i="3"/>
  <c r="M60" i="3"/>
  <c r="C53" i="18"/>
  <c r="L57" i="3"/>
  <c r="M59" i="3"/>
  <c r="C52" i="18"/>
  <c r="L56" i="3"/>
  <c r="M58" i="3"/>
  <c r="C51" i="18"/>
  <c r="L55" i="3"/>
  <c r="M57" i="3"/>
  <c r="C50" i="18"/>
  <c r="L54" i="3"/>
  <c r="M56" i="3"/>
  <c r="C49" i="18"/>
  <c r="L53" i="3"/>
  <c r="M55" i="3"/>
  <c r="C48" i="18"/>
  <c r="L52" i="3"/>
  <c r="M54" i="3"/>
  <c r="C47" i="18"/>
  <c r="L51" i="3"/>
  <c r="M53" i="3"/>
  <c r="C46" i="18"/>
  <c r="L50" i="3"/>
  <c r="M52" i="3"/>
  <c r="C45" i="18"/>
  <c r="L49" i="3"/>
  <c r="M51" i="3"/>
  <c r="C44" i="18"/>
  <c r="L48" i="3"/>
  <c r="M50" i="3"/>
  <c r="C43" i="18"/>
  <c r="L47" i="3"/>
  <c r="M49" i="3"/>
  <c r="C42" i="18"/>
  <c r="L46" i="3"/>
  <c r="M48" i="3"/>
  <c r="C41" i="18"/>
  <c r="L45" i="3"/>
  <c r="M47" i="3"/>
  <c r="C40" i="18"/>
  <c r="L44" i="3"/>
  <c r="M46" i="3"/>
  <c r="C39" i="18"/>
  <c r="L43" i="3"/>
  <c r="M45" i="3"/>
  <c r="C38" i="18"/>
  <c r="L42" i="3"/>
  <c r="M44" i="3"/>
  <c r="C37" i="18"/>
  <c r="L41" i="3"/>
  <c r="M43" i="3"/>
  <c r="C36" i="18"/>
  <c r="L40" i="3"/>
  <c r="M42" i="3"/>
  <c r="C35" i="18"/>
  <c r="L39" i="3"/>
  <c r="M41" i="3"/>
  <c r="C34" i="18"/>
  <c r="L38" i="3"/>
  <c r="M40" i="3"/>
  <c r="C33" i="18"/>
  <c r="L37" i="3"/>
  <c r="M39" i="3"/>
  <c r="C32" i="18"/>
  <c r="L36" i="3"/>
  <c r="M38" i="3"/>
  <c r="C31" i="18"/>
  <c r="L35" i="3"/>
  <c r="M37" i="3"/>
  <c r="C30" i="18"/>
  <c r="L34" i="3"/>
  <c r="M36" i="3"/>
  <c r="C29" i="18"/>
  <c r="L33" i="3"/>
  <c r="M35" i="3"/>
  <c r="C28" i="18"/>
  <c r="L32" i="3"/>
  <c r="M34" i="3"/>
  <c r="C27" i="18"/>
  <c r="L31" i="3"/>
  <c r="M33" i="3"/>
  <c r="C26" i="18"/>
  <c r="L30" i="3"/>
  <c r="M32" i="3"/>
  <c r="C25" i="18"/>
  <c r="L29" i="3"/>
  <c r="M31" i="3"/>
  <c r="C24" i="18"/>
  <c r="L28" i="3"/>
  <c r="M30" i="3"/>
  <c r="C23" i="18"/>
  <c r="L27" i="3"/>
  <c r="M29" i="3"/>
  <c r="C22" i="18"/>
  <c r="L26" i="3"/>
  <c r="M28" i="3"/>
  <c r="C21" i="18"/>
  <c r="L25" i="3"/>
  <c r="M27" i="3"/>
  <c r="C20" i="18"/>
  <c r="L24" i="3"/>
  <c r="M26" i="3"/>
  <c r="C19" i="18"/>
  <c r="L23" i="3"/>
  <c r="M25" i="3"/>
  <c r="C18" i="18"/>
  <c r="L22" i="3"/>
  <c r="M24" i="3"/>
  <c r="C17" i="18"/>
  <c r="L21" i="3"/>
  <c r="M23" i="3"/>
  <c r="C16" i="18"/>
  <c r="L20" i="3"/>
  <c r="M22" i="3"/>
  <c r="C15" i="18"/>
  <c r="L19" i="3"/>
  <c r="M21" i="3"/>
  <c r="C14" i="18"/>
  <c r="L18" i="3"/>
  <c r="M20" i="3"/>
  <c r="C13" i="18"/>
  <c r="L17" i="3"/>
  <c r="M19" i="3"/>
  <c r="C12" i="18"/>
  <c r="L16" i="3"/>
  <c r="M18" i="3"/>
  <c r="C11" i="18"/>
  <c r="L15" i="3"/>
  <c r="M17" i="3"/>
  <c r="C10" i="18"/>
  <c r="L14" i="3"/>
  <c r="M16" i="3"/>
  <c r="C9" i="18"/>
  <c r="L13" i="3"/>
  <c r="M15" i="3"/>
  <c r="C8" i="18"/>
  <c r="L12" i="3"/>
  <c r="M14" i="3"/>
  <c r="C7" i="18"/>
  <c r="L11" i="3"/>
  <c r="M13" i="3"/>
  <c r="C6" i="18"/>
  <c r="L10" i="3"/>
  <c r="M12" i="3"/>
  <c r="C5" i="18"/>
  <c r="L9" i="3"/>
  <c r="M11" i="3"/>
  <c r="C4" i="18"/>
  <c r="L8" i="3"/>
  <c r="M10" i="3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/>
  <c r="C73" i="17"/>
  <c r="I78" i="3"/>
  <c r="J79" i="3"/>
  <c r="C72" i="17"/>
  <c r="I77" i="3"/>
  <c r="I76" i="3"/>
  <c r="J78" i="3"/>
  <c r="C71" i="17"/>
  <c r="I75" i="3"/>
  <c r="J77" i="3"/>
  <c r="C70" i="17"/>
  <c r="I74" i="3"/>
  <c r="J76" i="3"/>
  <c r="C69" i="17"/>
  <c r="I73" i="3"/>
  <c r="J75" i="3"/>
  <c r="C68" i="17"/>
  <c r="I72" i="3"/>
  <c r="J74" i="3"/>
  <c r="C67" i="17"/>
  <c r="I71" i="3"/>
  <c r="J73" i="3"/>
  <c r="C66" i="17"/>
  <c r="I70" i="3"/>
  <c r="J72" i="3"/>
  <c r="C65" i="17"/>
  <c r="I69" i="3"/>
  <c r="J71" i="3"/>
  <c r="C64" i="17"/>
  <c r="I68" i="3"/>
  <c r="J70" i="3"/>
  <c r="C63" i="17"/>
  <c r="I67" i="3"/>
  <c r="J69" i="3"/>
  <c r="C62" i="17"/>
  <c r="I66" i="3"/>
  <c r="J68" i="3"/>
  <c r="C61" i="17"/>
  <c r="I65" i="3"/>
  <c r="J67" i="3"/>
  <c r="C60" i="17"/>
  <c r="I64" i="3"/>
  <c r="J66" i="3"/>
  <c r="C59" i="17"/>
  <c r="I63" i="3"/>
  <c r="J65" i="3"/>
  <c r="C58" i="17"/>
  <c r="I62" i="3"/>
  <c r="J64" i="3"/>
  <c r="C57" i="17"/>
  <c r="I61" i="3"/>
  <c r="J63" i="3"/>
  <c r="C56" i="17"/>
  <c r="I60" i="3"/>
  <c r="J62" i="3"/>
  <c r="C55" i="17"/>
  <c r="I59" i="3"/>
  <c r="J61" i="3"/>
  <c r="C54" i="17"/>
  <c r="I58" i="3"/>
  <c r="J60" i="3"/>
  <c r="C53" i="17"/>
  <c r="I57" i="3"/>
  <c r="J59" i="3"/>
  <c r="C52" i="17"/>
  <c r="I56" i="3"/>
  <c r="J58" i="3"/>
  <c r="C51" i="17"/>
  <c r="I55" i="3"/>
  <c r="J57" i="3"/>
  <c r="C50" i="17"/>
  <c r="I54" i="3"/>
  <c r="J56" i="3"/>
  <c r="C49" i="17"/>
  <c r="I53" i="3"/>
  <c r="J55" i="3"/>
  <c r="C48" i="17"/>
  <c r="I52" i="3"/>
  <c r="J54" i="3"/>
  <c r="C47" i="17"/>
  <c r="I51" i="3"/>
  <c r="J53" i="3"/>
  <c r="C46" i="17"/>
  <c r="I50" i="3"/>
  <c r="J52" i="3"/>
  <c r="C45" i="17"/>
  <c r="I49" i="3"/>
  <c r="J51" i="3"/>
  <c r="C44" i="17"/>
  <c r="I48" i="3"/>
  <c r="J50" i="3"/>
  <c r="C43" i="17"/>
  <c r="I47" i="3"/>
  <c r="J49" i="3"/>
  <c r="C42" i="17"/>
  <c r="I46" i="3"/>
  <c r="J48" i="3"/>
  <c r="C41" i="17"/>
  <c r="I45" i="3"/>
  <c r="J47" i="3"/>
  <c r="C40" i="17"/>
  <c r="I44" i="3"/>
  <c r="J46" i="3"/>
  <c r="C39" i="17"/>
  <c r="I43" i="3"/>
  <c r="J45" i="3"/>
  <c r="C38" i="17"/>
  <c r="I42" i="3"/>
  <c r="J44" i="3"/>
  <c r="C37" i="17"/>
  <c r="I41" i="3"/>
  <c r="J43" i="3"/>
  <c r="C36" i="17"/>
  <c r="I40" i="3"/>
  <c r="J42" i="3"/>
  <c r="C35" i="17"/>
  <c r="I39" i="3"/>
  <c r="J41" i="3"/>
  <c r="C34" i="17"/>
  <c r="I38" i="3"/>
  <c r="J40" i="3"/>
  <c r="C33" i="17"/>
  <c r="I37" i="3"/>
  <c r="J39" i="3"/>
  <c r="C32" i="17"/>
  <c r="I36" i="3"/>
  <c r="J38" i="3"/>
  <c r="C31" i="17"/>
  <c r="I35" i="3"/>
  <c r="J37" i="3"/>
  <c r="C30" i="17"/>
  <c r="I34" i="3"/>
  <c r="J36" i="3"/>
  <c r="C29" i="17"/>
  <c r="I33" i="3"/>
  <c r="J35" i="3"/>
  <c r="C28" i="17"/>
  <c r="I32" i="3"/>
  <c r="J34" i="3"/>
  <c r="C27" i="17"/>
  <c r="I31" i="3"/>
  <c r="J33" i="3"/>
  <c r="C26" i="17"/>
  <c r="I30" i="3"/>
  <c r="J32" i="3"/>
  <c r="C25" i="17"/>
  <c r="I29" i="3"/>
  <c r="J31" i="3"/>
  <c r="C24" i="17"/>
  <c r="I28" i="3"/>
  <c r="J30" i="3"/>
  <c r="C23" i="17"/>
  <c r="I27" i="3"/>
  <c r="J29" i="3"/>
  <c r="C22" i="17"/>
  <c r="I26" i="3"/>
  <c r="J28" i="3"/>
  <c r="C21" i="17"/>
  <c r="I25" i="3"/>
  <c r="J27" i="3"/>
  <c r="C20" i="17"/>
  <c r="I24" i="3"/>
  <c r="J26" i="3"/>
  <c r="C19" i="17"/>
  <c r="I23" i="3"/>
  <c r="J25" i="3"/>
  <c r="C18" i="17"/>
  <c r="I22" i="3"/>
  <c r="J24" i="3"/>
  <c r="C17" i="17"/>
  <c r="I21" i="3"/>
  <c r="J23" i="3"/>
  <c r="C16" i="17"/>
  <c r="I20" i="3"/>
  <c r="J22" i="3"/>
  <c r="C15" i="17"/>
  <c r="I19" i="3"/>
  <c r="J21" i="3"/>
  <c r="C14" i="17"/>
  <c r="I18" i="3"/>
  <c r="J20" i="3"/>
  <c r="C13" i="17"/>
  <c r="I17" i="3"/>
  <c r="J19" i="3"/>
  <c r="C12" i="17"/>
  <c r="I16" i="3"/>
  <c r="J18" i="3"/>
  <c r="C11" i="17"/>
  <c r="I15" i="3"/>
  <c r="J17" i="3"/>
  <c r="C10" i="17"/>
  <c r="I14" i="3"/>
  <c r="J16" i="3"/>
  <c r="C9" i="17"/>
  <c r="I13" i="3"/>
  <c r="J15" i="3"/>
  <c r="C8" i="17"/>
  <c r="I12" i="3"/>
  <c r="J14" i="3"/>
  <c r="C7" i="17"/>
  <c r="I11" i="3"/>
  <c r="J13" i="3"/>
  <c r="C6" i="17"/>
  <c r="I10" i="3"/>
  <c r="J12" i="3"/>
  <c r="C5" i="17"/>
  <c r="I9" i="3"/>
  <c r="J11" i="3"/>
  <c r="C4" i="17"/>
  <c r="I8" i="3"/>
  <c r="J10" i="3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70" i="18"/>
  <c r="B66" i="18"/>
  <c r="B65" i="18"/>
  <c r="B64" i="18"/>
  <c r="B63" i="18"/>
  <c r="B62" i="18"/>
  <c r="B58" i="18"/>
  <c r="B57" i="18"/>
  <c r="B56" i="18"/>
  <c r="B55" i="18"/>
  <c r="B54" i="18"/>
  <c r="B50" i="18"/>
  <c r="B49" i="18"/>
  <c r="B48" i="18"/>
  <c r="B47" i="18"/>
  <c r="B46" i="18"/>
  <c r="B44" i="18"/>
  <c r="B42" i="18"/>
  <c r="B41" i="18"/>
  <c r="B40" i="18"/>
  <c r="B39" i="18"/>
  <c r="B38" i="18"/>
  <c r="B35" i="18"/>
  <c r="B34" i="18"/>
  <c r="B33" i="18"/>
  <c r="B32" i="18"/>
  <c r="B31" i="18"/>
  <c r="B30" i="18"/>
  <c r="B26" i="18"/>
  <c r="B25" i="18"/>
  <c r="B24" i="18"/>
  <c r="B23" i="18"/>
  <c r="B22" i="18"/>
  <c r="B19" i="18"/>
  <c r="B18" i="18"/>
  <c r="B17" i="18"/>
  <c r="B16" i="18"/>
  <c r="B15" i="18"/>
  <c r="B14" i="18"/>
  <c r="B10" i="18"/>
  <c r="B9" i="18"/>
  <c r="B8" i="18"/>
  <c r="B7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20" i="18"/>
  <c r="B53" i="18"/>
  <c r="B13" i="18"/>
  <c r="B29" i="18"/>
  <c r="J9" i="3"/>
  <c r="B51" i="18"/>
  <c r="B59" i="18"/>
  <c r="B67" i="18"/>
  <c r="B12" i="18"/>
  <c r="B36" i="18"/>
  <c r="B45" i="18"/>
  <c r="B69" i="18"/>
  <c r="B3" i="18"/>
  <c r="B11" i="18"/>
  <c r="B27" i="18"/>
  <c r="B52" i="18"/>
  <c r="B60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43" i="4"/>
  <c r="H28" i="4"/>
  <c r="H36" i="4"/>
  <c r="H44" i="4"/>
  <c r="H21" i="4"/>
  <c r="H29" i="4"/>
  <c r="H37" i="4"/>
  <c r="H45" i="4"/>
  <c r="H30" i="4"/>
  <c r="H46" i="4"/>
  <c r="H16" i="4"/>
  <c r="H22" i="4"/>
  <c r="H38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5" i="21"/>
  <c r="I20" i="4"/>
  <c r="B7" i="21"/>
  <c r="I32" i="4"/>
  <c r="B19" i="21"/>
  <c r="I50" i="4"/>
  <c r="B37" i="21"/>
  <c r="I16" i="4"/>
  <c r="B3" i="21"/>
  <c r="I53" i="4"/>
  <c r="B40" i="21"/>
  <c r="I28" i="4"/>
  <c r="B15" i="21"/>
  <c r="I42" i="4"/>
  <c r="B29" i="21"/>
  <c r="I34" i="4"/>
  <c r="B21" i="21"/>
  <c r="I17" i="4"/>
  <c r="B4" i="21"/>
  <c r="I49" i="4"/>
  <c r="B36" i="21"/>
  <c r="I45" i="4"/>
  <c r="B32" i="21"/>
  <c r="I25" i="4"/>
  <c r="B12" i="21"/>
  <c r="I22" i="4"/>
  <c r="B9" i="21"/>
  <c r="I19" i="4"/>
  <c r="B6" i="21"/>
  <c r="I24" i="4"/>
  <c r="B11" i="21"/>
  <c r="I54" i="4"/>
  <c r="B41" i="21"/>
  <c r="I33" i="4"/>
  <c r="B20" i="21"/>
  <c r="I47" i="4"/>
  <c r="B34" i="21"/>
  <c r="I29" i="4"/>
  <c r="B16" i="21"/>
  <c r="I37" i="4"/>
  <c r="B24" i="21"/>
  <c r="I39" i="4"/>
  <c r="B26" i="21"/>
  <c r="I27" i="4"/>
  <c r="B14" i="21"/>
  <c r="I21" i="4"/>
  <c r="B8" i="21"/>
  <c r="I52" i="4"/>
  <c r="B39" i="21"/>
  <c r="I26" i="4"/>
  <c r="B13" i="21"/>
  <c r="I31" i="4"/>
  <c r="B18" i="21"/>
  <c r="I55" i="4"/>
  <c r="B42" i="21"/>
  <c r="I51" i="4"/>
  <c r="B38" i="21"/>
  <c r="I44" i="4"/>
  <c r="B31" i="21"/>
  <c r="I18" i="4"/>
  <c r="B5" i="21"/>
  <c r="I48" i="4"/>
  <c r="B35" i="21"/>
  <c r="I23" i="4"/>
  <c r="B10" i="21"/>
  <c r="I43" i="4"/>
  <c r="B30" i="21"/>
  <c r="I36" i="4"/>
  <c r="B23" i="21"/>
  <c r="I41" i="4"/>
  <c r="B28" i="21"/>
  <c r="I40" i="4"/>
  <c r="B27" i="21"/>
  <c r="I46" i="4"/>
  <c r="B33" i="21"/>
  <c r="I30" i="4"/>
  <c r="B17" i="21"/>
  <c r="I35" i="4"/>
  <c r="B22" i="21"/>
</calcChain>
</file>

<file path=xl/sharedStrings.xml><?xml version="1.0" encoding="utf-8"?>
<sst xmlns="http://schemas.openxmlformats.org/spreadsheetml/2006/main" count="621" uniqueCount="381">
  <si>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</si>
  <si>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</si>
  <si>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</si>
  <si>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</si>
  <si>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</si>
  <si>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</si>
  <si>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</si>
  <si>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</si>
  <si>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</si>
  <si>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</si>
  <si>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</si>
  <si>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</si>
  <si>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</si>
  <si>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</si>
  <si>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</si>
  <si>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</si>
  <si>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</si>
  <si>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</si>
  <si>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</si>
  <si>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</si>
  <si>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</si>
  <si>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</si>
  <si>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</si>
  <si>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</si>
  <si>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</si>
  <si>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</si>
  <si>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</si>
  <si>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</si>
  <si>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</si>
  <si>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</si>
  <si>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</si>
  <si>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</si>
  <si>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</si>
  <si>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</si>
  <si>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</si>
  <si>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</si>
  <si>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</si>
  <si>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</si>
  <si>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</si>
  <si>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</si>
  <si>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</si>
  <si>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</si>
  <si>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</si>
  <si>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</si>
  <si>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</si>
  <si>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</si>
  <si>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</si>
  <si>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</si>
  <si>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</si>
  <si>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</si>
  <si>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</si>
  <si>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</si>
  <si>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</si>
  <si>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</si>
  <si>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</si>
  <si>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</si>
  <si>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</si>
  <si>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</si>
  <si>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</si>
  <si>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</si>
  <si>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</si>
  <si>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</si>
  <si>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</si>
  <si>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</si>
  <si>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</si>
  <si>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</si>
  <si>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</si>
  <si>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</si>
  <si>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</si>
  <si>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</si>
  <si>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</si>
  <si>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</si>
  <si>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</si>
  <si>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</si>
  <si>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</si>
  <si>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</si>
  <si>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</si>
  <si>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</si>
  <si>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</si>
  <si>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</si>
  <si>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</si>
  <si>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</si>
  <si>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</si>
  <si>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</si>
  <si>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</si>
  <si>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</si>
  <si>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</si>
  <si>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</si>
  <si>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</si>
  <si>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</si>
  <si>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</si>
  <si>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</si>
  <si>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</si>
  <si>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</si>
  <si>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</si>
  <si>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</si>
  <si>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</si>
  <si>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</si>
  <si>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</si>
  <si>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</si>
  <si>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</si>
  <si>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</si>
  <si>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</si>
  <si>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</si>
  <si>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</si>
  <si>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</si>
  <si>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</si>
  <si>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</si>
  <si>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</si>
  <si>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</si>
  <si>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</si>
  <si>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</si>
  <si>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</si>
  <si>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</si>
  <si>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</si>
  <si>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</si>
  <si>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</si>
  <si>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</si>
  <si>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</si>
  <si>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</si>
  <si>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</si>
  <si>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</si>
  <si>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</si>
  <si>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</si>
  <si>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</si>
  <si>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</si>
  <si>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</si>
  <si>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</si>
  <si>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</si>
  <si>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</si>
  <si>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</si>
  <si>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</si>
  <si>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</si>
  <si>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</si>
  <si>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</si>
  <si>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</si>
  <si>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</si>
  <si>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</si>
  <si>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</si>
  <si>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</si>
  <si>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</si>
  <si>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</si>
  <si>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</si>
  <si>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</si>
  <si>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</si>
  <si>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</si>
  <si>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</si>
  <si>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</si>
  <si>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</si>
  <si>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</si>
  <si>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</si>
  <si>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</si>
  <si>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</si>
  <si>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</si>
  <si>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</si>
  <si>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</si>
  <si>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</si>
  <si>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</si>
  <si>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</si>
  <si>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</si>
  <si>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</si>
  <si>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</si>
  <si>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</si>
  <si>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</si>
  <si>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</si>
  <si>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</si>
  <si>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</si>
  <si>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</si>
  <si>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</si>
  <si>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</si>
  <si>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</si>
  <si>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</si>
  <si>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</si>
  <si>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</si>
  <si>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</si>
  <si>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</si>
  <si>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</si>
  <si>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</si>
  <si>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</si>
  <si>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</si>
  <si>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</si>
  <si>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</si>
  <si>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</si>
  <si>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</si>
  <si>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</si>
  <si>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</si>
  <si>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</si>
  <si>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</si>
  <si>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</si>
  <si>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</si>
  <si>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</si>
  <si>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</si>
  <si>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</si>
  <si>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</si>
  <si>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</si>
  <si>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</si>
  <si>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</si>
  <si>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</si>
  <si>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</si>
  <si>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</si>
  <si>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</si>
  <si>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</si>
  <si>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</si>
  <si>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</si>
  <si>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</si>
  <si>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</si>
  <si>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</si>
  <si>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</si>
  <si>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</si>
  <si>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</si>
  <si>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</si>
  <si>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</si>
  <si>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</si>
  <si>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</si>
  <si>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</si>
  <si>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</si>
  <si>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</si>
  <si>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</si>
  <si>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</si>
  <si>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</si>
  <si>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</si>
  <si>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</si>
  <si>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</si>
  <si>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</si>
  <si>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</si>
  <si>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</si>
  <si>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</si>
  <si>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</si>
  <si>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</si>
  <si>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</si>
  <si>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</si>
  <si>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</si>
  <si>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</si>
  <si>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</si>
  <si>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</si>
  <si>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</si>
  <si>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</si>
  <si>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</si>
  <si>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</si>
  <si>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</si>
  <si>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</si>
  <si>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</si>
  <si>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</si>
  <si>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</si>
  <si>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</si>
  <si>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</si>
  <si>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</si>
  <si>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</si>
  <si>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</si>
  <si>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</si>
  <si>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</si>
  <si>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</si>
  <si>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</si>
  <si>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</si>
  <si>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</si>
  <si>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</si>
  <si>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</si>
  <si>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</si>
  <si>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</si>
  <si>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</si>
  <si>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</si>
  <si>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</si>
  <si>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</si>
  <si>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</si>
  <si>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</si>
  <si>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</si>
  <si>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</si>
  <si>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</si>
  <si>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</si>
  <si>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</si>
  <si>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</si>
  <si>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</si>
  <si>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</si>
  <si>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</si>
  <si>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</si>
  <si>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</si>
  <si>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</si>
  <si>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</si>
  <si>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</si>
  <si>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</si>
  <si>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</si>
  <si>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</si>
  <si>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</si>
  <si>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</si>
  <si>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</si>
  <si>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</si>
  <si>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</si>
  <si>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</si>
  <si>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</si>
  <si>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</si>
  <si>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</si>
  <si>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</si>
  <si>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</si>
  <si>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</si>
  <si>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</si>
  <si>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</si>
  <si>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</si>
  <si>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</si>
  <si>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</si>
  <si>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</si>
  <si>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</si>
  <si>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</si>
  <si>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</si>
  <si>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</si>
  <si>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</si>
  <si>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</si>
  <si>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</si>
  <si>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</si>
  <si>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</si>
  <si>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</si>
  <si>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</si>
  <si>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</si>
  <si>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</si>
  <si>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</si>
  <si>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</si>
  <si>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</si>
  <si>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</si>
  <si>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</si>
  <si>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</si>
  <si>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</si>
  <si>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</si>
  <si>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</si>
  <si>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</si>
  <si>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</si>
  <si>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</si>
  <si>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</si>
  <si>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</si>
  <si>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</si>
  <si>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</si>
  <si>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</si>
  <si>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</si>
  <si>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</si>
  <si>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</si>
  <si>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</si>
  <si>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</si>
  <si>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</si>
  <si>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</si>
  <si>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</si>
  <si>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</si>
  <si>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</si>
  <si>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</si>
  <si>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</si>
  <si>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</si>
  <si>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</si>
  <si>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</si>
  <si>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</si>
  <si>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</si>
  <si>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</si>
  <si>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</si>
  <si>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</si>
  <si>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</si>
  <si>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</si>
  <si>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</si>
  <si>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</si>
  <si>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</si>
  <si>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</si>
  <si>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</si>
  <si>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</si>
  <si>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</si>
  <si>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</si>
  <si>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</si>
  <si>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</si>
  <si>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</si>
  <si>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</si>
  <si>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</si>
  <si>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</si>
  <si>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</si>
  <si>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</si>
  <si>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</si>
  <si>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</si>
  <si>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8.5</t>
  </si>
  <si>
    <t>7.5</t>
  </si>
  <si>
    <t>13.1</t>
  </si>
  <si>
    <t>1.0</t>
  </si>
  <si>
    <t>-4.9</t>
  </si>
  <si>
    <t>4.5</t>
  </si>
  <si>
    <t>2.1</t>
  </si>
  <si>
    <t>11.4</t>
  </si>
  <si>
    <t>5.4</t>
  </si>
  <si>
    <t>0.6</t>
  </si>
  <si>
    <t>**Medicare outlays are net of offsetting receipts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</si>
</sst>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6121216"/>
        <c:axId val="22612275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121216"/>
        <c:axId val="226122752"/>
      </c:lineChart>
      <c:dateAx>
        <c:axId val="2261212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6122752"/>
        <c:crosses val="autoZero"/>
        <c:auto val="1"/>
        <c:lblOffset val="100"/>
        <c:baseTimeUnit val="months"/>
        <c:majorUnit val="1"/>
        <c:majorTimeUnit val="years"/>
      </c:dateAx>
      <c:valAx>
        <c:axId val="22612275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612121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6301056"/>
        <c:axId val="22630259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301056"/>
        <c:axId val="226302592"/>
      </c:lineChart>
      <c:dateAx>
        <c:axId val="2263010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6302592"/>
        <c:crosses val="autoZero"/>
        <c:auto val="1"/>
        <c:lblOffset val="100"/>
        <c:baseTimeUnit val="months"/>
        <c:majorUnit val="1"/>
        <c:majorTimeUnit val="years"/>
      </c:dateAx>
      <c:valAx>
        <c:axId val="22630259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630105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73152"/>
        <c:axId val="227874688"/>
      </c:lineChart>
      <c:dateAx>
        <c:axId val="2278731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874688"/>
        <c:crosses val="autoZero"/>
        <c:auto val="1"/>
        <c:lblOffset val="100"/>
        <c:baseTimeUnit val="months"/>
        <c:majorUnit val="1"/>
        <c:majorTimeUnit val="years"/>
      </c:dateAx>
      <c:valAx>
        <c:axId val="227874688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87315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926016"/>
        <c:axId val="227927552"/>
      </c:lineChart>
      <c:dateAx>
        <c:axId val="22792601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927552"/>
        <c:crossesAt val="0"/>
        <c:auto val="1"/>
        <c:lblOffset val="100"/>
        <c:baseTimeUnit val="months"/>
        <c:majorUnit val="1"/>
        <c:majorTimeUnit val="years"/>
      </c:dateAx>
      <c:valAx>
        <c:axId val="2279275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92601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468288"/>
        <c:axId val="257469824"/>
      </c:lineChart>
      <c:dateAx>
        <c:axId val="257468288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7469824"/>
        <c:crosses val="autoZero"/>
        <c:auto val="1"/>
        <c:lblOffset val="100"/>
        <c:baseTimeUnit val="months"/>
        <c:majorUnit val="10"/>
        <c:majorTimeUnit val="years"/>
      </c:dateAx>
      <c:valAx>
        <c:axId val="25746982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7468288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4240"/>
        <c:axId val="260293376"/>
      </c:lineChart>
      <c:dateAx>
        <c:axId val="26023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293376"/>
        <c:crosses val="autoZero"/>
        <c:auto val="1"/>
        <c:lblOffset val="100"/>
        <c:baseTimeUnit val="months"/>
        <c:majorUnit val="5"/>
        <c:majorTimeUnit val="years"/>
      </c:dateAx>
      <c:valAx>
        <c:axId val="26029337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2342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395392"/>
        <c:axId val="260396928"/>
      </c:lineChart>
      <c:dateAx>
        <c:axId val="2603953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396928"/>
        <c:crossesAt val="-1500"/>
        <c:auto val="1"/>
        <c:lblOffset val="100"/>
        <c:baseTimeUnit val="months"/>
        <c:majorUnit val="5"/>
        <c:majorTimeUnit val="years"/>
      </c:dateAx>
      <c:valAx>
        <c:axId val="260396928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395392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516864"/>
        <c:axId val="260526848"/>
      </c:lineChart>
      <c:dateAx>
        <c:axId val="2605168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526848"/>
        <c:crosses val="autoZero"/>
        <c:auto val="1"/>
        <c:lblOffset val="100"/>
        <c:baseTimeUnit val="months"/>
        <c:majorUnit val="5"/>
        <c:majorTimeUnit val="years"/>
      </c:dateAx>
      <c:valAx>
        <c:axId val="26052684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051686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I30" sqref="I30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267</v>
      </c>
    </row>
    <row r="2" spans="1:2">
      <c r="A2" s="27" t="s">
        <v>276</v>
      </c>
    </row>
    <row r="3" spans="1:2">
      <c r="A3" s="27" t="s">
        <v>277</v>
      </c>
    </row>
    <row r="4" spans="1:2">
      <c r="A4" s="27" t="s">
        <v>280</v>
      </c>
    </row>
    <row r="5" spans="1:2">
      <c r="A5" s="27" t="s">
        <v>278</v>
      </c>
    </row>
    <row r="6" spans="1:2">
      <c r="A6" s="27" t="s">
        <v>279</v>
      </c>
    </row>
    <row r="7" spans="1:2">
      <c r="A7" s="27" t="s">
        <v>268</v>
      </c>
    </row>
    <row r="8" spans="1:2">
      <c r="A8" s="27" t="s">
        <v>269</v>
      </c>
    </row>
    <row r="9" spans="1:2">
      <c r="A9" s="27" t="s">
        <v>270</v>
      </c>
    </row>
    <row r="10" spans="1:2">
      <c r="A10" s="27" t="s">
        <v>281</v>
      </c>
    </row>
    <row r="16" spans="1:2">
      <c r="B16" s="68" t="s">
        <v>271</v>
      </c>
    </row>
    <row r="17" spans="1:3">
      <c r="B17" s="27" t="s">
        <v>282</v>
      </c>
      <c r="C17" s="27" t="s">
        <v>283</v>
      </c>
    </row>
    <row r="18" spans="1:3">
      <c r="B18" s="27" t="s">
        <v>284</v>
      </c>
      <c r="C18" s="27" t="s">
        <v>285</v>
      </c>
    </row>
    <row r="19" spans="1:3">
      <c r="B19" s="27" t="s">
        <v>286</v>
      </c>
      <c r="C19" s="27" t="s">
        <v>287</v>
      </c>
    </row>
    <row r="20" spans="1:3">
      <c r="B20" s="27" t="s">
        <v>288</v>
      </c>
      <c r="C20" s="27" t="s">
        <v>295</v>
      </c>
    </row>
    <row r="21" spans="1:3">
      <c r="B21" s="27" t="s">
        <v>289</v>
      </c>
      <c r="C21" s="27" t="s">
        <v>192</v>
      </c>
    </row>
    <row r="22" spans="1:3">
      <c r="B22" s="27" t="s">
        <v>290</v>
      </c>
      <c r="C22" s="27" t="s">
        <v>296</v>
      </c>
    </row>
    <row r="23" spans="1:3">
      <c r="B23" s="27" t="s">
        <v>291</v>
      </c>
      <c r="C23" s="27" t="s">
        <v>298</v>
      </c>
    </row>
    <row r="24" spans="1:3">
      <c r="B24" s="27" t="s">
        <v>292</v>
      </c>
      <c r="C24" s="27" t="s">
        <v>297</v>
      </c>
    </row>
    <row r="25" spans="1:3">
      <c r="B25" s="27" t="s">
        <v>294</v>
      </c>
      <c r="C25" s="27" t="s">
        <v>299</v>
      </c>
    </row>
    <row r="26" spans="1:3">
      <c r="B26" s="27" t="s">
        <v>293</v>
      </c>
      <c r="C26" s="27" t="s">
        <v>300</v>
      </c>
    </row>
    <row r="30" spans="1:3">
      <c r="A30" s="69" t="s">
        <v>272</v>
      </c>
    </row>
    <row r="31" spans="1:3">
      <c r="A31" s="27" t="s">
        <v>273</v>
      </c>
      <c r="B31" s="27" t="s">
        <v>274</v>
      </c>
      <c r="C31" s="27" t="s">
        <v>275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Normal="100" zoomScaleSheetLayoutView="100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358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359</v>
      </c>
      <c r="B3" s="95"/>
      <c r="C3" s="95" t="s">
        <v>360</v>
      </c>
      <c r="D3" s="95"/>
      <c r="E3" s="95"/>
      <c r="F3" s="96" t="s">
        <v>361</v>
      </c>
      <c r="G3" s="95"/>
      <c r="H3" s="96" t="s">
        <v>362</v>
      </c>
      <c r="I3" s="95"/>
    </row>
    <row r="9" spans="1:9" ht="105">
      <c r="D9" s="93" t="s">
        <v>301</v>
      </c>
      <c r="G9" s="93" t="s">
        <v>357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tabSelected="1" view="pageBreakPreview" zoomScale="70" zoomScaleNormal="100" zoomScaleSheetLayoutView="70" workbookViewId="0">
      <selection activeCell="A25" sqref="A25"/>
    </sheetView>
  </sheetViews>
  <sheetFormatPr defaultRowHeight="15"/>
  <cols>
    <col min="1" max="16384" width="9.140625" style="27"/>
  </cols>
  <sheetData>
    <row r="1" spans="1:9" ht="15" customHeight="1">
      <c r="B1" s="94"/>
      <c r="C1" s="106" t="s">
        <v>358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359</v>
      </c>
      <c r="B3" s="95"/>
      <c r="C3" s="96" t="s">
        <v>360</v>
      </c>
      <c r="D3" s="95"/>
      <c r="E3" s="95"/>
      <c r="F3" s="95" t="s">
        <v>361</v>
      </c>
      <c r="G3" s="95"/>
      <c r="H3" s="96" t="s">
        <v>362</v>
      </c>
      <c r="I3" s="95"/>
    </row>
    <row r="7" spans="1:9">
      <c r="A7" s="89" t="s">
        <v>192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7" t="s">
        <v>301</v>
      </c>
      <c r="E9" s="107"/>
      <c r="F9" s="107"/>
      <c r="G9" s="107" t="s">
        <v>357</v>
      </c>
      <c r="H9" s="107"/>
      <c r="I9" s="108"/>
    </row>
    <row r="10" spans="1:9">
      <c r="A10" s="83"/>
      <c r="B10" s="84"/>
      <c r="C10" s="84"/>
      <c r="D10" s="107"/>
      <c r="E10" s="107"/>
      <c r="F10" s="107"/>
      <c r="G10" s="107"/>
      <c r="H10" s="107"/>
      <c r="I10" s="108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 t="s">
        <v>370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 t="s">
        <v>371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 t="s">
        <v>372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193</v>
      </c>
      <c r="B15" s="72"/>
      <c r="C15" s="72"/>
      <c r="D15" s="72"/>
      <c r="E15" s="97">
        <v>3481</v>
      </c>
      <c r="F15" s="74"/>
      <c r="G15" s="75"/>
      <c r="H15" s="103" t="s">
        <v>373</v>
      </c>
      <c r="I15" s="100"/>
    </row>
    <row r="16" spans="1:9">
      <c r="A16" s="76" t="s">
        <v>134</v>
      </c>
      <c r="B16" s="72"/>
      <c r="C16" s="72"/>
      <c r="D16" s="72"/>
      <c r="E16" s="97">
        <v>580</v>
      </c>
      <c r="F16" s="74"/>
      <c r="G16" s="75"/>
      <c r="H16" s="103" t="s">
        <v>374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 t="s">
        <v>375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 t="s">
        <v>376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 t="s">
        <v>377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378</v>
      </c>
      <c r="I20" s="100"/>
    </row>
    <row r="21" spans="1:9">
      <c r="A21" s="78" t="s">
        <v>133</v>
      </c>
      <c r="B21" s="79"/>
      <c r="C21" s="79"/>
      <c r="D21" s="79"/>
      <c r="E21" s="99">
        <v>1013</v>
      </c>
      <c r="F21" s="81"/>
      <c r="G21" s="82"/>
      <c r="H21" s="105" t="s">
        <v>379</v>
      </c>
      <c r="I21" s="102"/>
    </row>
    <row r="22" spans="1:9">
      <c r="A22" s="72" t="s">
        <v>194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380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170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view="pageBreakPreview" topLeftCell="A7" zoomScaleNormal="100" zoomScaleSheetLayoutView="100" zoomScalePageLayoutView="85" workbookViewId="0">
      <selection activeCell="L27" sqref="L27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358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359</v>
      </c>
      <c r="B3" s="96"/>
      <c r="C3" s="96" t="s">
        <v>360</v>
      </c>
      <c r="D3" s="96"/>
      <c r="E3" s="96"/>
      <c r="F3" s="96" t="s">
        <v>361</v>
      </c>
      <c r="G3" s="96"/>
      <c r="H3" s="95" t="s">
        <v>362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52" zoomScale="85" zoomScaleNormal="85" workbookViewId="0">
      <selection activeCell="J78" sqref="J78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328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367</v>
      </c>
      <c r="D6" t="s">
        <v>367</v>
      </c>
      <c r="E6" t="s">
        <v>367</v>
      </c>
      <c r="F6" t="s">
        <v>368</v>
      </c>
    </row>
    <row r="7" spans="1:20">
      <c r="A7" s="8" t="s">
        <v>264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265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266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196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197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198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199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200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201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202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203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204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205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206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207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208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209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210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211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212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213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214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215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216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217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218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219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220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221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222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223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224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225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226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227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228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229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230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231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232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233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234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235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236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237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238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239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240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241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242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243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244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245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246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247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248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249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250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251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252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253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254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255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256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257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258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259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260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261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262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263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369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169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338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306</v>
      </c>
      <c r="D5" t="s">
        <v>306</v>
      </c>
      <c r="E5" t="s">
        <v>306</v>
      </c>
      <c r="F5" t="s">
        <v>306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305</v>
      </c>
      <c r="D7" s="14" t="s">
        <v>305</v>
      </c>
      <c r="E7" s="14" t="s">
        <v>305</v>
      </c>
      <c r="F7" t="s">
        <v>305</v>
      </c>
    </row>
    <row r="8" spans="1:9">
      <c r="A8" s="11" t="s">
        <v>337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339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347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348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349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329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307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308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309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317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318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319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327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180</v>
      </c>
      <c r="D7" t="s">
        <v>180</v>
      </c>
      <c r="E7" t="s">
        <v>188</v>
      </c>
      <c r="F7" t="s">
        <v>188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C4" sqref="C4"/>
    </sheetView>
  </sheetViews>
  <sheetFormatPr defaultRowHeight="15"/>
  <cols>
    <col min="1" max="2" width="9.140625" style="16"/>
    <col min="4" max="4" width="9.140625" style="22"/>
    <col min="8" max="8" width="9.140625" customWidth="1"/>
    <col min="9" max="9" width="10" customWidth="1"/>
  </cols>
  <sheetData>
    <row r="1" spans="1:9">
      <c r="C1" s="21"/>
      <c r="E1" t="s">
        <v>148</v>
      </c>
      <c r="F1">
        <v>2014</v>
      </c>
    </row>
    <row r="2" spans="1:9">
      <c r="C2" s="21" t="s">
        <v>120</v>
      </c>
    </row>
    <row r="3" spans="1:9">
      <c r="A3" s="24" t="s">
        <v>303</v>
      </c>
      <c r="B3" s="18" t="s">
        <v>0</v>
      </c>
      <c r="C3" s="48" t="s">
        <v>121</v>
      </c>
      <c r="D3" s="23"/>
      <c r="E3" s="17"/>
      <c r="H3" s="17"/>
      <c r="I3" s="17"/>
    </row>
    <row r="4" spans="1:9">
      <c r="A4" s="16" t="s">
        <v>7</v>
      </c>
      <c r="C4" s="21" t="s">
        <v>122</v>
      </c>
    </row>
    <row r="5" spans="1:9">
      <c r="A5" s="16" t="s">
        <v>22</v>
      </c>
      <c r="C5" s="21" t="s">
        <v>24</v>
      </c>
    </row>
    <row r="6" spans="1:9">
      <c r="A6" s="16" t="s">
        <v>26</v>
      </c>
      <c r="C6" s="21" t="s">
        <v>176</v>
      </c>
      <c r="D6" s="22" t="s">
        <v>149</v>
      </c>
      <c r="E6" t="s">
        <v>150</v>
      </c>
    </row>
    <row r="7" spans="1:9">
      <c r="A7" s="16" t="s">
        <v>31</v>
      </c>
      <c r="B7" s="46">
        <v>27759</v>
      </c>
      <c r="C7" s="45">
        <v>-53</v>
      </c>
      <c r="D7" s="33">
        <f t="shared" ref="D7:D38" si="0">IF(YEAR(B7)&gt;2014, #N/A, C7)</f>
        <v>-53</v>
      </c>
      <c r="E7" s="33" t="e">
        <f t="shared" ref="E7:E38" si="1">IF(YEAR(B7)&lt;2014,#N/A,C7)</f>
        <v>#N/A</v>
      </c>
      <c r="F7">
        <v>0</v>
      </c>
      <c r="H7" s="19"/>
      <c r="I7" s="19"/>
    </row>
    <row r="8" spans="1:9">
      <c r="A8" s="16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19"/>
      <c r="I8" s="19"/>
    </row>
    <row r="9" spans="1:9">
      <c r="A9" s="16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19"/>
      <c r="I9" s="19"/>
    </row>
    <row r="10" spans="1:9">
      <c r="A10" s="16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19"/>
      <c r="I10" s="19"/>
    </row>
    <row r="11" spans="1:9">
      <c r="A11" s="16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19"/>
      <c r="I11" s="19"/>
    </row>
    <row r="12" spans="1:9">
      <c r="A12" s="16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19"/>
      <c r="I12" s="19"/>
    </row>
    <row r="13" spans="1:9">
      <c r="A13" s="16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19"/>
      <c r="I13" s="19"/>
    </row>
    <row r="14" spans="1:9">
      <c r="A14" s="16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19"/>
      <c r="I14" s="19"/>
    </row>
    <row r="15" spans="1:9">
      <c r="A15" s="16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19"/>
      <c r="I15" s="19"/>
    </row>
    <row r="16" spans="1:9">
      <c r="A16" s="16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19"/>
      <c r="I16" s="19"/>
    </row>
    <row r="17" spans="1:9">
      <c r="A17" s="16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19"/>
      <c r="I17" s="19"/>
    </row>
    <row r="18" spans="1:9">
      <c r="A18" s="16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19"/>
      <c r="I18" s="19"/>
    </row>
    <row r="19" spans="1:9">
      <c r="A19" s="16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19"/>
      <c r="I19" s="19"/>
    </row>
    <row r="20" spans="1:9">
      <c r="A20" s="16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19"/>
      <c r="I20" s="19"/>
    </row>
    <row r="21" spans="1:9">
      <c r="A21" s="16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19"/>
      <c r="I21" s="19"/>
    </row>
    <row r="22" spans="1:9">
      <c r="A22" s="16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19"/>
      <c r="I22" s="19"/>
    </row>
    <row r="23" spans="1:9">
      <c r="A23" s="16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19"/>
      <c r="I23" s="19"/>
    </row>
    <row r="24" spans="1:9">
      <c r="A24" s="16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19"/>
      <c r="I24" s="19"/>
    </row>
    <row r="25" spans="1:9">
      <c r="A25" s="16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19"/>
      <c r="I25" s="19"/>
    </row>
    <row r="26" spans="1:9">
      <c r="A26" s="16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19"/>
      <c r="I26" s="19"/>
    </row>
    <row r="27" spans="1:9">
      <c r="A27" s="16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19"/>
      <c r="I27" s="19"/>
    </row>
    <row r="28" spans="1:9">
      <c r="A28" s="16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19"/>
      <c r="I28" s="19"/>
    </row>
    <row r="29" spans="1:9">
      <c r="A29" s="16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19"/>
      <c r="I29" s="19"/>
    </row>
    <row r="30" spans="1:9">
      <c r="A30" s="16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19"/>
      <c r="I30" s="19"/>
    </row>
    <row r="31" spans="1:9">
      <c r="A31" s="16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19"/>
      <c r="I31" s="19"/>
    </row>
    <row r="32" spans="1:9">
      <c r="A32" s="16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19"/>
      <c r="I32" s="19"/>
    </row>
    <row r="33" spans="1:9">
      <c r="A33" s="16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19"/>
      <c r="I33" s="19"/>
    </row>
    <row r="34" spans="1:9">
      <c r="A34" s="16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19"/>
      <c r="I34" s="19"/>
    </row>
    <row r="35" spans="1:9">
      <c r="A35" s="16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19"/>
      <c r="I35" s="19"/>
    </row>
    <row r="36" spans="1:9">
      <c r="A36" s="16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19"/>
      <c r="I36" s="19"/>
    </row>
    <row r="37" spans="1:9">
      <c r="A37" s="16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19"/>
      <c r="I37" s="19"/>
    </row>
    <row r="38" spans="1:9">
      <c r="A38" s="16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19"/>
      <c r="I38" s="19"/>
    </row>
    <row r="39" spans="1:9">
      <c r="A39" s="16" t="s">
        <v>63</v>
      </c>
      <c r="B39" s="46">
        <v>39447</v>
      </c>
      <c r="C39" s="45">
        <v>-161</v>
      </c>
      <c r="D39" s="33">
        <f t="shared" ref="D39:D56" si="2">IF(YEAR(B39)&gt;2014, #N/A, C39)</f>
        <v>-161</v>
      </c>
      <c r="E39" s="33" t="e">
        <f t="shared" ref="E39:E56" si="3">IF(YEAR(B39)&lt;2014,#N/A,C39)</f>
        <v>#N/A</v>
      </c>
      <c r="F39" s="22">
        <v>0</v>
      </c>
      <c r="H39" s="19"/>
      <c r="I39" s="19"/>
    </row>
    <row r="40" spans="1:9">
      <c r="A40" s="16" t="s">
        <v>64</v>
      </c>
      <c r="B40" s="46">
        <v>39813</v>
      </c>
      <c r="C40" s="45">
        <v>-459</v>
      </c>
      <c r="D40" s="33">
        <f t="shared" si="2"/>
        <v>-459</v>
      </c>
      <c r="E40" s="33" t="e">
        <f t="shared" si="3"/>
        <v>#N/A</v>
      </c>
      <c r="F40" s="22">
        <v>0</v>
      </c>
      <c r="H40" s="19"/>
      <c r="I40" s="19"/>
    </row>
    <row r="41" spans="1:9">
      <c r="A41" s="16" t="s">
        <v>65</v>
      </c>
      <c r="B41" s="46">
        <v>40178</v>
      </c>
      <c r="C41" s="45">
        <v>-1413</v>
      </c>
      <c r="D41" s="33">
        <f t="shared" si="2"/>
        <v>-1413</v>
      </c>
      <c r="E41" s="33" t="e">
        <f t="shared" si="3"/>
        <v>#N/A</v>
      </c>
      <c r="F41" s="22">
        <v>0</v>
      </c>
      <c r="H41" s="19"/>
      <c r="I41" s="19"/>
    </row>
    <row r="42" spans="1:9">
      <c r="A42" s="16" t="s">
        <v>66</v>
      </c>
      <c r="B42" s="46">
        <v>40543</v>
      </c>
      <c r="C42" s="45">
        <v>-1294</v>
      </c>
      <c r="D42" s="33">
        <f t="shared" si="2"/>
        <v>-1294</v>
      </c>
      <c r="E42" s="33" t="e">
        <f t="shared" si="3"/>
        <v>#N/A</v>
      </c>
      <c r="F42" s="22">
        <v>0</v>
      </c>
      <c r="H42" s="19"/>
      <c r="I42" s="19"/>
    </row>
    <row r="43" spans="1:9">
      <c r="A43" s="16" t="s">
        <v>67</v>
      </c>
      <c r="B43" s="46">
        <v>40908</v>
      </c>
      <c r="C43" s="45">
        <v>-1300</v>
      </c>
      <c r="D43" s="33">
        <f t="shared" si="2"/>
        <v>-1300</v>
      </c>
      <c r="E43" s="33" t="e">
        <f t="shared" si="3"/>
        <v>#N/A</v>
      </c>
      <c r="F43" s="22">
        <v>0</v>
      </c>
      <c r="H43" s="19"/>
      <c r="I43" s="19"/>
    </row>
    <row r="44" spans="1:9">
      <c r="A44" s="16" t="s">
        <v>68</v>
      </c>
      <c r="B44" s="46">
        <v>41274</v>
      </c>
      <c r="C44" s="45">
        <v>-1087</v>
      </c>
      <c r="D44" s="33">
        <f t="shared" si="2"/>
        <v>-1087</v>
      </c>
      <c r="E44" s="33" t="e">
        <f t="shared" si="3"/>
        <v>#N/A</v>
      </c>
      <c r="F44" s="22">
        <v>0</v>
      </c>
      <c r="H44" s="19"/>
      <c r="I44" s="19"/>
    </row>
    <row r="45" spans="1:9">
      <c r="A45" s="16" t="s">
        <v>69</v>
      </c>
      <c r="B45" s="46">
        <v>41639</v>
      </c>
      <c r="C45" s="45">
        <v>-680</v>
      </c>
      <c r="D45" s="33">
        <f t="shared" si="2"/>
        <v>-680</v>
      </c>
      <c r="E45" s="33" t="e">
        <f t="shared" si="3"/>
        <v>#N/A</v>
      </c>
      <c r="F45" s="22">
        <v>0</v>
      </c>
      <c r="H45" s="19"/>
      <c r="I45" s="19"/>
    </row>
    <row r="46" spans="1:9">
      <c r="A46" s="16" t="s">
        <v>70</v>
      </c>
      <c r="B46" s="46">
        <v>42004</v>
      </c>
      <c r="C46" s="45">
        <v>-506</v>
      </c>
      <c r="D46" s="33">
        <f t="shared" si="2"/>
        <v>-506</v>
      </c>
      <c r="E46" s="33">
        <f t="shared" si="3"/>
        <v>-506</v>
      </c>
      <c r="F46" s="22">
        <v>0</v>
      </c>
      <c r="H46" s="19"/>
      <c r="I46" s="19"/>
    </row>
    <row r="47" spans="1:9">
      <c r="A47" s="16" t="s">
        <v>71</v>
      </c>
      <c r="B47" s="46">
        <v>42369</v>
      </c>
      <c r="C47" s="45">
        <v>-469</v>
      </c>
      <c r="D47" s="33" t="e">
        <f t="shared" si="2"/>
        <v>#N/A</v>
      </c>
      <c r="E47" s="33">
        <f t="shared" si="3"/>
        <v>-469</v>
      </c>
      <c r="F47" s="22">
        <v>0</v>
      </c>
      <c r="H47" s="19"/>
      <c r="I47" s="19"/>
    </row>
    <row r="48" spans="1:9">
      <c r="A48" s="16" t="s">
        <v>72</v>
      </c>
      <c r="B48" s="46">
        <v>42735</v>
      </c>
      <c r="C48" s="45">
        <v>-556</v>
      </c>
      <c r="D48" s="33" t="e">
        <f t="shared" si="2"/>
        <v>#N/A</v>
      </c>
      <c r="E48" s="33">
        <f t="shared" si="3"/>
        <v>-556</v>
      </c>
      <c r="F48" s="22">
        <v>0</v>
      </c>
      <c r="H48" s="19"/>
      <c r="I48" s="19"/>
    </row>
    <row r="49" spans="1:9">
      <c r="A49" s="16" t="s">
        <v>73</v>
      </c>
      <c r="B49" s="46">
        <v>43100</v>
      </c>
      <c r="C49" s="45">
        <v>-530</v>
      </c>
      <c r="D49" s="33" t="e">
        <f t="shared" si="2"/>
        <v>#N/A</v>
      </c>
      <c r="E49" s="33">
        <f t="shared" si="3"/>
        <v>-530</v>
      </c>
      <c r="F49" s="22">
        <v>0</v>
      </c>
      <c r="H49" s="19"/>
      <c r="I49" s="19"/>
    </row>
    <row r="50" spans="1:9">
      <c r="A50" s="16" t="s">
        <v>74</v>
      </c>
      <c r="B50" s="46">
        <v>43465</v>
      </c>
      <c r="C50" s="45">
        <v>-560</v>
      </c>
      <c r="D50" s="33" t="e">
        <f t="shared" si="2"/>
        <v>#N/A</v>
      </c>
      <c r="E50" s="33">
        <f t="shared" si="3"/>
        <v>-560</v>
      </c>
      <c r="F50" s="22">
        <v>0</v>
      </c>
      <c r="H50" s="19"/>
      <c r="I50" s="19"/>
    </row>
    <row r="51" spans="1:9">
      <c r="A51" s="16" t="s">
        <v>75</v>
      </c>
      <c r="B51" s="46">
        <v>43830</v>
      </c>
      <c r="C51" s="45">
        <v>-661</v>
      </c>
      <c r="D51" s="33" t="e">
        <f t="shared" si="2"/>
        <v>#N/A</v>
      </c>
      <c r="E51" s="33">
        <f t="shared" si="3"/>
        <v>-661</v>
      </c>
      <c r="F51" s="22">
        <v>0</v>
      </c>
      <c r="H51" s="19"/>
      <c r="I51" s="19"/>
    </row>
    <row r="52" spans="1:9">
      <c r="A52" s="16" t="s">
        <v>76</v>
      </c>
      <c r="B52" s="46">
        <v>44196</v>
      </c>
      <c r="C52" s="45">
        <v>-737</v>
      </c>
      <c r="D52" s="33" t="e">
        <f t="shared" si="2"/>
        <v>#N/A</v>
      </c>
      <c r="E52" s="33">
        <f t="shared" si="3"/>
        <v>-737</v>
      </c>
      <c r="F52" s="22">
        <v>0</v>
      </c>
      <c r="H52" s="19"/>
      <c r="I52" s="19"/>
    </row>
    <row r="53" spans="1:9">
      <c r="A53" s="16" t="s">
        <v>77</v>
      </c>
      <c r="B53" s="46">
        <v>44561</v>
      </c>
      <c r="C53" s="45">
        <v>-820</v>
      </c>
      <c r="D53" s="33" t="e">
        <f t="shared" si="2"/>
        <v>#N/A</v>
      </c>
      <c r="E53" s="33">
        <f t="shared" si="3"/>
        <v>-820</v>
      </c>
      <c r="F53" s="22">
        <v>0</v>
      </c>
      <c r="H53" s="19"/>
      <c r="I53" s="19"/>
    </row>
    <row r="54" spans="1:9">
      <c r="A54" s="16" t="s">
        <v>78</v>
      </c>
      <c r="B54" s="46">
        <v>44926</v>
      </c>
      <c r="C54" s="45">
        <v>-946</v>
      </c>
      <c r="D54" s="33" t="e">
        <f t="shared" si="2"/>
        <v>#N/A</v>
      </c>
      <c r="E54" s="33">
        <f t="shared" si="3"/>
        <v>-946</v>
      </c>
      <c r="F54" s="22">
        <v>0</v>
      </c>
      <c r="H54" s="19"/>
      <c r="I54" s="19"/>
    </row>
    <row r="55" spans="1:9">
      <c r="A55" s="16" t="s">
        <v>79</v>
      </c>
      <c r="B55" s="46">
        <v>45291</v>
      </c>
      <c r="C55" s="45">
        <v>-957</v>
      </c>
      <c r="D55" s="33" t="e">
        <f t="shared" si="2"/>
        <v>#N/A</v>
      </c>
      <c r="E55" s="33">
        <f t="shared" si="3"/>
        <v>-957</v>
      </c>
      <c r="F55" s="22">
        <v>0</v>
      </c>
      <c r="H55" s="19"/>
      <c r="I55" s="19"/>
    </row>
    <row r="56" spans="1:9">
      <c r="A56" s="16" t="s">
        <v>80</v>
      </c>
      <c r="B56" s="46">
        <v>45657</v>
      </c>
      <c r="C56" s="45">
        <v>-960</v>
      </c>
      <c r="D56" s="33" t="e">
        <f t="shared" si="2"/>
        <v>#N/A</v>
      </c>
      <c r="E56" s="33">
        <f t="shared" si="3"/>
        <v>-960</v>
      </c>
      <c r="F56" s="22">
        <v>0</v>
      </c>
      <c r="H56" s="19"/>
      <c r="I56" s="19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180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195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186</v>
      </c>
      <c r="D3" s="6" t="s">
        <v>187</v>
      </c>
      <c r="E3" s="6" t="s">
        <v>187</v>
      </c>
      <c r="F3" s="6" t="s">
        <v>187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188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1" workbookViewId="0">
      <selection activeCell="B71" sqref="B7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364</v>
      </c>
      <c r="C1" t="s">
        <v>365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364</v>
      </c>
      <c r="C1" s="22" t="s">
        <v>365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363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171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172</v>
      </c>
      <c r="C1" s="22" t="s">
        <v>173</v>
      </c>
      <c r="D1" t="s">
        <v>174</v>
      </c>
      <c r="E1" t="s">
        <v>175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workbookViewId="0">
      <selection activeCell="E13" sqref="E13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177</v>
      </c>
      <c r="C1" s="22" t="s">
        <v>178</v>
      </c>
    </row>
    <row r="2" spans="1:3">
      <c r="A2" s="22" t="str">
        <f>TEXT(IF(Deficit!B7&lt;&gt;0,Deficit!B7-364, ""), "yyyy")</f>
        <v>1975</v>
      </c>
      <c r="B2" s="14" t="str">
        <f>IFERROR(IF(ISNUMBER(Deficit!D7),TEXT(Deficit!D7, "0.00"),""), "")</f>
        <v>-53.00</v>
      </c>
      <c r="C2" s="14" t="str">
        <f>IFERROR(IF(ISNUMBER(Deficit!E7),TEXT(Deficit!E7,"0.00"),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IFERROR(IF(ISNUMBER(Deficit!D8),TEXT(Deficit!D8, "0.00"),""), "")</f>
        <v>-74.00</v>
      </c>
      <c r="C3" s="14" t="str">
        <f>IFERROR(IF(ISNUMBER(Deficit!E8),TEXT(Deficit!E8,"0.00"),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IFERROR(IF(ISNUMBER(Deficit!D9),TEXT(Deficit!D9, "0.00"),""), "")</f>
        <v>-54.00</v>
      </c>
      <c r="C4" s="14" t="str">
        <f>IFERROR(IF(ISNUMBER(Deficit!E9),TEXT(Deficit!E9,"0.00"),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IFERROR(IF(ISNUMBER(Deficit!D10),TEXT(Deficit!D10, "0.00"),""), "")</f>
        <v>-59.00</v>
      </c>
      <c r="C5" s="14" t="str">
        <f>IFERROR(IF(ISNUMBER(Deficit!E10),TEXT(Deficit!E10,"0.00"),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IFERROR(IF(ISNUMBER(Deficit!D11),TEXT(Deficit!D11, "0.00"),""), "")</f>
        <v>-41.00</v>
      </c>
      <c r="C6" s="14" t="str">
        <f>IFERROR(IF(ISNUMBER(Deficit!E11),TEXT(Deficit!E11,"0.00"),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IFERROR(IF(ISNUMBER(Deficit!D12),TEXT(Deficit!D12, "0.00"),""), "")</f>
        <v>-74.00</v>
      </c>
      <c r="C7" s="14" t="str">
        <f>IFERROR(IF(ISNUMBER(Deficit!E12),TEXT(Deficit!E12,"0.00"),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IFERROR(IF(ISNUMBER(Deficit!D13),TEXT(Deficit!D13, "0.00"),""), "")</f>
        <v>-79.00</v>
      </c>
      <c r="C8" s="14" t="str">
        <f>IFERROR(IF(ISNUMBER(Deficit!E13),TEXT(Deficit!E13,"0.00"),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IFERROR(IF(ISNUMBER(Deficit!D14),TEXT(Deficit!D14, "0.00"),""), "")</f>
        <v>-128.00</v>
      </c>
      <c r="C9" s="14" t="str">
        <f>IFERROR(IF(ISNUMBER(Deficit!E14),TEXT(Deficit!E14,"0.00"),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IFERROR(IF(ISNUMBER(Deficit!D15),TEXT(Deficit!D15, "0.00"),""), "")</f>
        <v>-208.00</v>
      </c>
      <c r="C10" s="14" t="str">
        <f>IFERROR(IF(ISNUMBER(Deficit!E15),TEXT(Deficit!E15,"0.00"),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IFERROR(IF(ISNUMBER(Deficit!D16),TEXT(Deficit!D16, "0.00"),""), "")</f>
        <v>-185.00</v>
      </c>
      <c r="C11" s="14" t="str">
        <f>IFERROR(IF(ISNUMBER(Deficit!E16),TEXT(Deficit!E16,"0.00"),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IFERROR(IF(ISNUMBER(Deficit!D17),TEXT(Deficit!D17, "0.00"),""), "")</f>
        <v>-212.00</v>
      </c>
      <c r="C12" s="14" t="str">
        <f>IFERROR(IF(ISNUMBER(Deficit!E17),TEXT(Deficit!E17,"0.00"),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IFERROR(IF(ISNUMBER(Deficit!D18),TEXT(Deficit!D18, "0.00"),""), "")</f>
        <v>-221.00</v>
      </c>
      <c r="C13" s="14" t="str">
        <f>IFERROR(IF(ISNUMBER(Deficit!E18),TEXT(Deficit!E18,"0.00"),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IFERROR(IF(ISNUMBER(Deficit!D19),TEXT(Deficit!D19, "0.00"),""), "")</f>
        <v>-150.00</v>
      </c>
      <c r="C14" s="14" t="str">
        <f>IFERROR(IF(ISNUMBER(Deficit!E19),TEXT(Deficit!E19,"0.00"),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IFERROR(IF(ISNUMBER(Deficit!D20),TEXT(Deficit!D20, "0.00"),""), "")</f>
        <v>-155.00</v>
      </c>
      <c r="C15" s="14" t="str">
        <f>IFERROR(IF(ISNUMBER(Deficit!E20),TEXT(Deficit!E20,"0.00"),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IFERROR(IF(ISNUMBER(Deficit!D21),TEXT(Deficit!D21, "0.00"),""), "")</f>
        <v>-153.00</v>
      </c>
      <c r="C16" s="14" t="str">
        <f>IFERROR(IF(ISNUMBER(Deficit!E21),TEXT(Deficit!E21,"0.00"),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IFERROR(IF(ISNUMBER(Deficit!D22),TEXT(Deficit!D22, "0.00"),""), "")</f>
        <v>-221.00</v>
      </c>
      <c r="C17" s="14" t="str">
        <f>IFERROR(IF(ISNUMBER(Deficit!E22),TEXT(Deficit!E22,"0.00"),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IFERROR(IF(ISNUMBER(Deficit!D23),TEXT(Deficit!D23, "0.00"),""), "")</f>
        <v>-269.00</v>
      </c>
      <c r="C18" s="14" t="str">
        <f>IFERROR(IF(ISNUMBER(Deficit!E23),TEXT(Deficit!E23,"0.00"),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IFERROR(IF(ISNUMBER(Deficit!D24),TEXT(Deficit!D24, "0.00"),""), "")</f>
        <v>-290.00</v>
      </c>
      <c r="C19" s="14" t="str">
        <f>IFERROR(IF(ISNUMBER(Deficit!E24),TEXT(Deficit!E24,"0.00"),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IFERROR(IF(ISNUMBER(Deficit!D25),TEXT(Deficit!D25, "0.00"),""), "")</f>
        <v>-255.00</v>
      </c>
      <c r="C20" s="14" t="str">
        <f>IFERROR(IF(ISNUMBER(Deficit!E25),TEXT(Deficit!E25,"0.00"),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IFERROR(IF(ISNUMBER(Deficit!D26),TEXT(Deficit!D26, "0.00"),""), "")</f>
        <v>-203.00</v>
      </c>
      <c r="C21" s="14" t="str">
        <f>IFERROR(IF(ISNUMBER(Deficit!E26),TEXT(Deficit!E26,"0.00"),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IFERROR(IF(ISNUMBER(Deficit!D27),TEXT(Deficit!D27, "0.00"),""), "")</f>
        <v>-164.00</v>
      </c>
      <c r="C22" s="14" t="str">
        <f>IFERROR(IF(ISNUMBER(Deficit!E27),TEXT(Deficit!E27,"0.00"),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IFERROR(IF(ISNUMBER(Deficit!D28),TEXT(Deficit!D28, "0.00"),""), "")</f>
        <v>-107.00</v>
      </c>
      <c r="C23" s="14" t="str">
        <f>IFERROR(IF(ISNUMBER(Deficit!E28),TEXT(Deficit!E28,"0.00"),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IFERROR(IF(ISNUMBER(Deficit!D29),TEXT(Deficit!D29, "0.00"),""), "")</f>
        <v>-22.00</v>
      </c>
      <c r="C24" s="14" t="str">
        <f>IFERROR(IF(ISNUMBER(Deficit!E29),TEXT(Deficit!E29,"0.00"),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IFERROR(IF(ISNUMBER(Deficit!D30),TEXT(Deficit!D30, "0.00"),""), "")</f>
        <v>69.00</v>
      </c>
      <c r="C25" s="14" t="str">
        <f>IFERROR(IF(ISNUMBER(Deficit!E30),TEXT(Deficit!E30,"0.00"),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IFERROR(IF(ISNUMBER(Deficit!D31),TEXT(Deficit!D31, "0.00"),""), "")</f>
        <v>126.00</v>
      </c>
      <c r="C26" s="14" t="str">
        <f>IFERROR(IF(ISNUMBER(Deficit!E31),TEXT(Deficit!E31,"0.00"),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IFERROR(IF(ISNUMBER(Deficit!D32),TEXT(Deficit!D32, "0.00"),""), "")</f>
        <v>236.00</v>
      </c>
      <c r="C27" s="14" t="str">
        <f>IFERROR(IF(ISNUMBER(Deficit!E32),TEXT(Deficit!E32,"0.00"),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IFERROR(IF(ISNUMBER(Deficit!D33),TEXT(Deficit!D33, "0.00"),""), "")</f>
        <v>128.00</v>
      </c>
      <c r="C28" s="14" t="str">
        <f>IFERROR(IF(ISNUMBER(Deficit!E33),TEXT(Deficit!E33,"0.00"),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IFERROR(IF(ISNUMBER(Deficit!D34),TEXT(Deficit!D34, "0.00"),""), "")</f>
        <v>-158.00</v>
      </c>
      <c r="C29" s="14" t="str">
        <f>IFERROR(IF(ISNUMBER(Deficit!E34),TEXT(Deficit!E34,"0.00"),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IFERROR(IF(ISNUMBER(Deficit!D35),TEXT(Deficit!D35, "0.00"),""), "")</f>
        <v>-378.00</v>
      </c>
      <c r="C30" s="14" t="str">
        <f>IFERROR(IF(ISNUMBER(Deficit!E35),TEXT(Deficit!E35,"0.00"),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IFERROR(IF(ISNUMBER(Deficit!D36),TEXT(Deficit!D36, "0.00"),""), "")</f>
        <v>-413.00</v>
      </c>
      <c r="C31" s="14" t="str">
        <f>IFERROR(IF(ISNUMBER(Deficit!E36),TEXT(Deficit!E36,"0.00"),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IFERROR(IF(ISNUMBER(Deficit!D37),TEXT(Deficit!D37, "0.00"),""), "")</f>
        <v>-318.00</v>
      </c>
      <c r="C32" s="14" t="str">
        <f>IFERROR(IF(ISNUMBER(Deficit!E37),TEXT(Deficit!E37,"0.00"),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IFERROR(IF(ISNUMBER(Deficit!D38),TEXT(Deficit!D38, "0.00"),""), "")</f>
        <v>-248.00</v>
      </c>
      <c r="C33" s="14" t="str">
        <f>IFERROR(IF(ISNUMBER(Deficit!E38),TEXT(Deficit!E38,"0.00"),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IFERROR(IF(ISNUMBER(Deficit!D39),TEXT(Deficit!D39, "0.00"),""), "")</f>
        <v>-161.00</v>
      </c>
      <c r="C34" s="14" t="str">
        <f>IFERROR(IF(ISNUMBER(Deficit!E39),TEXT(Deficit!E39,"0.00"),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IFERROR(IF(ISNUMBER(Deficit!D40),TEXT(Deficit!D40, "0.00"),""), "")</f>
        <v>-459.00</v>
      </c>
      <c r="C35" s="14" t="str">
        <f>IFERROR(IF(ISNUMBER(Deficit!E40),TEXT(Deficit!E40,"0.00"),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IFERROR(IF(ISNUMBER(Deficit!D41),TEXT(Deficit!D41, "0.00"),""), "")</f>
        <v>-1413.00</v>
      </c>
      <c r="C36" s="14" t="str">
        <f>IFERROR(IF(ISNUMBER(Deficit!E41),TEXT(Deficit!E41,"0.00"),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IFERROR(IF(ISNUMBER(Deficit!D42),TEXT(Deficit!D42, "0.00"),""), "")</f>
        <v>-1294.00</v>
      </c>
      <c r="C37" s="14" t="str">
        <f>IFERROR(IF(ISNUMBER(Deficit!E42),TEXT(Deficit!E42,"0.00"),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IFERROR(IF(ISNUMBER(Deficit!D43),TEXT(Deficit!D43, "0.00"),""), "")</f>
        <v>-1300.00</v>
      </c>
      <c r="C38" s="14" t="str">
        <f>IFERROR(IF(ISNUMBER(Deficit!E43),TEXT(Deficit!E43,"0.00"),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IFERROR(IF(ISNUMBER(Deficit!D44),TEXT(Deficit!D44, "0.00"),""), "")</f>
        <v>-1087.00</v>
      </c>
      <c r="C39" s="14" t="str">
        <f>IFERROR(IF(ISNUMBER(Deficit!E44),TEXT(Deficit!E44,"0.00"),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IFERROR(IF(ISNUMBER(Deficit!D45),TEXT(Deficit!D45, "0.00"),""), "")</f>
        <v>-680.00</v>
      </c>
      <c r="C40" s="14" t="str">
        <f>IFERROR(IF(ISNUMBER(Deficit!E45),TEXT(Deficit!E45,"0.00"), ""), "")</f>
        <v/>
      </c>
    </row>
    <row r="41" spans="1:3">
      <c r="A41" s="22" t="str">
        <f>TEXT(IF(Deficit!B46&lt;&gt;0,Deficit!B46-364, ""), "yyyy")</f>
        <v>2014</v>
      </c>
      <c r="B41" s="14" t="str">
        <f>IFERROR(IF(ISNUMBER(Deficit!D46),TEXT(Deficit!D46, "0.00"),""), "")</f>
        <v>-506.00</v>
      </c>
      <c r="C41" s="14" t="str">
        <f>IFERROR(IF(ISNUMBER(Deficit!E46),TEXT(Deficit!E46,"0.00"), ""), "")</f>
        <v>-506.00</v>
      </c>
    </row>
    <row r="42" spans="1:3">
      <c r="A42" s="22" t="str">
        <f>TEXT(IF(Deficit!B47&lt;&gt;0,Deficit!B47-364, ""), "yyyy")</f>
        <v>2015</v>
      </c>
      <c r="B42" s="14" t="str">
        <f>IFERROR(IF(ISNUMBER(Deficit!D47),TEXT(Deficit!D47, "0.00"),""), "")</f>
        <v/>
      </c>
      <c r="C42" s="14" t="str">
        <f>IFERROR(IF(ISNUMBER(Deficit!E47),TEXT(Deficit!E47,"0.00"), ""), "")</f>
        <v>-469.00</v>
      </c>
    </row>
    <row r="43" spans="1:3">
      <c r="A43" s="22" t="str">
        <f>TEXT(IF(Deficit!B48&lt;&gt;0,Deficit!B48-364, ""), "yyyy")</f>
        <v>2016</v>
      </c>
      <c r="B43" s="14" t="str">
        <f>IFERROR(IF(ISNUMBER(Deficit!D48),TEXT(Deficit!D48, "0.00"),""), "")</f>
        <v/>
      </c>
      <c r="C43" s="14" t="str">
        <f>IFERROR(IF(ISNUMBER(Deficit!E48),TEXT(Deficit!E48,"0.00"), ""), "")</f>
        <v>-556.00</v>
      </c>
    </row>
    <row r="44" spans="1:3">
      <c r="A44" s="22" t="str">
        <f>TEXT(IF(Deficit!B49&lt;&gt;0,Deficit!B49-364, ""), "yyyy")</f>
        <v>2017</v>
      </c>
      <c r="B44" s="14" t="str">
        <f>IFERROR(IF(ISNUMBER(Deficit!D49),TEXT(Deficit!D49, "0.00"),""), "")</f>
        <v/>
      </c>
      <c r="C44" s="14" t="str">
        <f>IFERROR(IF(ISNUMBER(Deficit!E49),TEXT(Deficit!E49,"0.00"), ""), "")</f>
        <v>-530.00</v>
      </c>
    </row>
    <row r="45" spans="1:3">
      <c r="A45" s="22" t="str">
        <f>TEXT(IF(Deficit!B50&lt;&gt;0,Deficit!B50-364, ""), "yyyy")</f>
        <v>2018</v>
      </c>
      <c r="B45" s="14" t="str">
        <f>IFERROR(IF(ISNUMBER(Deficit!D50),TEXT(Deficit!D50, "0.00"),""), "")</f>
        <v/>
      </c>
      <c r="C45" s="14" t="str">
        <f>IFERROR(IF(ISNUMBER(Deficit!E50),TEXT(Deficit!E50,"0.00"), ""), "")</f>
        <v>-560.00</v>
      </c>
    </row>
    <row r="46" spans="1:3">
      <c r="A46" s="22" t="str">
        <f>TEXT(IF(Deficit!B51&lt;&gt;0,Deficit!B51-364, ""), "yyyy")</f>
        <v>2019</v>
      </c>
      <c r="B46" s="14" t="str">
        <f>IFERROR(IF(ISNUMBER(Deficit!D51),TEXT(Deficit!D51, "0.00"),""), "")</f>
        <v/>
      </c>
      <c r="C46" s="14" t="str">
        <f>IFERROR(IF(ISNUMBER(Deficit!E51),TEXT(Deficit!E51,"0.00"), ""), "")</f>
        <v>-661.00</v>
      </c>
    </row>
    <row r="47" spans="1:3">
      <c r="A47" s="22" t="str">
        <f>TEXT(IF(Deficit!B52&lt;&gt;0,Deficit!B52-364, ""), "yyyy")</f>
        <v>2020</v>
      </c>
      <c r="B47" s="14" t="str">
        <f>IFERROR(IF(ISNUMBER(Deficit!D52),TEXT(Deficit!D52, "0.00"),""), "")</f>
        <v/>
      </c>
      <c r="C47" s="14" t="str">
        <f>IFERROR(IF(ISNUMBER(Deficit!E52),TEXT(Deficit!E52,"0.00"), ""), "")</f>
        <v>-737.00</v>
      </c>
    </row>
    <row r="48" spans="1:3">
      <c r="A48" s="22" t="str">
        <f>TEXT(IF(Deficit!B53&lt;&gt;0,Deficit!B53-364, ""), "yyyy")</f>
        <v>2021</v>
      </c>
      <c r="B48" s="14" t="str">
        <f>IFERROR(IF(ISNUMBER(Deficit!D53),TEXT(Deficit!D53, "0.00"),""), "")</f>
        <v/>
      </c>
      <c r="C48" s="14" t="str">
        <f>IFERROR(IF(ISNUMBER(Deficit!E53),TEXT(Deficit!E53,"0.00"), ""), "")</f>
        <v>-820.00</v>
      </c>
    </row>
    <row r="49" spans="1:3">
      <c r="A49" s="22" t="str">
        <f>TEXT(IF(Deficit!B54&lt;&gt;0,Deficit!B54-364, ""), "yyyy")</f>
        <v>2022</v>
      </c>
      <c r="B49" s="14" t="str">
        <f>IFERROR(IF(ISNUMBER(Deficit!D54),TEXT(Deficit!D54, "0.00"),""), "")</f>
        <v/>
      </c>
      <c r="C49" s="14" t="str">
        <f>IFERROR(IF(ISNUMBER(Deficit!E54),TEXT(Deficit!E54,"0.00"), ""), "")</f>
        <v>-946.00</v>
      </c>
    </row>
    <row r="50" spans="1:3">
      <c r="A50" s="22" t="str">
        <f>TEXT(IF(Deficit!B55&lt;&gt;0,Deficit!B55-364, ""), "yyyy")</f>
        <v>2023</v>
      </c>
      <c r="B50" s="14" t="str">
        <f>IFERROR(IF(ISNUMBER(Deficit!D55),TEXT(Deficit!D55, "0.00"),""), "")</f>
        <v/>
      </c>
      <c r="C50" s="14" t="str">
        <f>IFERROR(IF(ISNUMBER(Deficit!E55),TEXT(Deficit!E55,"0.00"), ""), "")</f>
        <v>-957.00</v>
      </c>
    </row>
    <row r="51" spans="1:3">
      <c r="A51" s="22" t="str">
        <f>TEXT(IF(Deficit!B56&lt;&gt;0,Deficit!B56-364, ""), "yyyy")</f>
        <v>2024</v>
      </c>
      <c r="B51" s="14" t="str">
        <f>IFERROR(IF(ISNUMBER(Deficit!D56),TEXT(Deficit!D56, "0.00"),""), "")</f>
        <v/>
      </c>
      <c r="C51" s="14" t="str">
        <f>IFERROR(IF(ISNUMBER(Deficit!E56),TEXT(Deficit!E56,"0.00"), ""), "")</f>
        <v>-960.00</v>
      </c>
    </row>
    <row r="52" spans="1:3">
      <c r="A52" s="22" t="str">
        <f>TEXT(IF(Deficit!B57&lt;&gt;0,Deficit!B57-364, ""), "yyyy")</f>
        <v/>
      </c>
      <c r="B52" s="14" t="str">
        <f>IFERROR(IF(ISNUMBER(Deficit!D57),TEXT(Deficit!D57, "0.00"),""), "")</f>
        <v/>
      </c>
      <c r="C52" s="14" t="str">
        <f>IFERROR(IF(ISNUMBER(Deficit!E57),TEXT(Deficit!E57,"0.00"),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IFERROR(IF(ISNUMBER(Deficit!D58),TEXT(Deficit!D58, "0.00"),""), "")</f>
        <v/>
      </c>
      <c r="C53" s="14" t="str">
        <f>IFERROR(IF(ISNUMBER(Deficit!E58),TEXT(Deficit!E58,"0.00"),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IFERROR(IF(ISNUMBER(Deficit!D59),TEXT(Deficit!D59, "0.00"),""), "")</f>
        <v/>
      </c>
      <c r="C54" s="14" t="str">
        <f>IFERROR(IF(ISNUMBER(Deficit!E59),TEXT(Deficit!E59,"0.00"),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IFERROR(IF(ISNUMBER(Deficit!D60),TEXT(Deficit!D60, "0.00"),""), "")</f>
        <v/>
      </c>
      <c r="C55" s="14" t="str">
        <f>IFERROR(IF(ISNUMBER(Deficit!E60),TEXT(Deficit!E60,"0.00"),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IFERROR(IF(ISNUMBER(Deficit!D61),TEXT(Deficit!D61, "0.00"),""), "")</f>
        <v/>
      </c>
      <c r="C56" s="14" t="str">
        <f>IFERROR(IF(ISNUMBER(Deficit!E61),TEXT(Deficit!E61,"0.00"),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IFERROR(IF(ISNUMBER(Deficit!D62),TEXT(Deficit!D62, "0.00"),""), "")</f>
        <v/>
      </c>
      <c r="C57" s="14" t="str">
        <f>IFERROR(IF(ISNUMBER(Deficit!E62),TEXT(Deficit!E62,"0.00"),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IFERROR(IF(ISNUMBER(Deficit!D63),TEXT(Deficit!D63, "0.00"),""), "")</f>
        <v/>
      </c>
      <c r="C58" s="14" t="str">
        <f>IFERROR(IF(ISNUMBER(Deficit!E63),TEXT(Deficit!E63,"0.00"),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IFERROR(IF(ISNUMBER(Deficit!D64),TEXT(Deficit!D64, "0.00"),""), "")</f>
        <v/>
      </c>
      <c r="C59" s="14" t="str">
        <f>IFERROR(IF(ISNUMBER(Deficit!E64),TEXT(Deficit!E64,"0.00"),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IFERROR(IF(ISNUMBER(Deficit!D65),TEXT(Deficit!D65, "0.00"),""), "")</f>
        <v/>
      </c>
      <c r="C60" s="14" t="str">
        <f>IFERROR(IF(ISNUMBER(Deficit!E65),TEXT(Deficit!E65,"0.00"),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IFERROR(IF(ISNUMBER(Deficit!D66),TEXT(Deficit!D66, "0.00"),""), "")</f>
        <v/>
      </c>
      <c r="C61" s="14" t="str">
        <f>IFERROR(IF(ISNUMBER(Deficit!E66),TEXT(Deficit!E66,"0.00"),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IFERROR(IF(ISNUMBER(Deficit!D67),TEXT(Deficit!D67, "0.00"),""), "")</f>
        <v/>
      </c>
      <c r="C62" s="14" t="str">
        <f>IFERROR(IF(ISNUMBER(Deficit!E67),TEXT(Deficit!E67,"0.00"),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IFERROR(IF(ISNUMBER(Deficit!D68),TEXT(Deficit!D68, "0.00"),""), "")</f>
        <v/>
      </c>
      <c r="C63" s="14" t="str">
        <f>IFERROR(IF(ISNUMBER(Deficit!E68),TEXT(Deficit!E68,"0.00"),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IFERROR(IF(ISNUMBER(Deficit!D69),TEXT(Deficit!D69, "0.00"),""), "")</f>
        <v/>
      </c>
      <c r="C64" s="14" t="str">
        <f>IFERROR(IF(ISNUMBER(Deficit!E69),TEXT(Deficit!E69,"0.00"),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IFERROR(IF(ISNUMBER(Deficit!D70),TEXT(Deficit!D70, "0.00"),""), "")</f>
        <v/>
      </c>
      <c r="C65" s="14" t="str">
        <f>IFERROR(IF(ISNUMBER(Deficit!E70),TEXT(Deficit!E70,"0.00"),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IFERROR(IF(ISNUMBER(Deficit!D71),TEXT(Deficit!D71, "0.00"),""), "")</f>
        <v/>
      </c>
      <c r="C66" s="14" t="str">
        <f>IFERROR(IF(ISNUMBER(Deficit!E71),TEXT(Deficit!E71,"0.00"),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IFERROR(IF(ISNUMBER(Deficit!D72),TEXT(Deficit!D72, "0.00"),""), "")</f>
        <v/>
      </c>
      <c r="C67" s="14" t="str">
        <f>IFERROR(IF(ISNUMBER(Deficit!E72),TEXT(Deficit!E72,"0.00"),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IFERROR(IF(ISNUMBER(Deficit!D73),TEXT(Deficit!D73, "0.00"),""), "")</f>
        <v/>
      </c>
      <c r="C68" s="14" t="str">
        <f>IFERROR(IF(ISNUMBER(Deficit!E73),TEXT(Deficit!E73,"0.00"),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IFERROR(IF(ISNUMBER(Deficit!D74),TEXT(Deficit!D74, "0.00"),""), "")</f>
        <v/>
      </c>
      <c r="C69" s="14" t="str">
        <f>IFERROR(IF(ISNUMBER(Deficit!E74),TEXT(Deficit!E74,"0.00"),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IFERROR(IF(ISNUMBER(Deficit!D75),TEXT(Deficit!D75, "0.00"),""), "")</f>
        <v/>
      </c>
      <c r="C70" s="14" t="str">
        <f>IFERROR(IF(ISNUMBER(Deficit!E75),TEXT(Deficit!E75,"0.00"),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IFERROR(IF(ISNUMBER(Deficit!D76),TEXT(Deficit!D76, "0.00"),""), "")</f>
        <v/>
      </c>
      <c r="C71" s="14" t="str">
        <f>IFERROR(IF(ISNUMBER(Deficit!E76),TEXT(Deficit!E76,"0.00"),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IFERROR(IF(ISNUMBER(Deficit!D77),TEXT(Deficit!D77, "0.00"),""), "")</f>
        <v/>
      </c>
      <c r="C72" s="14" t="str">
        <f>IFERROR(IF(ISNUMBER(Deficit!E77),TEXT(Deficit!E77,"0.00"),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IFERROR(IF(ISNUMBER(Deficit!D78),TEXT(Deficit!D78, "0.00"),""), "")</f>
        <v/>
      </c>
      <c r="C73" s="14" t="str">
        <f>IFERROR(IF(ISNUMBER(Deficit!E78),TEXT(Deficit!E78,"0.00"),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IFERROR(IF(ISNUMBER(Deficit!D79),TEXT(Deficit!D79, "0.00"),""), "")</f>
        <v/>
      </c>
      <c r="C74" s="14" t="str">
        <f>IFERROR(IF(ISNUMBER(Deficit!E79),TEXT(Deficit!E79,"0.00"),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IFERROR(IF(ISNUMBER(Deficit!D80),TEXT(Deficit!D80, "0.00"),""), "")</f>
        <v/>
      </c>
      <c r="C75" s="14" t="str">
        <f>IFERROR(IF(ISNUMBER(Deficit!E80),TEXT(Deficit!E80,"0.00"),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IFERROR(IF(ISNUMBER(Deficit!D81),TEXT(Deficit!D81, "0.00"),""), "")</f>
        <v/>
      </c>
      <c r="C76" s="14" t="str">
        <f>IFERROR(IF(ISNUMBER(Deficit!E81),TEXT(Deficit!E81,"0.00"),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IFERROR(IF(ISNUMBER(Deficit!D82),TEXT(Deficit!D82, "0.00"),""), "")</f>
        <v/>
      </c>
      <c r="C77" s="14" t="str">
        <f>IFERROR(IF(ISNUMBER(Deficit!E82),TEXT(Deficit!E82,"0.00"),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IFERROR(IF(ISNUMBER(Deficit!D83),TEXT(Deficit!D83, "0.00"),""), "")</f>
        <v/>
      </c>
      <c r="C78" s="14" t="str">
        <f>IFERROR(IF(ISNUMBER(Deficit!E83),TEXT(Deficit!E83,"0.00"),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IFERROR(IF(ISNUMBER(Deficit!D84),TEXT(Deficit!D84, "0.00"),""), "")</f>
        <v/>
      </c>
      <c r="C79" s="14" t="str">
        <f>IFERROR(IF(ISNUMBER(Deficit!E84),TEXT(Deficit!E84,"0.00"),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IFERROR(IF(ISNUMBER(Deficit!D85),TEXT(Deficit!D85, "0.00"),""), "")</f>
        <v/>
      </c>
      <c r="C80" s="14" t="str">
        <f>IFERROR(IF(ISNUMBER(Deficit!E85),TEXT(Deficit!E85,"0.00"),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IFERROR(IF(ISNUMBER(Deficit!D86),TEXT(Deficit!D86, "0.00"),""), "")</f>
        <v/>
      </c>
      <c r="C81" s="14" t="str">
        <f>IFERROR(IF(ISNUMBER(Deficit!E86),TEXT(Deficit!E86,"0.00"),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IFERROR(IF(ISNUMBER(Deficit!D87),TEXT(Deficit!D87, "0.00"),""), "")</f>
        <v/>
      </c>
      <c r="C82" s="14" t="str">
        <f>IFERROR(IF(ISNUMBER(Deficit!E87),TEXT(Deficit!E87,"0.00"),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IFERROR(IF(ISNUMBER(Deficit!D88),TEXT(Deficit!D88, "0.00"),""), "")</f>
        <v/>
      </c>
      <c r="C83" s="14" t="str">
        <f>IFERROR(IF(ISNUMBER(Deficit!E88),TEXT(Deficit!E88,"0.00"),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IFERROR(IF(ISNUMBER(Deficit!D89),TEXT(Deficit!D89, "0.00"),""), "")</f>
        <v/>
      </c>
      <c r="C84" s="14" t="str">
        <f>IFERROR(IF(ISNUMBER(Deficit!E89),TEXT(Deficit!E89,"0.00"),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IFERROR(IF(ISNUMBER(Deficit!D90),TEXT(Deficit!D90, "0.00"),""), "")</f>
        <v/>
      </c>
      <c r="C85" s="14" t="str">
        <f>IFERROR(IF(ISNUMBER(Deficit!E90),TEXT(Deficit!E90,"0.00"),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IFERROR(IF(ISNUMBER(Deficit!D91),TEXT(Deficit!D91, "0.00"),""), "")</f>
        <v/>
      </c>
      <c r="C86" s="14" t="str">
        <f>IFERROR(IF(ISNUMBER(Deficit!E91),TEXT(Deficit!E91,"0.00"),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IFERROR(IF(ISNUMBER(Deficit!D92),TEXT(Deficit!D92, "0.00"),""), "")</f>
        <v/>
      </c>
      <c r="C87" s="14" t="str">
        <f>IFERROR(IF(ISNUMBER(Deficit!E92),TEXT(Deficit!E92,"0.00"),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IFERROR(IF(ISNUMBER(Deficit!D93),TEXT(Deficit!D93, "0.00"),""), "")</f>
        <v/>
      </c>
      <c r="C88" s="14" t="str">
        <f>IFERROR(IF(ISNUMBER(Deficit!E93),TEXT(Deficit!E93,"0.00"),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IFERROR(IF(ISNUMBER(Deficit!D94),TEXT(Deficit!D94, "0.00"),""), "")</f>
        <v/>
      </c>
      <c r="C89" s="14" t="str">
        <f>IFERROR(IF(ISNUMBER(Deficit!E94),TEXT(Deficit!E94,"0.00"),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IFERROR(IF(ISNUMBER(Deficit!D95),TEXT(Deficit!D95, "0.00"),""), "")</f>
        <v/>
      </c>
      <c r="C90" s="14" t="str">
        <f>IFERROR(IF(ISNUMBER(Deficit!E95),TEXT(Deficit!E95,"0.00"),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IFERROR(IF(ISNUMBER(Deficit!D96),TEXT(Deficit!D96, "0.00"),""), "")</f>
        <v/>
      </c>
      <c r="C91" s="14" t="str">
        <f>IFERROR(IF(ISNUMBER(Deficit!E96),TEXT(Deficit!E96,"0.00"),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IFERROR(IF(ISNUMBER(Deficit!D97),TEXT(Deficit!D97, "0.00"),""), "")</f>
        <v/>
      </c>
      <c r="C92" s="14" t="str">
        <f>IFERROR(IF(ISNUMBER(Deficit!E97),TEXT(Deficit!E97,"0.00"),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IFERROR(IF(ISNUMBER(Deficit!D98),TEXT(Deficit!D98, "0.00"),""), "")</f>
        <v/>
      </c>
      <c r="C93" s="14" t="str">
        <f>IFERROR(IF(ISNUMBER(Deficit!E98),TEXT(Deficit!E98,"0.00"),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IFERROR(IF(ISNUMBER(Deficit!D99),TEXT(Deficit!D99, "0.00"),""), "")</f>
        <v/>
      </c>
      <c r="C94" s="14" t="str">
        <f>IFERROR(IF(ISNUMBER(Deficit!E99),TEXT(Deficit!E99,"0.00"),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IFERROR(IF(ISNUMBER(Deficit!D100),TEXT(Deficit!D100, "0.00"),""), "")</f>
        <v/>
      </c>
      <c r="C95" s="14" t="str">
        <f>IFERROR(IF(ISNUMBER(Deficit!E100),TEXT(Deficit!E100,"0.00"),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IFERROR(IF(ISNUMBER(Deficit!D101),TEXT(Deficit!D101, "0.00"),""), "")</f>
        <v/>
      </c>
      <c r="C96" s="14" t="str">
        <f>IFERROR(IF(ISNUMBER(Deficit!E101),TEXT(Deficit!E101,"0.00"),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IFERROR(IF(ISNUMBER(Deficit!D102),TEXT(Deficit!D102, "0.00"),""), "")</f>
        <v/>
      </c>
      <c r="C97" s="14" t="str">
        <f>IFERROR(IF(ISNUMBER(Deficit!E102),TEXT(Deficit!E102,"0.00"),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IFERROR(IF(ISNUMBER(Deficit!D103),TEXT(Deficit!D103, "0.00"),""), "")</f>
        <v/>
      </c>
      <c r="C98" s="14" t="str">
        <f>IFERROR(IF(ISNUMBER(Deficit!E103),TEXT(Deficit!E103,"0.00"),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IFERROR(IF(ISNUMBER(Deficit!D104),TEXT(Deficit!D104, "0.00"),""), "")</f>
        <v/>
      </c>
      <c r="C99" s="14" t="str">
        <f>IFERROR(IF(ISNUMBER(Deficit!E104),TEXT(Deficit!E104,"0.00"),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IFERROR(IF(ISNUMBER(Deficit!D105),TEXT(Deficit!D105, "0.00"),""), "")</f>
        <v/>
      </c>
      <c r="C100" s="14" t="str">
        <f>IFERROR(IF(ISNUMBER(Deficit!E105),TEXT(Deficit!E105,"0.00"),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IFERROR(IF(ISNUMBER(Deficit!D106),TEXT(Deficit!D106, "0.00"),""), "")</f>
        <v/>
      </c>
      <c r="C101" s="14" t="str">
        <f>IFERROR(IF(ISNUMBER(Deficit!E106),TEXT(Deficit!E106,"0.00"),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IFERROR(IF(ISNUMBER(Deficit!D107),TEXT(Deficit!D107, "0.00"),""), "")</f>
        <v/>
      </c>
      <c r="C102" s="14" t="str">
        <f>IFERROR(IF(ISNUMBER(Deficit!E107),TEXT(Deficit!E107,"0.00"),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IFERROR(IF(ISNUMBER(Deficit!D108),TEXT(Deficit!D108, "0.00"),""), "")</f>
        <v/>
      </c>
      <c r="C103" s="14" t="str">
        <f>IFERROR(IF(ISNUMBER(Deficit!E108),TEXT(Deficit!E108,"0.00"),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IFERROR(IF(ISNUMBER(Deficit!D109),TEXT(Deficit!D109, "0.00"),""), "")</f>
        <v/>
      </c>
      <c r="C104" s="14" t="str">
        <f>IFERROR(IF(ISNUMBER(Deficit!E109),TEXT(Deficit!E109,"0.00"),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IFERROR(IF(ISNUMBER(Deficit!D110),TEXT(Deficit!D110, "0.00"),""), "")</f>
        <v/>
      </c>
      <c r="C105" s="14" t="str">
        <f>IFERROR(IF(ISNUMBER(Deficit!E110),TEXT(Deficit!E110,"0.00"),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IFERROR(IF(ISNUMBER(Deficit!D111),TEXT(Deficit!D111, "0.00"),""), "")</f>
        <v/>
      </c>
      <c r="C106" s="14" t="str">
        <f>IFERROR(IF(ISNUMBER(Deficit!E111),TEXT(Deficit!E111,"0.00"),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IFERROR(IF(ISNUMBER(Deficit!D112),TEXT(Deficit!D112, "0.00"),""), "")</f>
        <v/>
      </c>
      <c r="C107" s="14" t="str">
        <f>IFERROR(IF(ISNUMBER(Deficit!E112),TEXT(Deficit!E112,"0.00"),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IFERROR(IF(ISNUMBER(Deficit!D113),TEXT(Deficit!D113, "0.00"),""), "")</f>
        <v/>
      </c>
      <c r="C108" s="14" t="str">
        <f>IFERROR(IF(ISNUMBER(Deficit!E113),TEXT(Deficit!E113,"0.00"),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IFERROR(IF(ISNUMBER(Deficit!D114),TEXT(Deficit!D114, "0.00"),""), "")</f>
        <v/>
      </c>
      <c r="C109" s="14" t="str">
        <f>IFERROR(IF(ISNUMBER(Deficit!E114),TEXT(Deficit!E114,"0.00"),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IFERROR(IF(ISNUMBER(Deficit!D115),TEXT(Deficit!D115, "0.00"),""), "")</f>
        <v/>
      </c>
      <c r="C110" s="14" t="str">
        <f>IFERROR(IF(ISNUMBER(Deficit!E115),TEXT(Deficit!E115,"0.00"),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IFERROR(IF(ISNUMBER(Deficit!D116),TEXT(Deficit!D116, "0.00"),""), "")</f>
        <v/>
      </c>
      <c r="C111" s="14" t="str">
        <f>IFERROR(IF(ISNUMBER(Deficit!E116),TEXT(Deficit!E116,"0.00"),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IFERROR(IF(ISNUMBER(Deficit!D117),TEXT(Deficit!D117, "0.00"),""), "")</f>
        <v/>
      </c>
      <c r="C112" s="14" t="str">
        <f>IFERROR(IF(ISNUMBER(Deficit!E117),TEXT(Deficit!E117,"0.00"),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IFERROR(IF(ISNUMBER(Deficit!D118),TEXT(Deficit!D118, "0.00"),""), "")</f>
        <v/>
      </c>
      <c r="C113" s="14" t="str">
        <f>IFERROR(IF(ISNUMBER(Deficit!E118),TEXT(Deficit!E118,"0.00"),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IFERROR(IF(ISNUMBER(Deficit!D119),TEXT(Deficit!D119, "0.00"),""), "")</f>
        <v/>
      </c>
      <c r="C114" s="14" t="str">
        <f>IFERROR(IF(ISNUMBER(Deficit!E119),TEXT(Deficit!E119,"0.00"),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IFERROR(IF(ISNUMBER(Deficit!D120),TEXT(Deficit!D120, "0.00"),""), "")</f>
        <v/>
      </c>
      <c r="C115" s="14" t="str">
        <f>IFERROR(IF(ISNUMBER(Deficit!E120),TEXT(Deficit!E120,"0.00"),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IFERROR(IF(ISNUMBER(Deficit!D121),TEXT(Deficit!D121, "0.00"),""), "")</f>
        <v/>
      </c>
      <c r="C116" s="14" t="str">
        <f>IFERROR(IF(ISNUMBER(Deficit!E121),TEXT(Deficit!E121,"0.00"),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IFERROR(IF(ISNUMBER(Deficit!D122),TEXT(Deficit!D122, "0.00"),""), "")</f>
        <v/>
      </c>
      <c r="C117" s="14" t="str">
        <f>IFERROR(IF(ISNUMBER(Deficit!E122),TEXT(Deficit!E122,"0.00"),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IFERROR(IF(ISNUMBER(Deficit!D123),TEXT(Deficit!D123, "0.00"),""), "")</f>
        <v/>
      </c>
      <c r="C118" s="14" t="str">
        <f>IFERROR(IF(ISNUMBER(Deficit!E123),TEXT(Deficit!E123,"0.00"),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IFERROR(IF(ISNUMBER(Deficit!D124),TEXT(Deficit!D124, "0.00"),""), "")</f>
        <v/>
      </c>
      <c r="C119" s="14" t="str">
        <f>IFERROR(IF(ISNUMBER(Deficit!E124),TEXT(Deficit!E124,"0.00"),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IFERROR(IF(ISNUMBER(Deficit!D125),TEXT(Deficit!D125, "0.00"),""), "")</f>
        <v/>
      </c>
      <c r="C120" s="14" t="str">
        <f>IFERROR(IF(ISNUMBER(Deficit!E125),TEXT(Deficit!E125,"0.00"),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IFERROR(IF(ISNUMBER(Deficit!D126),TEXT(Deficit!D126, "0.00"),""), "")</f>
        <v/>
      </c>
      <c r="C121" s="14" t="str">
        <f>IFERROR(IF(ISNUMBER(Deficit!E126),TEXT(Deficit!E126,"0.00"),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IFERROR(IF(ISNUMBER(Deficit!D127),TEXT(Deficit!D127, "0.00"),""), "")</f>
        <v/>
      </c>
      <c r="C122" s="14" t="str">
        <f>IFERROR(IF(ISNUMBER(Deficit!E127),TEXT(Deficit!E127,"0.00"),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IFERROR(IF(ISNUMBER(Deficit!D128),TEXT(Deficit!D128, "0.00"),""), "")</f>
        <v/>
      </c>
      <c r="C123" s="14" t="str">
        <f>IFERROR(IF(ISNUMBER(Deficit!E128),TEXT(Deficit!E128,"0.00"),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IFERROR(IF(ISNUMBER(Deficit!D129),TEXT(Deficit!D129, "0.00"),""), "")</f>
        <v/>
      </c>
      <c r="C124" s="14" t="str">
        <f>IFERROR(IF(ISNUMBER(Deficit!E129),TEXT(Deficit!E129,"0.00"),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IFERROR(IF(ISNUMBER(Deficit!D130),TEXT(Deficit!D130, "0.00"),""), "")</f>
        <v/>
      </c>
      <c r="C125" s="14" t="str">
        <f>IFERROR(IF(ISNUMBER(Deficit!E130),TEXT(Deficit!E130,"0.00"),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IFERROR(IF(ISNUMBER(Deficit!D131),TEXT(Deficit!D131, "0.00"),""), "")</f>
        <v/>
      </c>
      <c r="C126" s="14" t="str">
        <f>IFERROR(IF(ISNUMBER(Deficit!E131),TEXT(Deficit!E131,"0.00"),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IFERROR(IF(ISNUMBER(Deficit!D132),TEXT(Deficit!D132, "0.00"),""), "")</f>
        <v/>
      </c>
      <c r="C127" s="14" t="str">
        <f>IFERROR(IF(ISNUMBER(Deficit!E132),TEXT(Deficit!E132,"0.00"),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IFERROR(IF(ISNUMBER(Deficit!D133),TEXT(Deficit!D133, "0.00"),""), "")</f>
        <v/>
      </c>
      <c r="C128" s="14" t="str">
        <f>IFERROR(IF(ISNUMBER(Deficit!E133),TEXT(Deficit!E133,"0.00"),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IFERROR(IF(ISNUMBER(Deficit!D134),TEXT(Deficit!D134, "0.00"),""), "")</f>
        <v/>
      </c>
      <c r="C129" s="14" t="str">
        <f>IFERROR(IF(ISNUMBER(Deficit!E134),TEXT(Deficit!E134,"0.00"),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IFERROR(IF(ISNUMBER(Deficit!D135),TEXT(Deficit!D135, "0.00"),""), "")</f>
        <v/>
      </c>
      <c r="C130" s="14" t="str">
        <f>IFERROR(IF(ISNUMBER(Deficit!E135),TEXT(Deficit!E135,"0.00"),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IFERROR(IF(ISNUMBER(Deficit!D136),TEXT(Deficit!D136, "0.00"),""), "")</f>
        <v/>
      </c>
      <c r="C131" s="14" t="str">
        <f>IFERROR(IF(ISNUMBER(Deficit!E136),TEXT(Deficit!E136,"0.00"),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IFERROR(IF(ISNUMBER(Deficit!D137),TEXT(Deficit!D137, "0.00"),""), "")</f>
        <v/>
      </c>
      <c r="C132" s="14" t="str">
        <f>IFERROR(IF(ISNUMBER(Deficit!E137),TEXT(Deficit!E137,"0.00"),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IFERROR(IF(ISNUMBER(Deficit!D138),TEXT(Deficit!D138, "0.00"),""), "")</f>
        <v/>
      </c>
      <c r="C133" s="14" t="str">
        <f>IFERROR(IF(ISNUMBER(Deficit!E138),TEXT(Deficit!E138,"0.00"),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IFERROR(IF(ISNUMBER(Deficit!D139),TEXT(Deficit!D139, "0.00"),""), "")</f>
        <v/>
      </c>
      <c r="C134" s="14" t="str">
        <f>IFERROR(IF(ISNUMBER(Deficit!E139),TEXT(Deficit!E139,"0.00"),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IFERROR(IF(ISNUMBER(Deficit!D140),TEXT(Deficit!D140, "0.00"),""), "")</f>
        <v/>
      </c>
      <c r="C135" s="14" t="str">
        <f>IFERROR(IF(ISNUMBER(Deficit!E140),TEXT(Deficit!E140,"0.00"),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IFERROR(IF(ISNUMBER(Deficit!D141),TEXT(Deficit!D141, "0.00"),""), "")</f>
        <v/>
      </c>
      <c r="C136" s="14" t="str">
        <f>IFERROR(IF(ISNUMBER(Deficit!E141),TEXT(Deficit!E141,"0.00"),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IFERROR(IF(ISNUMBER(Deficit!D142),TEXT(Deficit!D142, "0.00"),""), "")</f>
        <v/>
      </c>
      <c r="C137" s="14" t="str">
        <f>IFERROR(IF(ISNUMBER(Deficit!E142),TEXT(Deficit!E142,"0.00"),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IFERROR(IF(ISNUMBER(Deficit!D143),TEXT(Deficit!D143, "0.00"),""), "")</f>
        <v/>
      </c>
      <c r="C138" s="14" t="str">
        <f>IFERROR(IF(ISNUMBER(Deficit!E143),TEXT(Deficit!E143,"0.00"),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IFERROR(IF(ISNUMBER(Deficit!D144),TEXT(Deficit!D144, "0.00"),""), "")</f>
        <v/>
      </c>
      <c r="C139" s="14" t="str">
        <f>IFERROR(IF(ISNUMBER(Deficit!E144),TEXT(Deficit!E144,"0.00"),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IFERROR(IF(ISNUMBER(Deficit!D145),TEXT(Deficit!D145, "0.00"),""), "")</f>
        <v/>
      </c>
      <c r="C140" s="14" t="str">
        <f>IFERROR(IF(ISNUMBER(Deficit!E145),TEXT(Deficit!E145,"0.00"),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IFERROR(IF(ISNUMBER(Deficit!D146),TEXT(Deficit!D146, "0.00"),""), "")</f>
        <v/>
      </c>
      <c r="C141" s="14" t="str">
        <f>IFERROR(IF(ISNUMBER(Deficit!E146),TEXT(Deficit!E146,"0.00"),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IFERROR(IF(ISNUMBER(Deficit!D147),TEXT(Deficit!D147, "0.00"),""), "")</f>
        <v/>
      </c>
      <c r="C142" s="14" t="str">
        <f>IFERROR(IF(ISNUMBER(Deficit!E147),TEXT(Deficit!E147,"0.00"),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IFERROR(IF(ISNUMBER(Deficit!D148),TEXT(Deficit!D148, "0.00"),""), "")</f>
        <v/>
      </c>
      <c r="C143" s="14" t="str">
        <f>IFERROR(IF(ISNUMBER(Deficit!E148),TEXT(Deficit!E148,"0.00"),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IFERROR(IF(ISNUMBER(Deficit!D149),TEXT(Deficit!D149, "0.00"),""), "")</f>
        <v/>
      </c>
      <c r="C144" s="14" t="str">
        <f>IFERROR(IF(ISNUMBER(Deficit!E149),TEXT(Deficit!E149,"0.00"),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IFERROR(IF(ISNUMBER(Deficit!D150),TEXT(Deficit!D150, "0.00"),""), "")</f>
        <v/>
      </c>
      <c r="C145" s="14" t="str">
        <f>IFERROR(IF(ISNUMBER(Deficit!E150),TEXT(Deficit!E150,"0.00"),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IFERROR(IF(ISNUMBER(Deficit!D151),TEXT(Deficit!D151, "0.00"),""), "")</f>
        <v/>
      </c>
      <c r="C146" s="14" t="str">
        <f>IFERROR(IF(ISNUMBER(Deficit!E151),TEXT(Deficit!E151,"0.00"),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IFERROR(IF(ISNUMBER(Deficit!D152),TEXT(Deficit!D152, "0.00"),""), "")</f>
        <v/>
      </c>
      <c r="C147" s="14" t="str">
        <f>IFERROR(IF(ISNUMBER(Deficit!E152),TEXT(Deficit!E152,"0.00"),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IFERROR(IF(ISNUMBER(Deficit!D153),TEXT(Deficit!D153, "0.00"),""), "")</f>
        <v/>
      </c>
      <c r="C148" s="14" t="str">
        <f>IFERROR(IF(ISNUMBER(Deficit!E153),TEXT(Deficit!E153,"0.00"),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IFERROR(IF(ISNUMBER(Deficit!D154),TEXT(Deficit!D154, "0.00"),""), "")</f>
        <v/>
      </c>
      <c r="C149" s="14" t="str">
        <f>IFERROR(IF(ISNUMBER(Deficit!E154),TEXT(Deficit!E154,"0.00"),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IFERROR(IF(ISNUMBER(Deficit!D155),TEXT(Deficit!D155, "0.00"),""), "")</f>
        <v/>
      </c>
      <c r="C150" s="14" t="str">
        <f>IFERROR(IF(ISNUMBER(Deficit!E155),TEXT(Deficit!E155,"0.00"),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IFERROR(IF(ISNUMBER(Deficit!D156),TEXT(Deficit!D156, "0.00"),""), "")</f>
        <v/>
      </c>
      <c r="C151" s="14" t="str">
        <f>IFERROR(IF(ISNUMBER(Deficit!E156),TEXT(Deficit!E156,"0.00"),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IFERROR(IF(ISNUMBER(Deficit!D157),TEXT(Deficit!D157, "0.00"),""), "")</f>
        <v/>
      </c>
      <c r="C152" s="14" t="str">
        <f>IFERROR(IF(ISNUMBER(Deficit!E157),TEXT(Deficit!E157,"0.00"),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IFERROR(IF(ISNUMBER(Deficit!D158),TEXT(Deficit!D158, "0.00"),""), "")</f>
        <v/>
      </c>
      <c r="C153" s="14" t="str">
        <f>IFERROR(IF(ISNUMBER(Deficit!E158),TEXT(Deficit!E158,"0.00"),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IFERROR(IF(ISNUMBER(Deficit!D159),TEXT(Deficit!D159, "0.00"),""), "")</f>
        <v/>
      </c>
      <c r="C154" s="14" t="str">
        <f>IFERROR(IF(ISNUMBER(Deficit!E159),TEXT(Deficit!E159,"0.00"),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IFERROR(IF(ISNUMBER(Deficit!D160),TEXT(Deficit!D160, "0.00"),""), "")</f>
        <v/>
      </c>
      <c r="C155" s="14" t="str">
        <f>IFERROR(IF(ISNUMBER(Deficit!E160),TEXT(Deficit!E160,"0.00"),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IFERROR(IF(ISNUMBER(Deficit!D161),TEXT(Deficit!D161, "0.00"),""), "")</f>
        <v/>
      </c>
      <c r="C156" s="14" t="str">
        <f>IFERROR(IF(ISNUMBER(Deficit!E161),TEXT(Deficit!E161,"0.00"),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IFERROR(IF(ISNUMBER(Deficit!D162),TEXT(Deficit!D162, "0.00"),""), "")</f>
        <v/>
      </c>
      <c r="C157" s="14" t="str">
        <f>IFERROR(IF(ISNUMBER(Deficit!E162),TEXT(Deficit!E162,"0.00"),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IFERROR(IF(ISNUMBER(Deficit!D163),TEXT(Deficit!D163, "0.00"),""), "")</f>
        <v/>
      </c>
      <c r="C158" s="14" t="str">
        <f>IFERROR(IF(ISNUMBER(Deficit!E163),TEXT(Deficit!E163,"0.00"),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IFERROR(IF(ISNUMBER(Deficit!D164),TEXT(Deficit!D164, "0.00"),""), "")</f>
        <v/>
      </c>
      <c r="C159" s="14" t="str">
        <f>IFERROR(IF(ISNUMBER(Deficit!E164),TEXT(Deficit!E164,"0.00"),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IFERROR(IF(ISNUMBER(Deficit!D165),TEXT(Deficit!D165, "0.00"),""), "")</f>
        <v/>
      </c>
      <c r="C160" s="14" t="str">
        <f>IFERROR(IF(ISNUMBER(Deficit!E165),TEXT(Deficit!E165,"0.00"),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IFERROR(IF(ISNUMBER(Deficit!D166),TEXT(Deficit!D166, "0.00"),""), "")</f>
        <v/>
      </c>
      <c r="C161" s="14" t="str">
        <f>IFERROR(IF(ISNUMBER(Deficit!E166),TEXT(Deficit!E166,"0.00"),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IFERROR(IF(ISNUMBER(Deficit!D167),TEXT(Deficit!D167, "0.00"),""), "")</f>
        <v/>
      </c>
      <c r="C162" s="14" t="str">
        <f>IFERROR(IF(ISNUMBER(Deficit!E167),TEXT(Deficit!E167,"0.00"),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IFERROR(IF(ISNUMBER(Deficit!D168),TEXT(Deficit!D168, "0.00"),""), "")</f>
        <v/>
      </c>
      <c r="C163" s="14" t="str">
        <f>IFERROR(IF(ISNUMBER(Deficit!E168),TEXT(Deficit!E168,"0.00"),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IFERROR(IF(ISNUMBER(Deficit!D169),TEXT(Deficit!D169, "0.00"),""), "")</f>
        <v/>
      </c>
      <c r="C164" s="14" t="str">
        <f>IFERROR(IF(ISNUMBER(Deficit!E169),TEXT(Deficit!E169,"0.00"),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IFERROR(IF(ISNUMBER(Deficit!D170),TEXT(Deficit!D170, "0.00"),""), "")</f>
        <v/>
      </c>
      <c r="C165" s="14" t="str">
        <f>IFERROR(IF(ISNUMBER(Deficit!E170),TEXT(Deficit!E170,"0.00"),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IFERROR(IF(ISNUMBER(Deficit!D171),TEXT(Deficit!D171, "0.00"),""), "")</f>
        <v/>
      </c>
      <c r="C166" s="14" t="str">
        <f>IFERROR(IF(ISNUMBER(Deficit!E171),TEXT(Deficit!E171,"0.00"),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IFERROR(IF(ISNUMBER(Deficit!D172),TEXT(Deficit!D172, "0.00"),""), "")</f>
        <v/>
      </c>
      <c r="C167" s="14" t="str">
        <f>IFERROR(IF(ISNUMBER(Deficit!E172),TEXT(Deficit!E172,"0.00"),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IFERROR(IF(ISNUMBER(Deficit!D173),TEXT(Deficit!D173, "0.00"),""), "")</f>
        <v/>
      </c>
      <c r="C168" s="14" t="str">
        <f>IFERROR(IF(ISNUMBER(Deficit!E173),TEXT(Deficit!E173,"0.00"),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IFERROR(IF(ISNUMBER(Deficit!D174),TEXT(Deficit!D174, "0.00"),""), "")</f>
        <v/>
      </c>
      <c r="C169" s="14" t="str">
        <f>IFERROR(IF(ISNUMBER(Deficit!E174),TEXT(Deficit!E174,"0.00"),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IFERROR(IF(ISNUMBER(Deficit!D175),TEXT(Deficit!D175, "0.00"),""), "")</f>
        <v/>
      </c>
      <c r="C170" s="14" t="str">
        <f>IFERROR(IF(ISNUMBER(Deficit!E175),TEXT(Deficit!E175,"0.00"),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IFERROR(IF(ISNUMBER(Deficit!D176),TEXT(Deficit!D176, "0.00"),""), "")</f>
        <v/>
      </c>
      <c r="C171" s="14" t="str">
        <f>IFERROR(IF(ISNUMBER(Deficit!E176),TEXT(Deficit!E176,"0.00"),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IFERROR(IF(ISNUMBER(Deficit!D177),TEXT(Deficit!D177, "0.00"),""), "")</f>
        <v/>
      </c>
      <c r="C172" s="14" t="str">
        <f>IFERROR(IF(ISNUMBER(Deficit!E177),TEXT(Deficit!E177,"0.00"),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IFERROR(IF(ISNUMBER(Deficit!D178),TEXT(Deficit!D178, "0.00"),""), "")</f>
        <v/>
      </c>
      <c r="C173" s="14" t="str">
        <f>IFERROR(IF(ISNUMBER(Deficit!E178),TEXT(Deficit!E178,"0.00"),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IFERROR(IF(ISNUMBER(Deficit!D179),TEXT(Deficit!D179, "0.00"),""), "")</f>
        <v/>
      </c>
      <c r="C174" s="14" t="str">
        <f>IFERROR(IF(ISNUMBER(Deficit!E179),TEXT(Deficit!E179,"0.00"),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IFERROR(IF(ISNUMBER(Deficit!D180),TEXT(Deficit!D180, "0.00"),""), "")</f>
        <v/>
      </c>
      <c r="C175" s="14" t="str">
        <f>IFERROR(IF(ISNUMBER(Deficit!E180),TEXT(Deficit!E180,"0.00"),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IFERROR(IF(ISNUMBER(Deficit!D181),TEXT(Deficit!D181, "0.00"),""), "")</f>
        <v/>
      </c>
      <c r="C176" s="14" t="str">
        <f>IFERROR(IF(ISNUMBER(Deficit!E181),TEXT(Deficit!E181,"0.00"),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IFERROR(IF(ISNUMBER(Deficit!D182),TEXT(Deficit!D182, "0.00"),""), "")</f>
        <v/>
      </c>
      <c r="C177" s="14" t="str">
        <f>IFERROR(IF(ISNUMBER(Deficit!E182),TEXT(Deficit!E182,"0.00"),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IFERROR(IF(ISNUMBER(Deficit!D183),TEXT(Deficit!D183, "0.00"),""), "")</f>
        <v/>
      </c>
      <c r="C178" s="14" t="str">
        <f>IFERROR(IF(ISNUMBER(Deficit!E183),TEXT(Deficit!E183,"0.00"),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IFERROR(IF(ISNUMBER(Deficit!D184),TEXT(Deficit!D184, "0.00"),""), "")</f>
        <v/>
      </c>
      <c r="C179" s="14" t="str">
        <f>IFERROR(IF(ISNUMBER(Deficit!E184),TEXT(Deficit!E184,"0.00"),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IFERROR(IF(ISNUMBER(Deficit!D185),TEXT(Deficit!D185, "0.00"),""), "")</f>
        <v/>
      </c>
      <c r="C180" s="14" t="str">
        <f>IFERROR(IF(ISNUMBER(Deficit!E185),TEXT(Deficit!E185,"0.00"),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IFERROR(IF(ISNUMBER(Deficit!D186),TEXT(Deficit!D186, "0.00"),""), "")</f>
        <v/>
      </c>
      <c r="C181" s="14" t="str">
        <f>IFERROR(IF(ISNUMBER(Deficit!E186),TEXT(Deficit!E186,"0.00"),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IFERROR(IF(ISNUMBER(Deficit!D187),TEXT(Deficit!D187, "0.00"),""), "")</f>
        <v/>
      </c>
      <c r="C182" s="14" t="str">
        <f>IFERROR(IF(ISNUMBER(Deficit!E187),TEXT(Deficit!E187,"0.00"),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IFERROR(IF(ISNUMBER(Deficit!D188),TEXT(Deficit!D188, "0.00"),""), "")</f>
        <v/>
      </c>
      <c r="C183" s="14" t="str">
        <f>IFERROR(IF(ISNUMBER(Deficit!E188),TEXT(Deficit!E188,"0.00"),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IFERROR(IF(ISNUMBER(Deficit!D189),TEXT(Deficit!D189, "0.00"),""), "")</f>
        <v/>
      </c>
      <c r="C184" s="14" t="str">
        <f>IFERROR(IF(ISNUMBER(Deficit!E189),TEXT(Deficit!E189,"0.00"),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IFERROR(IF(ISNUMBER(Deficit!D190),TEXT(Deficit!D190, "0.00"),""), "")</f>
        <v/>
      </c>
      <c r="C185" s="14" t="str">
        <f>IFERROR(IF(ISNUMBER(Deficit!E190),TEXT(Deficit!E190,"0.00"),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IFERROR(IF(ISNUMBER(Deficit!D191),TEXT(Deficit!D191, "0.00"),""), "")</f>
        <v/>
      </c>
      <c r="C186" s="14" t="str">
        <f>IFERROR(IF(ISNUMBER(Deficit!E191),TEXT(Deficit!E191,"0.00"),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IFERROR(IF(ISNUMBER(Deficit!D192),TEXT(Deficit!D192, "0.00"),""), "")</f>
        <v/>
      </c>
      <c r="C187" s="14" t="str">
        <f>IFERROR(IF(ISNUMBER(Deficit!E192),TEXT(Deficit!E192,"0.00"),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IFERROR(IF(ISNUMBER(Deficit!D193),TEXT(Deficit!D193, "0.00"),""), "")</f>
        <v/>
      </c>
      <c r="C188" s="14" t="str">
        <f>IFERROR(IF(ISNUMBER(Deficit!E193),TEXT(Deficit!E193,"0.00"),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IFERROR(IF(ISNUMBER(Deficit!D194),TEXT(Deficit!D194, "0.00"),""), "")</f>
        <v/>
      </c>
      <c r="C189" s="14" t="str">
        <f>IFERROR(IF(ISNUMBER(Deficit!E194),TEXT(Deficit!E194,"0.00"),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IFERROR(IF(ISNUMBER(Deficit!D195),TEXT(Deficit!D195, "0.00"),""), "")</f>
        <v/>
      </c>
      <c r="C190" s="14" t="str">
        <f>IFERROR(IF(ISNUMBER(Deficit!E195),TEXT(Deficit!E195,"0.00"),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IFERROR(IF(ISNUMBER(Deficit!D196),TEXT(Deficit!D196, "0.00"),""), "")</f>
        <v/>
      </c>
      <c r="C191" s="14" t="str">
        <f>IFERROR(IF(ISNUMBER(Deficit!E196),TEXT(Deficit!E196,"0.00"),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IFERROR(IF(ISNUMBER(Deficit!D197),TEXT(Deficit!D197, "0.00"),""), "")</f>
        <v/>
      </c>
      <c r="C192" s="14" t="str">
        <f>IFERROR(IF(ISNUMBER(Deficit!E197),TEXT(Deficit!E197,"0.00"),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IFERROR(IF(ISNUMBER(Deficit!D198),TEXT(Deficit!D198, "0.00"),""), "")</f>
        <v/>
      </c>
      <c r="C193" s="14" t="str">
        <f>IFERROR(IF(ISNUMBER(Deficit!E198),TEXT(Deficit!E198,"0.00"),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IFERROR(IF(ISNUMBER(Deficit!D199),TEXT(Deficit!D199, "0.00"),""), "")</f>
        <v/>
      </c>
      <c r="C194" s="14" t="str">
        <f>IFERROR(IF(ISNUMBER(Deficit!E199),TEXT(Deficit!E199,"0.00"),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IFERROR(IF(ISNUMBER(Deficit!D200),TEXT(Deficit!D200, "0.00"),""), "")</f>
        <v/>
      </c>
      <c r="C195" s="14" t="str">
        <f>IFERROR(IF(ISNUMBER(Deficit!E200),TEXT(Deficit!E200,"0.00"),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IFERROR(IF(ISNUMBER(Deficit!D201),TEXT(Deficit!D201, "0.00"),""), "")</f>
        <v/>
      </c>
      <c r="C196" s="14" t="str">
        <f>IFERROR(IF(ISNUMBER(Deficit!E201),TEXT(Deficit!E201,"0.00"),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IFERROR(IF(ISNUMBER(Deficit!D202),TEXT(Deficit!D202, "0.00"),""), "")</f>
        <v/>
      </c>
      <c r="C197" s="14" t="str">
        <f>IFERROR(IF(ISNUMBER(Deficit!E202),TEXT(Deficit!E202,"0.00"),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IFERROR(IF(ISNUMBER(Deficit!D203),TEXT(Deficit!D203, "0.00"),""), "")</f>
        <v/>
      </c>
      <c r="C198" s="14" t="str">
        <f>IFERROR(IF(ISNUMBER(Deficit!E203),TEXT(Deficit!E203,"0.00"),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IFERROR(IF(ISNUMBER(Deficit!D204),TEXT(Deficit!D204, "0.00"),""), "")</f>
        <v/>
      </c>
      <c r="C199" s="14" t="str">
        <f>IFERROR(IF(ISNUMBER(Deficit!E204),TEXT(Deficit!E204,"0.00"),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IFERROR(IF(ISNUMBER(Deficit!D205),TEXT(Deficit!D205, "0.00"),""), "")</f>
        <v/>
      </c>
      <c r="C200" s="14" t="str">
        <f>IFERROR(IF(ISNUMBER(Deficit!E205),TEXT(Deficit!E205,"0.00"),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IFERROR(IF(ISNUMBER(Deficit!D206),TEXT(Deficit!D206, "0.00"),""), "")</f>
        <v/>
      </c>
      <c r="C201" s="14" t="str">
        <f>IFERROR(IF(ISNUMBER(Deficit!E206),TEXT(Deficit!E206,"0.00"),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IFERROR(IF(ISNUMBER(Deficit!D207),TEXT(Deficit!D207, "0.00"),""), "")</f>
        <v/>
      </c>
      <c r="C202" s="14" t="str">
        <f>IFERROR(IF(ISNUMBER(Deficit!E207),TEXT(Deficit!E207,"0.00"),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IFERROR(IF(ISNUMBER(Deficit!D208),TEXT(Deficit!D208, "0.00"),""), "")</f>
        <v/>
      </c>
      <c r="C203" s="14" t="str">
        <f>IFERROR(IF(ISNUMBER(Deficit!E208),TEXT(Deficit!E208,"0.00"),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IFERROR(IF(ISNUMBER(Deficit!D209),TEXT(Deficit!D209, "0.00"),""), "")</f>
        <v/>
      </c>
      <c r="C204" s="14" t="str">
        <f>IFERROR(IF(ISNUMBER(Deficit!E209),TEXT(Deficit!E209,"0.00"),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IFERROR(IF(ISNUMBER(Deficit!D210),TEXT(Deficit!D210, "0.00"),""), "")</f>
        <v/>
      </c>
      <c r="C205" s="14" t="str">
        <f>IFERROR(IF(ISNUMBER(Deficit!E210),TEXT(Deficit!E210,"0.00"),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IFERROR(IF(ISNUMBER(Deficit!D211),TEXT(Deficit!D211, "0.00"),""), "")</f>
        <v/>
      </c>
      <c r="C206" s="14" t="str">
        <f>IFERROR(IF(ISNUMBER(Deficit!E211),TEXT(Deficit!E211,"0.00"),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IFERROR(IF(ISNUMBER(Deficit!D212),TEXT(Deficit!D212, "0.00"),""), "")</f>
        <v/>
      </c>
      <c r="C207" s="14" t="str">
        <f>IFERROR(IF(ISNUMBER(Deficit!E212),TEXT(Deficit!E212,"0.00"),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IFERROR(IF(ISNUMBER(Deficit!D213),TEXT(Deficit!D213, "0.00"),""), "")</f>
        <v/>
      </c>
      <c r="C208" s="14" t="str">
        <f>IFERROR(IF(ISNUMBER(Deficit!E213),TEXT(Deficit!E213,"0.00"),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IFERROR(IF(ISNUMBER(Deficit!D214),TEXT(Deficit!D214, "0.00"),""), "")</f>
        <v/>
      </c>
      <c r="C209" s="14" t="str">
        <f>IFERROR(IF(ISNUMBER(Deficit!E214),TEXT(Deficit!E214,"0.00"),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IFERROR(IF(ISNUMBER(Deficit!D215),TEXT(Deficit!D215, "0.00"),""), "")</f>
        <v/>
      </c>
      <c r="C210" s="14" t="str">
        <f>IFERROR(IF(ISNUMBER(Deficit!E215),TEXT(Deficit!E215,"0.00"),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IFERROR(IF(ISNUMBER(Deficit!D216),TEXT(Deficit!D216, "0.00"),""), "")</f>
        <v/>
      </c>
      <c r="C211" s="14" t="str">
        <f>IFERROR(IF(ISNUMBER(Deficit!E216),TEXT(Deficit!E216,"0.00"),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IFERROR(IF(ISNUMBER(Deficit!D217),TEXT(Deficit!D217, "0.00"),""), "")</f>
        <v/>
      </c>
      <c r="C212" s="14" t="str">
        <f>IFERROR(IF(ISNUMBER(Deficit!E217),TEXT(Deficit!E217,"0.00"),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IFERROR(IF(ISNUMBER(Deficit!D218),TEXT(Deficit!D218, "0.00"),""), "")</f>
        <v/>
      </c>
      <c r="C213" s="14" t="str">
        <f>IFERROR(IF(ISNUMBER(Deficit!E218),TEXT(Deficit!E218,"0.00"),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IFERROR(IF(ISNUMBER(Deficit!D219),TEXT(Deficit!D219, "0.00"),""), "")</f>
        <v/>
      </c>
      <c r="C214" s="14" t="str">
        <f>IFERROR(IF(ISNUMBER(Deficit!E219),TEXT(Deficit!E219,"0.00"),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IFERROR(IF(ISNUMBER(Deficit!D220),TEXT(Deficit!D220, "0.00"),""), "")</f>
        <v/>
      </c>
      <c r="C215" s="14" t="str">
        <f>IFERROR(IF(ISNUMBER(Deficit!E220),TEXT(Deficit!E220,"0.00"),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IFERROR(IF(ISNUMBER(Deficit!D221),TEXT(Deficit!D221, "0.00"),""), "")</f>
        <v/>
      </c>
      <c r="C216" s="14" t="str">
        <f>IFERROR(IF(ISNUMBER(Deficit!E221),TEXT(Deficit!E221,"0.00"),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IFERROR(IF(ISNUMBER(Deficit!D222),TEXT(Deficit!D222, "0.00"),""), "")</f>
        <v/>
      </c>
      <c r="C217" s="14" t="str">
        <f>IFERROR(IF(ISNUMBER(Deficit!E222),TEXT(Deficit!E222,"0.00"),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IFERROR(IF(ISNUMBER(Deficit!D223),TEXT(Deficit!D223, "0.00"),""), "")</f>
        <v/>
      </c>
      <c r="C218" s="14" t="str">
        <f>IFERROR(IF(ISNUMBER(Deficit!E223),TEXT(Deficit!E223,"0.00"),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IFERROR(IF(ISNUMBER(Deficit!D224),TEXT(Deficit!D224, "0.00"),""), "")</f>
        <v/>
      </c>
      <c r="C219" s="14" t="str">
        <f>IFERROR(IF(ISNUMBER(Deficit!E224),TEXT(Deficit!E224,"0.00"),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IFERROR(IF(ISNUMBER(Deficit!D225),TEXT(Deficit!D225, "0.00"),""), "")</f>
        <v/>
      </c>
      <c r="C220" s="14" t="str">
        <f>IFERROR(IF(ISNUMBER(Deficit!E225),TEXT(Deficit!E225,"0.00"),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IFERROR(IF(ISNUMBER(Deficit!D226),TEXT(Deficit!D226, "0.00"),""), "")</f>
        <v/>
      </c>
      <c r="C221" s="14" t="str">
        <f>IFERROR(IF(ISNUMBER(Deficit!E226),TEXT(Deficit!E226,"0.00"),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IFERROR(IF(ISNUMBER(Deficit!D227),TEXT(Deficit!D227, "0.00"),""), "")</f>
        <v/>
      </c>
      <c r="C222" s="14" t="str">
        <f>IFERROR(IF(ISNUMBER(Deficit!E227),TEXT(Deficit!E227,"0.00"),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IFERROR(IF(ISNUMBER(Deficit!D228),TEXT(Deficit!D228, "0.00"),""), "")</f>
        <v/>
      </c>
      <c r="C223" s="14" t="str">
        <f>IFERROR(IF(ISNUMBER(Deficit!E228),TEXT(Deficit!E228,"0.00"),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IFERROR(IF(ISNUMBER(Deficit!D229),TEXT(Deficit!D229, "0.00"),""), "")</f>
        <v/>
      </c>
      <c r="C224" s="14" t="str">
        <f>IFERROR(IF(ISNUMBER(Deficit!E229),TEXT(Deficit!E229,"0.00"),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IFERROR(IF(ISNUMBER(Deficit!D230),TEXT(Deficit!D230, "0.00"),""), "")</f>
        <v/>
      </c>
      <c r="C225" s="14" t="str">
        <f>IFERROR(IF(ISNUMBER(Deficit!E230),TEXT(Deficit!E230,"0.00"),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IFERROR(IF(ISNUMBER(Deficit!D231),TEXT(Deficit!D231, "0.00"),""), "")</f>
        <v/>
      </c>
      <c r="C226" s="14" t="str">
        <f>IFERROR(IF(ISNUMBER(Deficit!E231),TEXT(Deficit!E231,"0.00"),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IFERROR(IF(ISNUMBER(Deficit!D232),TEXT(Deficit!D232, "0.00"),""), "")</f>
        <v/>
      </c>
      <c r="C227" s="14" t="str">
        <f>IFERROR(IF(ISNUMBER(Deficit!E232),TEXT(Deficit!E232,"0.00"),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IFERROR(IF(ISNUMBER(Deficit!D233),TEXT(Deficit!D233, "0.00"),""), "")</f>
        <v/>
      </c>
      <c r="C228" s="14" t="str">
        <f>IFERROR(IF(ISNUMBER(Deficit!E233),TEXT(Deficit!E233,"0.00"),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IFERROR(IF(ISNUMBER(Deficit!D234),TEXT(Deficit!D234, "0.00"),""), "")</f>
        <v/>
      </c>
      <c r="C229" s="14" t="str">
        <f>IFERROR(IF(ISNUMBER(Deficit!E234),TEXT(Deficit!E234,"0.00"),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IFERROR(IF(ISNUMBER(Deficit!D235),TEXT(Deficit!D235, "0.00"),""), "")</f>
        <v/>
      </c>
      <c r="C230" s="14" t="str">
        <f>IFERROR(IF(ISNUMBER(Deficit!E235),TEXT(Deficit!E235,"0.00"),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IFERROR(IF(ISNUMBER(Deficit!D236),TEXT(Deficit!D236, "0.00"),""), "")</f>
        <v/>
      </c>
      <c r="C231" s="14" t="str">
        <f>IFERROR(IF(ISNUMBER(Deficit!E236),TEXT(Deficit!E236,"0.00"),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IFERROR(IF(ISNUMBER(Deficit!D237),TEXT(Deficit!D237, "0.00"),""), "")</f>
        <v/>
      </c>
      <c r="C232" s="14" t="str">
        <f>IFERROR(IF(ISNUMBER(Deficit!E237),TEXT(Deficit!E237,"0.00"),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IFERROR(IF(ISNUMBER(Deficit!D238),TEXT(Deficit!D238, "0.00"),""), "")</f>
        <v/>
      </c>
      <c r="C233" s="14" t="str">
        <f>IFERROR(IF(ISNUMBER(Deficit!E238),TEXT(Deficit!E238,"0.00"),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IFERROR(IF(ISNUMBER(Deficit!D239),TEXT(Deficit!D239, "0.00"),""), "")</f>
        <v/>
      </c>
      <c r="C234" s="14" t="str">
        <f>IFERROR(IF(ISNUMBER(Deficit!E239),TEXT(Deficit!E239,"0.00"),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IFERROR(IF(ISNUMBER(Deficit!D240),TEXT(Deficit!D240, "0.00"),""), "")</f>
        <v/>
      </c>
      <c r="C235" s="14" t="str">
        <f>IFERROR(IF(ISNUMBER(Deficit!E240),TEXT(Deficit!E240,"0.00"),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IFERROR(IF(ISNUMBER(Deficit!D241),TEXT(Deficit!D241, "0.00"),""), "")</f>
        <v/>
      </c>
      <c r="C236" s="14" t="str">
        <f>IFERROR(IF(ISNUMBER(Deficit!E241),TEXT(Deficit!E241,"0.00"),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IFERROR(IF(ISNUMBER(Deficit!D242),TEXT(Deficit!D242, "0.00"),""), "")</f>
        <v/>
      </c>
      <c r="C237" s="14" t="str">
        <f>IFERROR(IF(ISNUMBER(Deficit!E242),TEXT(Deficit!E242,"0.00"),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IFERROR(IF(ISNUMBER(Deficit!D243),TEXT(Deficit!D243, "0.00"),""), "")</f>
        <v/>
      </c>
      <c r="C238" s="14" t="str">
        <f>IFERROR(IF(ISNUMBER(Deficit!E243),TEXT(Deficit!E243,"0.00"),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IFERROR(IF(ISNUMBER(Deficit!D244),TEXT(Deficit!D244, "0.00"),""), "")</f>
        <v/>
      </c>
      <c r="C239" s="14" t="str">
        <f>IFERROR(IF(ISNUMBER(Deficit!E244),TEXT(Deficit!E244,"0.00"),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IFERROR(IF(ISNUMBER(Deficit!D245),TEXT(Deficit!D245, "0.00"),""), "")</f>
        <v/>
      </c>
      <c r="C240" s="14" t="str">
        <f>IFERROR(IF(ISNUMBER(Deficit!E245),TEXT(Deficit!E245,"0.00"),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IFERROR(IF(ISNUMBER(Deficit!D246),TEXT(Deficit!D246, "0.00"),""), "")</f>
        <v/>
      </c>
      <c r="C241" s="14" t="str">
        <f>IFERROR(IF(ISNUMBER(Deficit!E246),TEXT(Deficit!E246,"0.00"),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IFERROR(IF(ISNUMBER(Deficit!D247),TEXT(Deficit!D247, "0.00"),""), "")</f>
        <v/>
      </c>
      <c r="C242" s="14" t="str">
        <f>IFERROR(IF(ISNUMBER(Deficit!E247),TEXT(Deficit!E247,"0.00"),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IFERROR(IF(ISNUMBER(Deficit!D248),TEXT(Deficit!D248, "0.00"),""), "")</f>
        <v/>
      </c>
      <c r="C243" s="14" t="str">
        <f>IFERROR(IF(ISNUMBER(Deficit!E248),TEXT(Deficit!E248,"0.00"),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IFERROR(IF(ISNUMBER(Deficit!D249),TEXT(Deficit!D249, "0.00"),""), "")</f>
        <v/>
      </c>
      <c r="C244" s="14" t="str">
        <f>IFERROR(IF(ISNUMBER(Deficit!E249),TEXT(Deficit!E249,"0.00"),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IFERROR(IF(ISNUMBER(Deficit!D250),TEXT(Deficit!D250, "0.00"),""), "")</f>
        <v/>
      </c>
      <c r="C245" s="14" t="str">
        <f>IFERROR(IF(ISNUMBER(Deficit!E250),TEXT(Deficit!E250,"0.00"),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IFERROR(IF(ISNUMBER(Deficit!D251),TEXT(Deficit!D251, "0.00"),""), "")</f>
        <v/>
      </c>
      <c r="C246" s="14" t="str">
        <f>IFERROR(IF(ISNUMBER(Deficit!E251),TEXT(Deficit!E251,"0.00"),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IFERROR(IF(ISNUMBER(Deficit!D252),TEXT(Deficit!D252, "0.00"),""), "")</f>
        <v/>
      </c>
      <c r="C247" s="14" t="str">
        <f>IFERROR(IF(ISNUMBER(Deficit!E252),TEXT(Deficit!E252,"0.00"),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IFERROR(IF(ISNUMBER(Deficit!D253),TEXT(Deficit!D253, "0.00"),""), "")</f>
        <v/>
      </c>
      <c r="C248" s="14" t="str">
        <f>IFERROR(IF(ISNUMBER(Deficit!E253),TEXT(Deficit!E253,"0.00"),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IFERROR(IF(ISNUMBER(Deficit!D254),TEXT(Deficit!D254, "0.00"),""), "")</f>
        <v/>
      </c>
      <c r="C249" s="14" t="str">
        <f>IFERROR(IF(ISNUMBER(Deficit!E254),TEXT(Deficit!E254,"0.00"),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IFERROR(IF(ISNUMBER(Deficit!D255),TEXT(Deficit!D255, "0.00"),""), "")</f>
        <v/>
      </c>
      <c r="C250" s="14" t="str">
        <f>IFERROR(IF(ISNUMBER(Deficit!E255),TEXT(Deficit!E255,"0.00"),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IFERROR(IF(ISNUMBER(Deficit!D256),TEXT(Deficit!D256, "0.00"),""), "")</f>
        <v/>
      </c>
      <c r="C251" s="14" t="str">
        <f>IFERROR(IF(ISNUMBER(Deficit!E256),TEXT(Deficit!E256,"0.00"),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IFERROR(IF(ISNUMBER(Deficit!D257),TEXT(Deficit!D257, "0.00"),""), "")</f>
        <v/>
      </c>
      <c r="C252" s="14" t="str">
        <f>IFERROR(IF(ISNUMBER(Deficit!E257),TEXT(Deficit!E257,"0.00"),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IFERROR(IF(ISNUMBER(Deficit!D258),TEXT(Deficit!D258, "0.00"),""), "")</f>
        <v/>
      </c>
      <c r="C253" s="14" t="str">
        <f>IFERROR(IF(ISNUMBER(Deficit!E258),TEXT(Deficit!E258,"0.00"),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IFERROR(IF(ISNUMBER(Deficit!D259),TEXT(Deficit!D259, "0.00"),""), "")</f>
        <v/>
      </c>
      <c r="C254" s="14" t="str">
        <f>IFERROR(IF(ISNUMBER(Deficit!E259),TEXT(Deficit!E259,"0.00"),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IFERROR(IF(ISNUMBER(Deficit!D260),TEXT(Deficit!D260, "0.00"),""), "")</f>
        <v/>
      </c>
      <c r="C255" s="14" t="str">
        <f>IFERROR(IF(ISNUMBER(Deficit!E260),TEXT(Deficit!E260,"0.00"),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IFERROR(IF(ISNUMBER(Deficit!D261),TEXT(Deficit!D261, "0.00"),""), "")</f>
        <v/>
      </c>
      <c r="C256" s="14" t="str">
        <f>IFERROR(IF(ISNUMBER(Deficit!E261),TEXT(Deficit!E261,"0.00"),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IFERROR(IF(ISNUMBER(Deficit!D262),TEXT(Deficit!D262, "0.00"),""), "")</f>
        <v/>
      </c>
      <c r="C257" s="14" t="str">
        <f>IFERROR(IF(ISNUMBER(Deficit!E262),TEXT(Deficit!E262,"0.00"),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IFERROR(IF(ISNUMBER(Deficit!D263),TEXT(Deficit!D263, "0.00"),""), "")</f>
        <v/>
      </c>
      <c r="C258" s="14" t="str">
        <f>IFERROR(IF(ISNUMBER(Deficit!E263),TEXT(Deficit!E263,"0.00"),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IFERROR(IF(ISNUMBER(Deficit!D264),TEXT(Deficit!D264, "0.00"),""), "")</f>
        <v/>
      </c>
      <c r="C259" s="14" t="str">
        <f>IFERROR(IF(ISNUMBER(Deficit!E264),TEXT(Deficit!E264,"0.00"),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IFERROR(IF(ISNUMBER(Deficit!D265),TEXT(Deficit!D265, "0.00"),""), "")</f>
        <v/>
      </c>
      <c r="C260" s="14" t="str">
        <f>IFERROR(IF(ISNUMBER(Deficit!E265),TEXT(Deficit!E265,"0.00"),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IFERROR(IF(ISNUMBER(Deficit!D266),TEXT(Deficit!D266, "0.00"),""), "")</f>
        <v/>
      </c>
      <c r="C261" s="14" t="str">
        <f>IFERROR(IF(ISNUMBER(Deficit!E266),TEXT(Deficit!E266,"0.00"),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IFERROR(IF(ISNUMBER(Deficit!D267),TEXT(Deficit!D267, "0.00"),""), "")</f>
        <v/>
      </c>
      <c r="C262" s="14" t="str">
        <f>IFERROR(IF(ISNUMBER(Deficit!E267),TEXT(Deficit!E267,"0.00"),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IFERROR(IF(ISNUMBER(Deficit!D268),TEXT(Deficit!D268, "0.00"),""), "")</f>
        <v/>
      </c>
      <c r="C263" s="14" t="str">
        <f>IFERROR(IF(ISNUMBER(Deficit!E268),TEXT(Deficit!E268,"0.00"),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IFERROR(IF(ISNUMBER(Deficit!D269),TEXT(Deficit!D269, "0.00"),""), "")</f>
        <v/>
      </c>
      <c r="C264" s="14" t="str">
        <f>IFERROR(IF(ISNUMBER(Deficit!E269),TEXT(Deficit!E269,"0.00"),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IFERROR(IF(ISNUMBER(Deficit!D270),TEXT(Deficit!D270, "0.00"),""), "")</f>
        <v/>
      </c>
      <c r="C265" s="14" t="str">
        <f>IFERROR(IF(ISNUMBER(Deficit!E270),TEXT(Deficit!E270,"0.00"),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IFERROR(IF(ISNUMBER(Deficit!D271),TEXT(Deficit!D271, "0.00"),""), "")</f>
        <v/>
      </c>
      <c r="C266" s="14" t="str">
        <f>IFERROR(IF(ISNUMBER(Deficit!E271),TEXT(Deficit!E271,"0.00"),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IFERROR(IF(ISNUMBER(Deficit!D272),TEXT(Deficit!D272, "0.00"),""), "")</f>
        <v/>
      </c>
      <c r="C267" s="14" t="str">
        <f>IFERROR(IF(ISNUMBER(Deficit!E272),TEXT(Deficit!E272,"0.00"),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IFERROR(IF(ISNUMBER(Deficit!D273),TEXT(Deficit!D273, "0.00"),""), "")</f>
        <v/>
      </c>
      <c r="C268" s="14" t="str">
        <f>IFERROR(IF(ISNUMBER(Deficit!E273),TEXT(Deficit!E273,"0.00"),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IFERROR(IF(ISNUMBER(Deficit!D274),TEXT(Deficit!D274, "0.00"),""), "")</f>
        <v/>
      </c>
      <c r="C269" s="14" t="str">
        <f>IFERROR(IF(ISNUMBER(Deficit!E274),TEXT(Deficit!E274,"0.00"),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IFERROR(IF(ISNUMBER(Deficit!D275),TEXT(Deficit!D275, "0.00"),""), "")</f>
        <v/>
      </c>
      <c r="C270" s="14" t="str">
        <f>IFERROR(IF(ISNUMBER(Deficit!E275),TEXT(Deficit!E275,"0.00"),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IFERROR(IF(ISNUMBER(Deficit!D276),TEXT(Deficit!D276, "0.00"),""), "")</f>
        <v/>
      </c>
      <c r="C271" s="14" t="str">
        <f>IFERROR(IF(ISNUMBER(Deficit!E276),TEXT(Deficit!E276,"0.00"),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IFERROR(IF(ISNUMBER(Deficit!D277),TEXT(Deficit!D277, "0.00"),""), "")</f>
        <v/>
      </c>
      <c r="C272" s="14" t="str">
        <f>IFERROR(IF(ISNUMBER(Deficit!E277),TEXT(Deficit!E277,"0.00"),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IFERROR(IF(ISNUMBER(Deficit!D278),TEXT(Deficit!D278, "0.00"),""), "")</f>
        <v/>
      </c>
      <c r="C273" s="14" t="str">
        <f>IFERROR(IF(ISNUMBER(Deficit!E278),TEXT(Deficit!E278,"0.00"),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IFERROR(IF(ISNUMBER(Deficit!D279),TEXT(Deficit!D279, "0.00"),""), "")</f>
        <v/>
      </c>
      <c r="C274" s="14" t="str">
        <f>IFERROR(IF(ISNUMBER(Deficit!E279),TEXT(Deficit!E279,"0.00"),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IFERROR(IF(ISNUMBER(Deficit!D280),TEXT(Deficit!D280, "0.00"),""), "")</f>
        <v/>
      </c>
      <c r="C275" s="14" t="str">
        <f>IFERROR(IF(ISNUMBER(Deficit!E280),TEXT(Deficit!E280,"0.00"),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IFERROR(IF(ISNUMBER(Deficit!D281),TEXT(Deficit!D281, "0.00"),""), "")</f>
        <v/>
      </c>
      <c r="C276" s="14" t="str">
        <f>IFERROR(IF(ISNUMBER(Deficit!E281),TEXT(Deficit!E281,"0.00"),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IFERROR(IF(ISNUMBER(Deficit!D282),TEXT(Deficit!D282, "0.00"),""), "")</f>
        <v/>
      </c>
      <c r="C277" s="14" t="str">
        <f>IFERROR(IF(ISNUMBER(Deficit!E282),TEXT(Deficit!E282,"0.00"),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IFERROR(IF(ISNUMBER(Deficit!D283),TEXT(Deficit!D283, "0.00"),""), "")</f>
        <v/>
      </c>
      <c r="C278" s="14" t="str">
        <f>IFERROR(IF(ISNUMBER(Deficit!E283),TEXT(Deficit!E283,"0.00"),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IFERROR(IF(ISNUMBER(Deficit!D284),TEXT(Deficit!D284, "0.00"),""), "")</f>
        <v/>
      </c>
      <c r="C279" s="14" t="str">
        <f>IFERROR(IF(ISNUMBER(Deficit!E284),TEXT(Deficit!E284,"0.00"),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IFERROR(IF(ISNUMBER(Deficit!D285),TEXT(Deficit!D285, "0.00"),""), "")</f>
        <v/>
      </c>
      <c r="C280" s="14" t="str">
        <f>IFERROR(IF(ISNUMBER(Deficit!E285),TEXT(Deficit!E285,"0.00"),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IFERROR(IF(ISNUMBER(Deficit!D286),TEXT(Deficit!D286, "0.00"),""), "")</f>
        <v/>
      </c>
      <c r="C281" s="14" t="str">
        <f>IFERROR(IF(ISNUMBER(Deficit!E286),TEXT(Deficit!E286,"0.00"),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IFERROR(IF(ISNUMBER(Deficit!D287),TEXT(Deficit!D287, "0.00"),""), "")</f>
        <v/>
      </c>
      <c r="C282" s="14" t="str">
        <f>IFERROR(IF(ISNUMBER(Deficit!E287),TEXT(Deficit!E287,"0.00"),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IFERROR(IF(ISNUMBER(Deficit!D288),TEXT(Deficit!D288, "0.00"),""), "")</f>
        <v/>
      </c>
      <c r="C283" s="14" t="str">
        <f>IFERROR(IF(ISNUMBER(Deficit!E288),TEXT(Deficit!E288,"0.00"),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IFERROR(IF(ISNUMBER(Deficit!D289),TEXT(Deficit!D289, "0.00"),""), "")</f>
        <v/>
      </c>
      <c r="C284" s="14" t="str">
        <f>IFERROR(IF(ISNUMBER(Deficit!E289),TEXT(Deficit!E289,"0.00"),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IFERROR(IF(ISNUMBER(Deficit!D290),TEXT(Deficit!D290, "0.00"),""), "")</f>
        <v/>
      </c>
      <c r="C285" s="14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179</v>
      </c>
      <c r="C1" s="22" t="s">
        <v>366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181</v>
      </c>
      <c r="C1" s="22" t="s">
        <v>185</v>
      </c>
      <c r="D1" s="22" t="s">
        <v>189</v>
      </c>
      <c r="E1" s="22" t="s">
        <v>183</v>
      </c>
      <c r="F1" s="22" t="s">
        <v>190</v>
      </c>
      <c r="G1" s="22" t="s">
        <v>184</v>
      </c>
      <c r="H1" s="22" t="s">
        <v>191</v>
      </c>
      <c r="I1" s="22" t="s">
        <v>182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DECB6E8-FA8D-4469-AEDB-70542B9567B2}"/>
</file>

<file path=customXml/itemProps2.xml><?xml version="1.0" encoding="utf-8"?>
<ds:datastoreItem xmlns:ds="http://schemas.openxmlformats.org/officeDocument/2006/customXml" ds:itemID="{14178E90-9080-4133-B41F-E35EF312A556}"/>
</file>

<file path=customXml/itemProps3.xml><?xml version="1.0" encoding="utf-8"?>
<ds:datastoreItem xmlns:ds="http://schemas.openxmlformats.org/officeDocument/2006/customXml" ds:itemID="{109BD543-1805-475C-9DCE-99ADC2AE01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2014-10-03T14:43:34Z</cp:lastPrinted>
  <dcterms:created xsi:type="dcterms:W3CDTF">2014-07-22T13:55:17Z</dcterms:created>
  <dcterms:modified xsi:type="dcterms:W3CDTF">2014-10-03T19:43:35Z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